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G:\VWGR\Gemeins.Projekte\Wirtschaftswoche\BIP-Flash\INDICATOR_FORECAST\Daten\"/>
    </mc:Choice>
  </mc:AlternateContent>
  <xr:revisionPtr revIDLastSave="0" documentId="13_ncr:1_{9012FAB3-B3F2-49AC-B3F8-D0550852622F}" xr6:coauthVersionLast="47" xr6:coauthVersionMax="47" xr10:uidLastSave="{00000000-0000-0000-0000-000000000000}"/>
  <bookViews>
    <workbookView xWindow="8565" yWindow="360" windowWidth="28800" windowHeight="19305" tabRatio="602" xr2:uid="{00000000-000D-0000-FFFF-FFFF00000000}"/>
  </bookViews>
  <sheets>
    <sheet name="Monat" sheetId="1" r:id="rId1"/>
    <sheet name="Quart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8" i="1" l="1"/>
  <c r="J438" i="1"/>
  <c r="K438" i="1"/>
  <c r="L438" i="1"/>
  <c r="Q438" i="1"/>
  <c r="S438" i="1"/>
  <c r="U438" i="1"/>
  <c r="AQ438" i="1"/>
  <c r="I436" i="1" l="1"/>
  <c r="J436" i="1"/>
  <c r="K436" i="1"/>
  <c r="L436" i="1"/>
  <c r="Q436" i="1"/>
  <c r="S436" i="1"/>
  <c r="U436" i="1"/>
  <c r="AQ436" i="1"/>
  <c r="I437" i="1"/>
  <c r="J437" i="1"/>
  <c r="K437" i="1"/>
  <c r="L437" i="1"/>
  <c r="Q437" i="1"/>
  <c r="S437" i="1"/>
  <c r="U437" i="1"/>
  <c r="AQ437" i="1"/>
  <c r="AQ433" i="1" l="1"/>
  <c r="AQ434" i="1"/>
  <c r="AQ435" i="1"/>
  <c r="I433" i="1"/>
  <c r="J433" i="1"/>
  <c r="K433" i="1"/>
  <c r="L433" i="1"/>
  <c r="I434" i="1"/>
  <c r="J434" i="1"/>
  <c r="K434" i="1"/>
  <c r="L434" i="1"/>
  <c r="I435" i="1"/>
  <c r="J435" i="1"/>
  <c r="K435" i="1"/>
  <c r="L435" i="1"/>
  <c r="Q435" i="1" l="1"/>
  <c r="S435" i="1"/>
  <c r="U435" i="1"/>
  <c r="Q434" i="1"/>
  <c r="S434" i="1"/>
  <c r="U434" i="1"/>
  <c r="Q433" i="1"/>
  <c r="S433" i="1"/>
  <c r="U433" i="1"/>
  <c r="I432" i="1" l="1"/>
  <c r="J432" i="1"/>
  <c r="K432" i="1"/>
  <c r="L432" i="1"/>
  <c r="AQ432" i="1"/>
  <c r="Q432" i="1" l="1"/>
  <c r="S432" i="1"/>
  <c r="U432" i="1"/>
  <c r="AQ430" i="1" l="1"/>
  <c r="AQ431" i="1"/>
  <c r="I430" i="1"/>
  <c r="J430" i="1"/>
  <c r="K430" i="1"/>
  <c r="L430" i="1"/>
  <c r="I431" i="1"/>
  <c r="J431" i="1"/>
  <c r="K431" i="1"/>
  <c r="L431" i="1"/>
  <c r="Q431" i="1" l="1"/>
  <c r="S431" i="1"/>
  <c r="U431" i="1"/>
  <c r="Q430" i="1"/>
  <c r="S430" i="1"/>
  <c r="U430" i="1"/>
  <c r="I427" i="1" l="1"/>
  <c r="L427" i="1"/>
  <c r="AQ427" i="1"/>
  <c r="L428" i="1"/>
  <c r="AQ428" i="1"/>
  <c r="AQ429" i="1"/>
  <c r="S429" i="1" l="1"/>
  <c r="U429" i="1"/>
  <c r="Q429" i="1"/>
  <c r="U428" i="1"/>
  <c r="S428" i="1"/>
  <c r="Q428" i="1"/>
  <c r="J429" i="1"/>
  <c r="I429" i="1"/>
  <c r="U427" i="1"/>
  <c r="S427" i="1"/>
  <c r="Q427" i="1"/>
  <c r="K429" i="1"/>
  <c r="L429" i="1"/>
  <c r="I428" i="1"/>
  <c r="K427" i="1"/>
  <c r="K428" i="1"/>
  <c r="J427" i="1"/>
  <c r="J428" i="1"/>
  <c r="I425" i="1" l="1"/>
  <c r="L425" i="1"/>
  <c r="AQ425" i="1"/>
  <c r="L426" i="1"/>
  <c r="AQ426" i="1"/>
  <c r="U426" i="1" l="1"/>
  <c r="S426" i="1"/>
  <c r="S425" i="1"/>
  <c r="U425" i="1"/>
  <c r="K425" i="1"/>
  <c r="J426" i="1"/>
  <c r="I426" i="1"/>
  <c r="K426" i="1"/>
  <c r="Q425" i="1"/>
  <c r="Q426" i="1"/>
  <c r="J425" i="1"/>
  <c r="A3" i="1" l="1"/>
  <c r="AQ424" i="1"/>
  <c r="U424" i="1"/>
  <c r="Q424" i="1"/>
  <c r="AQ422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17" i="1"/>
  <c r="K421" i="1" l="1"/>
  <c r="K423" i="1"/>
  <c r="I424" i="1"/>
  <c r="Q422" i="1"/>
  <c r="S422" i="1"/>
  <c r="S424" i="1"/>
  <c r="U422" i="1"/>
  <c r="L424" i="1"/>
  <c r="I422" i="1"/>
  <c r="K424" i="1"/>
  <c r="Q423" i="1"/>
  <c r="S423" i="1"/>
  <c r="U423" i="1"/>
  <c r="K422" i="1"/>
  <c r="I417" i="1"/>
  <c r="Q419" i="1"/>
  <c r="U419" i="1"/>
  <c r="Q421" i="1"/>
  <c r="K420" i="1"/>
  <c r="U421" i="1"/>
  <c r="I423" i="1"/>
  <c r="L423" i="1"/>
  <c r="AQ423" i="1"/>
  <c r="L421" i="1"/>
  <c r="AQ421" i="1"/>
  <c r="S420" i="1"/>
  <c r="L422" i="1"/>
  <c r="Q420" i="1"/>
  <c r="S421" i="1"/>
  <c r="U420" i="1"/>
  <c r="S419" i="1"/>
  <c r="I421" i="1"/>
  <c r="J418" i="1"/>
  <c r="L419" i="1"/>
  <c r="S415" i="1"/>
  <c r="AQ419" i="1"/>
  <c r="U415" i="1"/>
  <c r="AQ417" i="1"/>
  <c r="I415" i="1"/>
  <c r="I420" i="1"/>
  <c r="I418" i="1"/>
  <c r="Q417" i="1"/>
  <c r="U417" i="1"/>
  <c r="S418" i="1"/>
  <c r="Q416" i="1"/>
  <c r="K417" i="1"/>
  <c r="U418" i="1"/>
  <c r="S416" i="1"/>
  <c r="L420" i="1"/>
  <c r="U416" i="1"/>
  <c r="AQ420" i="1"/>
  <c r="AQ418" i="1"/>
  <c r="Q418" i="1"/>
  <c r="K419" i="1"/>
  <c r="K418" i="1"/>
  <c r="S417" i="1"/>
  <c r="I419" i="1"/>
  <c r="AQ415" i="1"/>
  <c r="I416" i="1"/>
  <c r="L417" i="1"/>
  <c r="Q414" i="1"/>
  <c r="S414" i="1"/>
  <c r="L415" i="1"/>
  <c r="L416" i="1"/>
  <c r="AQ416" i="1"/>
  <c r="Q413" i="1"/>
  <c r="U414" i="1"/>
  <c r="S413" i="1"/>
  <c r="K415" i="1"/>
  <c r="U413" i="1"/>
  <c r="K414" i="1"/>
  <c r="Q415" i="1"/>
  <c r="K416" i="1"/>
  <c r="CS246" i="1"/>
  <c r="CS245" i="1" s="1"/>
  <c r="CS244" i="1" s="1"/>
  <c r="CS243" i="1" s="1"/>
  <c r="CS242" i="1" s="1"/>
  <c r="CS241" i="1" s="1"/>
  <c r="CS240" i="1" s="1"/>
  <c r="CS239" i="1" s="1"/>
  <c r="CS238" i="1" s="1"/>
  <c r="CS237" i="1" s="1"/>
  <c r="CS236" i="1" s="1"/>
  <c r="CS235" i="1" s="1"/>
  <c r="CS234" i="1" s="1"/>
  <c r="CS233" i="1" s="1"/>
  <c r="CS232" i="1" s="1"/>
  <c r="CS231" i="1" s="1"/>
  <c r="CS230" i="1" s="1"/>
  <c r="CS229" i="1" s="1"/>
  <c r="CS228" i="1" s="1"/>
  <c r="CS227" i="1" s="1"/>
  <c r="CS226" i="1" s="1"/>
  <c r="CS225" i="1" s="1"/>
  <c r="CS224" i="1" s="1"/>
  <c r="CS223" i="1" s="1"/>
  <c r="CS222" i="1" s="1"/>
  <c r="CS221" i="1" s="1"/>
  <c r="CS220" i="1" s="1"/>
  <c r="CS219" i="1" s="1"/>
  <c r="CS218" i="1" s="1"/>
  <c r="CS217" i="1" s="1"/>
  <c r="CS216" i="1" s="1"/>
  <c r="CS215" i="1" s="1"/>
  <c r="CS214" i="1" s="1"/>
  <c r="CS213" i="1" s="1"/>
  <c r="CS212" i="1" s="1"/>
  <c r="CS211" i="1" s="1"/>
  <c r="CS210" i="1" s="1"/>
  <c r="CS209" i="1" s="1"/>
  <c r="CS208" i="1" s="1"/>
  <c r="CS207" i="1" s="1"/>
  <c r="CS206" i="1" s="1"/>
  <c r="CS205" i="1" s="1"/>
  <c r="CS204" i="1" s="1"/>
  <c r="CS203" i="1" s="1"/>
  <c r="CS202" i="1" s="1"/>
  <c r="CS201" i="1" s="1"/>
  <c r="CS200" i="1" s="1"/>
  <c r="CS199" i="1" s="1"/>
  <c r="CS198" i="1" s="1"/>
  <c r="CS197" i="1" s="1"/>
  <c r="CS196" i="1" s="1"/>
  <c r="CS195" i="1" s="1"/>
  <c r="CS194" i="1" s="1"/>
  <c r="CS193" i="1" s="1"/>
  <c r="CS192" i="1" s="1"/>
  <c r="CS191" i="1" s="1"/>
  <c r="CS190" i="1" s="1"/>
  <c r="CS189" i="1" s="1"/>
  <c r="CS188" i="1" s="1"/>
  <c r="CS187" i="1" s="1"/>
  <c r="CS186" i="1" s="1"/>
  <c r="CS185" i="1" s="1"/>
  <c r="CS184" i="1" s="1"/>
  <c r="CS183" i="1" s="1"/>
  <c r="CS182" i="1" s="1"/>
  <c r="CS181" i="1" s="1"/>
  <c r="CS180" i="1" s="1"/>
  <c r="CS179" i="1" s="1"/>
  <c r="CS178" i="1" s="1"/>
  <c r="CS177" i="1" s="1"/>
  <c r="CS176" i="1" s="1"/>
  <c r="CS175" i="1" s="1"/>
  <c r="CS174" i="1" s="1"/>
  <c r="CS173" i="1" s="1"/>
  <c r="CS172" i="1" s="1"/>
  <c r="CS171" i="1" s="1"/>
  <c r="CS170" i="1" s="1"/>
  <c r="CS169" i="1" s="1"/>
  <c r="CS168" i="1" s="1"/>
  <c r="CS167" i="1" s="1"/>
  <c r="CS166" i="1" s="1"/>
  <c r="CS165" i="1" s="1"/>
  <c r="CS164" i="1" s="1"/>
  <c r="CS163" i="1" s="1"/>
  <c r="CS162" i="1" s="1"/>
  <c r="CS161" i="1" s="1"/>
  <c r="CS160" i="1" s="1"/>
  <c r="CS159" i="1" s="1"/>
  <c r="CS158" i="1" s="1"/>
  <c r="CS157" i="1" s="1"/>
  <c r="CS156" i="1" s="1"/>
  <c r="CS155" i="1" s="1"/>
  <c r="CS154" i="1" s="1"/>
  <c r="CS153" i="1" s="1"/>
  <c r="CS152" i="1" s="1"/>
  <c r="CS151" i="1" s="1"/>
  <c r="CS150" i="1" s="1"/>
  <c r="CS149" i="1" s="1"/>
  <c r="CS148" i="1" s="1"/>
  <c r="CS147" i="1" s="1"/>
  <c r="CS146" i="1" s="1"/>
  <c r="CS145" i="1" s="1"/>
  <c r="CS144" i="1" s="1"/>
  <c r="CS143" i="1" s="1"/>
  <c r="CS142" i="1" s="1"/>
  <c r="CS141" i="1" s="1"/>
  <c r="CS140" i="1" s="1"/>
  <c r="CS139" i="1" s="1"/>
  <c r="CS138" i="1" s="1"/>
  <c r="CS137" i="1" s="1"/>
  <c r="CS136" i="1" s="1"/>
  <c r="CS135" i="1" s="1"/>
  <c r="CS134" i="1" s="1"/>
  <c r="CS133" i="1" s="1"/>
  <c r="CS132" i="1" s="1"/>
  <c r="CS131" i="1" s="1"/>
  <c r="CS130" i="1" s="1"/>
  <c r="CS129" i="1" s="1"/>
  <c r="CS128" i="1" s="1"/>
  <c r="CS127" i="1" s="1"/>
  <c r="CS126" i="1" s="1"/>
  <c r="CS125" i="1" s="1"/>
  <c r="CS124" i="1" s="1"/>
  <c r="CS123" i="1" s="1"/>
  <c r="CS122" i="1" s="1"/>
  <c r="CS121" i="1" s="1"/>
  <c r="CS120" i="1" s="1"/>
  <c r="CS119" i="1" s="1"/>
  <c r="CS118" i="1" s="1"/>
  <c r="CS117" i="1" s="1"/>
  <c r="CS116" i="1" s="1"/>
  <c r="CS115" i="1" s="1"/>
  <c r="CS114" i="1" s="1"/>
  <c r="CS113" i="1" s="1"/>
  <c r="CS112" i="1" s="1"/>
  <c r="CS111" i="1" s="1"/>
  <c r="CS110" i="1" s="1"/>
  <c r="CS109" i="1" s="1"/>
  <c r="CS108" i="1" s="1"/>
  <c r="CS107" i="1" s="1"/>
  <c r="CS106" i="1" s="1"/>
  <c r="CS105" i="1" s="1"/>
  <c r="CS104" i="1" s="1"/>
  <c r="CS103" i="1" s="1"/>
  <c r="CS102" i="1" s="1"/>
  <c r="CS101" i="1" s="1"/>
  <c r="CS100" i="1" s="1"/>
  <c r="CS99" i="1" s="1"/>
  <c r="CS98" i="1" s="1"/>
  <c r="CS97" i="1" s="1"/>
  <c r="CS96" i="1" s="1"/>
  <c r="CS95" i="1" s="1"/>
  <c r="CS94" i="1" s="1"/>
  <c r="CS93" i="1" s="1"/>
  <c r="CS92" i="1" s="1"/>
  <c r="CS91" i="1" s="1"/>
  <c r="CS90" i="1" s="1"/>
  <c r="CS89" i="1" s="1"/>
  <c r="CS88" i="1" s="1"/>
  <c r="CS87" i="1" s="1"/>
  <c r="CS86" i="1" s="1"/>
  <c r="CS85" i="1" s="1"/>
  <c r="CS84" i="1" s="1"/>
  <c r="CS83" i="1" s="1"/>
  <c r="CS82" i="1" s="1"/>
  <c r="CS81" i="1" s="1"/>
  <c r="CS80" i="1" s="1"/>
  <c r="CS79" i="1" s="1"/>
  <c r="CS78" i="1" s="1"/>
  <c r="CS77" i="1" s="1"/>
  <c r="CS76" i="1" s="1"/>
  <c r="CS75" i="1" s="1"/>
  <c r="CS74" i="1" s="1"/>
  <c r="CS73" i="1" s="1"/>
  <c r="CS72" i="1" s="1"/>
  <c r="CS71" i="1" s="1"/>
  <c r="CS70" i="1" s="1"/>
  <c r="CS69" i="1" s="1"/>
  <c r="CS68" i="1" s="1"/>
  <c r="CS67" i="1" s="1"/>
  <c r="CS66" i="1" s="1"/>
  <c r="CS65" i="1" s="1"/>
  <c r="J424" i="1"/>
  <c r="I412" i="1"/>
  <c r="Q411" i="1"/>
  <c r="S411" i="1"/>
  <c r="L412" i="1"/>
  <c r="I414" i="1"/>
  <c r="K413" i="1"/>
  <c r="I413" i="1"/>
  <c r="Q412" i="1"/>
  <c r="S412" i="1"/>
  <c r="U412" i="1"/>
  <c r="L413" i="1"/>
  <c r="J421" i="1"/>
  <c r="U411" i="1"/>
  <c r="L414" i="1"/>
  <c r="L411" i="1"/>
  <c r="L418" i="1"/>
  <c r="J419" i="1"/>
  <c r="AQ412" i="1"/>
  <c r="AQ414" i="1"/>
  <c r="J416" i="1"/>
  <c r="J413" i="1"/>
  <c r="AQ413" i="1"/>
  <c r="AQ411" i="1"/>
  <c r="K412" i="1"/>
  <c r="J411" i="1"/>
  <c r="K411" i="1"/>
  <c r="J414" i="1"/>
  <c r="J422" i="1"/>
  <c r="J417" i="1"/>
  <c r="I411" i="1"/>
  <c r="J412" i="1"/>
  <c r="J420" i="1"/>
  <c r="J415" i="1"/>
  <c r="J423" i="1"/>
  <c r="I410" i="1" l="1"/>
  <c r="L410" i="1"/>
  <c r="Q409" i="1"/>
  <c r="U409" i="1"/>
  <c r="S409" i="1"/>
  <c r="U410" i="1"/>
  <c r="S410" i="1"/>
  <c r="Q410" i="1"/>
  <c r="AQ410" i="1"/>
  <c r="I409" i="1"/>
  <c r="J409" i="1"/>
  <c r="AQ409" i="1"/>
  <c r="L409" i="1"/>
  <c r="J410" i="1"/>
  <c r="K410" i="1"/>
  <c r="K409" i="1"/>
  <c r="I407" i="1" l="1"/>
  <c r="L407" i="1" l="1"/>
  <c r="AQ407" i="1"/>
  <c r="U408" i="1"/>
  <c r="S408" i="1"/>
  <c r="Q408" i="1"/>
  <c r="U407" i="1"/>
  <c r="Q407" i="1"/>
  <c r="S407" i="1"/>
  <c r="K407" i="1"/>
  <c r="L408" i="1"/>
  <c r="J408" i="1"/>
  <c r="K408" i="1"/>
  <c r="AQ408" i="1"/>
  <c r="I408" i="1"/>
  <c r="J407" i="1"/>
  <c r="I404" i="1" l="1"/>
  <c r="L404" i="1"/>
  <c r="Q404" i="1" l="1"/>
  <c r="U404" i="1"/>
  <c r="S404" i="1"/>
  <c r="S405" i="1"/>
  <c r="U405" i="1"/>
  <c r="Q405" i="1"/>
  <c r="K405" i="1"/>
  <c r="J404" i="1"/>
  <c r="AQ404" i="1"/>
  <c r="K404" i="1"/>
  <c r="J405" i="1"/>
  <c r="I405" i="1"/>
  <c r="AQ405" i="1"/>
  <c r="L405" i="1"/>
  <c r="I406" i="1" l="1"/>
  <c r="S406" i="1"/>
  <c r="Q406" i="1"/>
  <c r="U406" i="1"/>
  <c r="AQ406" i="1"/>
  <c r="K406" i="1"/>
  <c r="L406" i="1"/>
  <c r="J406" i="1"/>
  <c r="L360" i="1" l="1"/>
  <c r="I360" i="1"/>
  <c r="L358" i="1"/>
  <c r="I358" i="1"/>
  <c r="I359" i="1"/>
  <c r="L354" i="1"/>
  <c r="I354" i="1"/>
  <c r="L355" i="1"/>
  <c r="I355" i="1"/>
  <c r="L356" i="1"/>
  <c r="I356" i="1"/>
  <c r="I357" i="1"/>
  <c r="A2" i="2"/>
  <c r="B13" i="2" s="1"/>
  <c r="L5" i="1"/>
  <c r="I5" i="1"/>
  <c r="I6" i="1"/>
  <c r="L7" i="1"/>
  <c r="I7" i="1"/>
  <c r="L8" i="1"/>
  <c r="K8" i="1"/>
  <c r="K9" i="1"/>
  <c r="L10" i="1"/>
  <c r="K10" i="1"/>
  <c r="L11" i="1"/>
  <c r="I11" i="1"/>
  <c r="L12" i="1"/>
  <c r="K12" i="1"/>
  <c r="L13" i="1"/>
  <c r="I13" i="1"/>
  <c r="L14" i="1"/>
  <c r="K14" i="1"/>
  <c r="L15" i="1"/>
  <c r="I15" i="1"/>
  <c r="L16" i="1"/>
  <c r="K16" i="1"/>
  <c r="I17" i="1"/>
  <c r="AQ17" i="1"/>
  <c r="L18" i="1"/>
  <c r="K18" i="1"/>
  <c r="AQ18" i="1"/>
  <c r="L19" i="1"/>
  <c r="I19" i="1"/>
  <c r="AQ19" i="1"/>
  <c r="L20" i="1"/>
  <c r="I20" i="1"/>
  <c r="AQ20" i="1"/>
  <c r="L21" i="1"/>
  <c r="I21" i="1"/>
  <c r="AQ21" i="1"/>
  <c r="I22" i="1"/>
  <c r="AQ22" i="1"/>
  <c r="L23" i="1"/>
  <c r="I23" i="1"/>
  <c r="AQ23" i="1"/>
  <c r="L24" i="1"/>
  <c r="K24" i="1"/>
  <c r="AQ24" i="1"/>
  <c r="L25" i="1"/>
  <c r="K25" i="1"/>
  <c r="AQ25" i="1"/>
  <c r="L26" i="1"/>
  <c r="I26" i="1"/>
  <c r="AQ26" i="1"/>
  <c r="L27" i="1"/>
  <c r="AQ27" i="1"/>
  <c r="L28" i="1"/>
  <c r="I28" i="1"/>
  <c r="AQ28" i="1"/>
  <c r="L29" i="1"/>
  <c r="I29" i="1"/>
  <c r="AQ29" i="1"/>
  <c r="L30" i="1"/>
  <c r="I30" i="1"/>
  <c r="AQ30" i="1"/>
  <c r="L31" i="1"/>
  <c r="I31" i="1"/>
  <c r="AQ31" i="1"/>
  <c r="L32" i="1"/>
  <c r="I32" i="1"/>
  <c r="AQ32" i="1"/>
  <c r="L33" i="1"/>
  <c r="AQ33" i="1"/>
  <c r="L34" i="1"/>
  <c r="I34" i="1"/>
  <c r="AQ34" i="1"/>
  <c r="L35" i="1"/>
  <c r="K35" i="1"/>
  <c r="AQ35" i="1"/>
  <c r="L36" i="1"/>
  <c r="I36" i="1"/>
  <c r="AQ36" i="1"/>
  <c r="L37" i="1"/>
  <c r="K37" i="1"/>
  <c r="AQ37" i="1"/>
  <c r="L38" i="1"/>
  <c r="AQ38" i="1"/>
  <c r="L39" i="1"/>
  <c r="K39" i="1"/>
  <c r="AQ39" i="1"/>
  <c r="L40" i="1"/>
  <c r="K40" i="1"/>
  <c r="AQ40" i="1"/>
  <c r="L41" i="1"/>
  <c r="I41" i="1"/>
  <c r="AQ41" i="1"/>
  <c r="L42" i="1"/>
  <c r="K42" i="1"/>
  <c r="AQ42" i="1"/>
  <c r="L43" i="1"/>
  <c r="I43" i="1"/>
  <c r="AQ43" i="1"/>
  <c r="L44" i="1"/>
  <c r="I44" i="1"/>
  <c r="AQ44" i="1"/>
  <c r="L45" i="1"/>
  <c r="K45" i="1"/>
  <c r="AQ45" i="1"/>
  <c r="L46" i="1"/>
  <c r="K46" i="1"/>
  <c r="AQ46" i="1"/>
  <c r="L47" i="1"/>
  <c r="I47" i="1"/>
  <c r="AQ47" i="1"/>
  <c r="L48" i="1"/>
  <c r="I48" i="1"/>
  <c r="AQ48" i="1"/>
  <c r="L49" i="1"/>
  <c r="AQ49" i="1"/>
  <c r="L50" i="1"/>
  <c r="I50" i="1"/>
  <c r="AQ50" i="1"/>
  <c r="L51" i="1"/>
  <c r="I51" i="1"/>
  <c r="AQ51" i="1"/>
  <c r="L52" i="1"/>
  <c r="I52" i="1"/>
  <c r="AQ52" i="1"/>
  <c r="L53" i="1"/>
  <c r="I53" i="1"/>
  <c r="AQ53" i="1"/>
  <c r="L54" i="1"/>
  <c r="I54" i="1"/>
  <c r="AQ54" i="1"/>
  <c r="L55" i="1"/>
  <c r="K55" i="1"/>
  <c r="AQ55" i="1"/>
  <c r="L56" i="1"/>
  <c r="K56" i="1"/>
  <c r="AQ56" i="1"/>
  <c r="K57" i="1"/>
  <c r="AQ57" i="1"/>
  <c r="L58" i="1"/>
  <c r="I58" i="1"/>
  <c r="AQ58" i="1"/>
  <c r="L59" i="1"/>
  <c r="I59" i="1"/>
  <c r="AQ59" i="1"/>
  <c r="L60" i="1"/>
  <c r="AQ60" i="1"/>
  <c r="L61" i="1"/>
  <c r="I61" i="1"/>
  <c r="AQ61" i="1"/>
  <c r="L62" i="1"/>
  <c r="I62" i="1"/>
  <c r="AQ62" i="1"/>
  <c r="L63" i="1"/>
  <c r="K63" i="1"/>
  <c r="AQ63" i="1"/>
  <c r="L64" i="1"/>
  <c r="I64" i="1"/>
  <c r="AQ64" i="1"/>
  <c r="L65" i="1"/>
  <c r="AQ65" i="1"/>
  <c r="L66" i="1"/>
  <c r="K66" i="1"/>
  <c r="AQ66" i="1"/>
  <c r="L67" i="1"/>
  <c r="I67" i="1"/>
  <c r="AQ67" i="1"/>
  <c r="L68" i="1"/>
  <c r="I68" i="1"/>
  <c r="AQ68" i="1"/>
  <c r="L69" i="1"/>
  <c r="I69" i="1"/>
  <c r="AQ69" i="1"/>
  <c r="L70" i="1"/>
  <c r="K70" i="1"/>
  <c r="AQ70" i="1"/>
  <c r="L71" i="1"/>
  <c r="K71" i="1"/>
  <c r="AQ71" i="1"/>
  <c r="L72" i="1"/>
  <c r="I72" i="1"/>
  <c r="AQ72" i="1"/>
  <c r="L73" i="1"/>
  <c r="I73" i="1"/>
  <c r="AQ73" i="1"/>
  <c r="L74" i="1"/>
  <c r="K74" i="1"/>
  <c r="AQ74" i="1"/>
  <c r="L75" i="1"/>
  <c r="AQ75" i="1"/>
  <c r="L76" i="1"/>
  <c r="I76" i="1"/>
  <c r="AQ76" i="1"/>
  <c r="L77" i="1"/>
  <c r="K77" i="1"/>
  <c r="AQ77" i="1"/>
  <c r="L78" i="1"/>
  <c r="AQ78" i="1"/>
  <c r="L79" i="1"/>
  <c r="K79" i="1"/>
  <c r="AQ79" i="1"/>
  <c r="L80" i="1"/>
  <c r="I80" i="1"/>
  <c r="AQ80" i="1"/>
  <c r="L81" i="1"/>
  <c r="I81" i="1"/>
  <c r="AQ81" i="1"/>
  <c r="L82" i="1"/>
  <c r="AQ82" i="1"/>
  <c r="L83" i="1"/>
  <c r="K83" i="1"/>
  <c r="AQ83" i="1"/>
  <c r="L84" i="1"/>
  <c r="I84" i="1"/>
  <c r="AQ84" i="1"/>
  <c r="L85" i="1"/>
  <c r="I85" i="1"/>
  <c r="AQ85" i="1"/>
  <c r="L86" i="1"/>
  <c r="I86" i="1"/>
  <c r="AQ86" i="1"/>
  <c r="L87" i="1"/>
  <c r="K87" i="1"/>
  <c r="AQ87" i="1"/>
  <c r="L88" i="1"/>
  <c r="K88" i="1"/>
  <c r="AQ88" i="1"/>
  <c r="L89" i="1"/>
  <c r="K89" i="1"/>
  <c r="AQ89" i="1"/>
  <c r="L90" i="1"/>
  <c r="K90" i="1"/>
  <c r="AQ90" i="1"/>
  <c r="L91" i="1"/>
  <c r="AQ91" i="1"/>
  <c r="L92" i="1"/>
  <c r="I92" i="1"/>
  <c r="AQ92" i="1"/>
  <c r="L93" i="1"/>
  <c r="K93" i="1"/>
  <c r="AQ93" i="1"/>
  <c r="L94" i="1"/>
  <c r="K94" i="1"/>
  <c r="AQ94" i="1"/>
  <c r="L95" i="1"/>
  <c r="I95" i="1"/>
  <c r="AQ95" i="1"/>
  <c r="L96" i="1"/>
  <c r="I96" i="1"/>
  <c r="AQ96" i="1"/>
  <c r="L97" i="1"/>
  <c r="I97" i="1"/>
  <c r="AQ97" i="1"/>
  <c r="L98" i="1"/>
  <c r="K98" i="1"/>
  <c r="AQ98" i="1"/>
  <c r="L99" i="1"/>
  <c r="AQ99" i="1"/>
  <c r="L100" i="1"/>
  <c r="I100" i="1"/>
  <c r="AQ100" i="1"/>
  <c r="L101" i="1"/>
  <c r="AQ101" i="1"/>
  <c r="L102" i="1"/>
  <c r="I102" i="1"/>
  <c r="AQ102" i="1"/>
  <c r="L103" i="1"/>
  <c r="I103" i="1"/>
  <c r="AQ103" i="1"/>
  <c r="L104" i="1"/>
  <c r="K104" i="1"/>
  <c r="AQ104" i="1"/>
  <c r="L105" i="1"/>
  <c r="K105" i="1"/>
  <c r="AQ105" i="1"/>
  <c r="L106" i="1"/>
  <c r="I106" i="1"/>
  <c r="AQ106" i="1"/>
  <c r="L107" i="1"/>
  <c r="K107" i="1"/>
  <c r="AQ107" i="1"/>
  <c r="L108" i="1"/>
  <c r="K108" i="1"/>
  <c r="AQ108" i="1"/>
  <c r="K109" i="1"/>
  <c r="AQ109" i="1"/>
  <c r="L110" i="1"/>
  <c r="K110" i="1"/>
  <c r="AQ110" i="1"/>
  <c r="L111" i="1"/>
  <c r="I111" i="1"/>
  <c r="AQ111" i="1"/>
  <c r="L112" i="1"/>
  <c r="I112" i="1"/>
  <c r="AQ112" i="1"/>
  <c r="L113" i="1"/>
  <c r="K113" i="1"/>
  <c r="AQ113" i="1"/>
  <c r="L114" i="1"/>
  <c r="K114" i="1"/>
  <c r="AQ114" i="1"/>
  <c r="L115" i="1"/>
  <c r="I115" i="1"/>
  <c r="AQ115" i="1"/>
  <c r="L116" i="1"/>
  <c r="I116" i="1"/>
  <c r="AQ116" i="1"/>
  <c r="L117" i="1"/>
  <c r="I117" i="1"/>
  <c r="AQ117" i="1"/>
  <c r="L118" i="1"/>
  <c r="AQ118" i="1"/>
  <c r="I119" i="1"/>
  <c r="AQ119" i="1"/>
  <c r="L120" i="1"/>
  <c r="I120" i="1"/>
  <c r="AQ120" i="1"/>
  <c r="L121" i="1"/>
  <c r="AQ121" i="1"/>
  <c r="L122" i="1"/>
  <c r="I122" i="1"/>
  <c r="AQ122" i="1"/>
  <c r="L123" i="1"/>
  <c r="I123" i="1"/>
  <c r="AQ123" i="1"/>
  <c r="L124" i="1"/>
  <c r="I124" i="1"/>
  <c r="AQ124" i="1"/>
  <c r="L125" i="1"/>
  <c r="I125" i="1"/>
  <c r="AQ125" i="1"/>
  <c r="L126" i="1"/>
  <c r="I126" i="1"/>
  <c r="AQ126" i="1"/>
  <c r="L127" i="1"/>
  <c r="I127" i="1"/>
  <c r="AQ127" i="1"/>
  <c r="L128" i="1"/>
  <c r="I128" i="1"/>
  <c r="AQ128" i="1"/>
  <c r="L129" i="1"/>
  <c r="AQ129" i="1"/>
  <c r="L130" i="1"/>
  <c r="I130" i="1"/>
  <c r="AQ130" i="1"/>
  <c r="L131" i="1"/>
  <c r="AQ131" i="1"/>
  <c r="L132" i="1"/>
  <c r="I132" i="1"/>
  <c r="AQ132" i="1"/>
  <c r="L133" i="1"/>
  <c r="AQ133" i="1"/>
  <c r="L134" i="1"/>
  <c r="I134" i="1"/>
  <c r="AQ134" i="1"/>
  <c r="L135" i="1"/>
  <c r="AQ135" i="1"/>
  <c r="L136" i="1"/>
  <c r="AQ136" i="1"/>
  <c r="L137" i="1"/>
  <c r="I137" i="1"/>
  <c r="AQ137" i="1"/>
  <c r="L138" i="1"/>
  <c r="I138" i="1"/>
  <c r="AQ138" i="1"/>
  <c r="L139" i="1"/>
  <c r="AQ139" i="1"/>
  <c r="L140" i="1"/>
  <c r="AQ140" i="1"/>
  <c r="L141" i="1"/>
  <c r="I141" i="1"/>
  <c r="AQ141" i="1"/>
  <c r="L142" i="1"/>
  <c r="I142" i="1"/>
  <c r="AQ142" i="1"/>
  <c r="L143" i="1"/>
  <c r="AQ143" i="1"/>
  <c r="L144" i="1"/>
  <c r="I144" i="1"/>
  <c r="AQ144" i="1"/>
  <c r="L145" i="1"/>
  <c r="AQ145" i="1"/>
  <c r="L146" i="1"/>
  <c r="I146" i="1"/>
  <c r="AQ146" i="1"/>
  <c r="L147" i="1"/>
  <c r="I147" i="1"/>
  <c r="AQ147" i="1"/>
  <c r="L148" i="1"/>
  <c r="I148" i="1"/>
  <c r="AQ148" i="1"/>
  <c r="L149" i="1"/>
  <c r="I149" i="1"/>
  <c r="AQ149" i="1"/>
  <c r="L150" i="1"/>
  <c r="AQ150" i="1"/>
  <c r="L151" i="1"/>
  <c r="AQ151" i="1"/>
  <c r="L152" i="1"/>
  <c r="I152" i="1"/>
  <c r="AQ152" i="1"/>
  <c r="L153" i="1"/>
  <c r="I153" i="1"/>
  <c r="AQ153" i="1"/>
  <c r="L154" i="1"/>
  <c r="I154" i="1"/>
  <c r="AQ154" i="1"/>
  <c r="L155" i="1"/>
  <c r="I155" i="1"/>
  <c r="AQ155" i="1"/>
  <c r="L156" i="1"/>
  <c r="I156" i="1"/>
  <c r="AQ156" i="1"/>
  <c r="I157" i="1"/>
  <c r="AQ157" i="1"/>
  <c r="L158" i="1"/>
  <c r="I158" i="1"/>
  <c r="AQ158" i="1"/>
  <c r="L159" i="1"/>
  <c r="I159" i="1"/>
  <c r="AQ159" i="1"/>
  <c r="L160" i="1"/>
  <c r="I160" i="1"/>
  <c r="AQ160" i="1"/>
  <c r="L161" i="1"/>
  <c r="AQ161" i="1"/>
  <c r="L162" i="1"/>
  <c r="I162" i="1"/>
  <c r="AQ162" i="1"/>
  <c r="I163" i="1"/>
  <c r="AQ163" i="1"/>
  <c r="L164" i="1"/>
  <c r="AQ164" i="1"/>
  <c r="L165" i="1"/>
  <c r="I165" i="1"/>
  <c r="AQ165" i="1"/>
  <c r="L166" i="1"/>
  <c r="I166" i="1"/>
  <c r="AQ166" i="1"/>
  <c r="L167" i="1"/>
  <c r="I167" i="1"/>
  <c r="AQ167" i="1"/>
  <c r="L168" i="1"/>
  <c r="I168" i="1"/>
  <c r="AQ168" i="1"/>
  <c r="L169" i="1"/>
  <c r="AQ169" i="1"/>
  <c r="L170" i="1"/>
  <c r="I170" i="1"/>
  <c r="AQ170" i="1"/>
  <c r="I171" i="1"/>
  <c r="AQ171" i="1"/>
  <c r="L172" i="1"/>
  <c r="I172" i="1"/>
  <c r="AQ172" i="1"/>
  <c r="L173" i="1"/>
  <c r="I173" i="1"/>
  <c r="AQ173" i="1"/>
  <c r="L174" i="1"/>
  <c r="AQ174" i="1"/>
  <c r="L175" i="1"/>
  <c r="I175" i="1"/>
  <c r="AQ175" i="1"/>
  <c r="L176" i="1"/>
  <c r="I176" i="1"/>
  <c r="AQ176" i="1"/>
  <c r="L177" i="1"/>
  <c r="I177" i="1"/>
  <c r="AQ177" i="1"/>
  <c r="L178" i="1"/>
  <c r="I178" i="1"/>
  <c r="AQ178" i="1"/>
  <c r="L179" i="1"/>
  <c r="I179" i="1"/>
  <c r="AQ179" i="1"/>
  <c r="L180" i="1"/>
  <c r="AQ180" i="1"/>
  <c r="L181" i="1"/>
  <c r="I181" i="1"/>
  <c r="AQ181" i="1"/>
  <c r="L182" i="1"/>
  <c r="I182" i="1"/>
  <c r="AQ182" i="1"/>
  <c r="L183" i="1"/>
  <c r="I183" i="1"/>
  <c r="AQ183" i="1"/>
  <c r="DY184" i="1"/>
  <c r="L184" i="1"/>
  <c r="AQ184" i="1"/>
  <c r="I185" i="1"/>
  <c r="AQ185" i="1"/>
  <c r="L186" i="1"/>
  <c r="I186" i="1"/>
  <c r="AQ186" i="1"/>
  <c r="L187" i="1"/>
  <c r="I187" i="1"/>
  <c r="AQ187" i="1"/>
  <c r="L188" i="1"/>
  <c r="I188" i="1"/>
  <c r="AQ188" i="1"/>
  <c r="L189" i="1"/>
  <c r="I189" i="1"/>
  <c r="AQ189" i="1"/>
  <c r="L190" i="1"/>
  <c r="I190" i="1"/>
  <c r="AQ190" i="1"/>
  <c r="L191" i="1"/>
  <c r="AQ191" i="1"/>
  <c r="L192" i="1"/>
  <c r="I192" i="1"/>
  <c r="AQ192" i="1"/>
  <c r="I193" i="1"/>
  <c r="AQ193" i="1"/>
  <c r="L194" i="1"/>
  <c r="AQ194" i="1"/>
  <c r="L195" i="1"/>
  <c r="AQ195" i="1"/>
  <c r="L196" i="1"/>
  <c r="I196" i="1"/>
  <c r="AQ196" i="1"/>
  <c r="L197" i="1"/>
  <c r="I197" i="1"/>
  <c r="AQ197" i="1"/>
  <c r="L198" i="1"/>
  <c r="AQ198" i="1"/>
  <c r="L199" i="1"/>
  <c r="I199" i="1"/>
  <c r="AQ199" i="1"/>
  <c r="L200" i="1"/>
  <c r="I200" i="1"/>
  <c r="AQ200" i="1"/>
  <c r="L201" i="1"/>
  <c r="AQ201" i="1"/>
  <c r="L202" i="1"/>
  <c r="I202" i="1"/>
  <c r="AQ202" i="1"/>
  <c r="L203" i="1"/>
  <c r="I203" i="1"/>
  <c r="AQ203" i="1"/>
  <c r="L204" i="1"/>
  <c r="I204" i="1"/>
  <c r="AQ204" i="1"/>
  <c r="L205" i="1"/>
  <c r="I205" i="1"/>
  <c r="AQ205" i="1"/>
  <c r="L206" i="1"/>
  <c r="I206" i="1"/>
  <c r="AQ206" i="1"/>
  <c r="L207" i="1"/>
  <c r="I207" i="1"/>
  <c r="AQ207" i="1"/>
  <c r="L208" i="1"/>
  <c r="AQ208" i="1"/>
  <c r="L209" i="1"/>
  <c r="AQ209" i="1"/>
  <c r="I210" i="1"/>
  <c r="AQ210" i="1"/>
  <c r="L211" i="1"/>
  <c r="I211" i="1"/>
  <c r="AQ211" i="1"/>
  <c r="L212" i="1"/>
  <c r="I212" i="1"/>
  <c r="AQ212" i="1"/>
  <c r="L213" i="1"/>
  <c r="I213" i="1"/>
  <c r="AQ213" i="1"/>
  <c r="L214" i="1"/>
  <c r="I214" i="1"/>
  <c r="AQ214" i="1"/>
  <c r="L215" i="1"/>
  <c r="AQ215" i="1"/>
  <c r="L216" i="1"/>
  <c r="I216" i="1"/>
  <c r="AQ216" i="1"/>
  <c r="L217" i="1"/>
  <c r="I217" i="1"/>
  <c r="AQ217" i="1"/>
  <c r="L218" i="1"/>
  <c r="AQ218" i="1"/>
  <c r="L219" i="1"/>
  <c r="I219" i="1"/>
  <c r="AQ219" i="1"/>
  <c r="L220" i="1"/>
  <c r="I220" i="1"/>
  <c r="AQ220" i="1"/>
  <c r="L221" i="1"/>
  <c r="I221" i="1"/>
  <c r="AQ221" i="1"/>
  <c r="L222" i="1"/>
  <c r="AQ222" i="1"/>
  <c r="L223" i="1"/>
  <c r="AQ223" i="1"/>
  <c r="I224" i="1"/>
  <c r="AQ224" i="1"/>
  <c r="L225" i="1"/>
  <c r="AQ225" i="1"/>
  <c r="L226" i="1"/>
  <c r="I226" i="1"/>
  <c r="AQ226" i="1"/>
  <c r="L227" i="1"/>
  <c r="I227" i="1"/>
  <c r="AQ227" i="1"/>
  <c r="L228" i="1"/>
  <c r="I228" i="1"/>
  <c r="AQ228" i="1"/>
  <c r="L229" i="1"/>
  <c r="AQ229" i="1"/>
  <c r="I230" i="1"/>
  <c r="AQ230" i="1"/>
  <c r="L231" i="1"/>
  <c r="I231" i="1"/>
  <c r="AQ231" i="1"/>
  <c r="L232" i="1"/>
  <c r="AQ232" i="1"/>
  <c r="L233" i="1"/>
  <c r="AQ233" i="1"/>
  <c r="L234" i="1"/>
  <c r="I234" i="1"/>
  <c r="AQ234" i="1"/>
  <c r="L235" i="1"/>
  <c r="I235" i="1"/>
  <c r="AQ235" i="1"/>
  <c r="L236" i="1"/>
  <c r="AQ236" i="1"/>
  <c r="L237" i="1"/>
  <c r="AQ237" i="1"/>
  <c r="L238" i="1"/>
  <c r="I238" i="1"/>
  <c r="AQ238" i="1"/>
  <c r="L239" i="1"/>
  <c r="I239" i="1"/>
  <c r="AQ239" i="1"/>
  <c r="L240" i="1"/>
  <c r="I240" i="1"/>
  <c r="AQ240" i="1"/>
  <c r="L241" i="1"/>
  <c r="I241" i="1"/>
  <c r="AQ241" i="1"/>
  <c r="L242" i="1"/>
  <c r="I242" i="1"/>
  <c r="AQ242" i="1"/>
  <c r="L243" i="1"/>
  <c r="I243" i="1"/>
  <c r="AQ243" i="1"/>
  <c r="L244" i="1"/>
  <c r="I244" i="1"/>
  <c r="AQ244" i="1"/>
  <c r="AQ245" i="1"/>
  <c r="L246" i="1"/>
  <c r="I246" i="1"/>
  <c r="AQ246" i="1"/>
  <c r="L247" i="1"/>
  <c r="I247" i="1"/>
  <c r="AQ247" i="1"/>
  <c r="L248" i="1"/>
  <c r="I248" i="1"/>
  <c r="AQ248" i="1"/>
  <c r="L249" i="1"/>
  <c r="AQ249" i="1"/>
  <c r="L250" i="1"/>
  <c r="AQ250" i="1"/>
  <c r="L251" i="1"/>
  <c r="I251" i="1"/>
  <c r="AQ251" i="1"/>
  <c r="I252" i="1"/>
  <c r="AQ252" i="1"/>
  <c r="L253" i="1"/>
  <c r="I253" i="1"/>
  <c r="AQ253" i="1"/>
  <c r="L254" i="1"/>
  <c r="AQ254" i="1"/>
  <c r="L255" i="1"/>
  <c r="AQ255" i="1"/>
  <c r="L256" i="1"/>
  <c r="AQ256" i="1"/>
  <c r="L257" i="1"/>
  <c r="I257" i="1"/>
  <c r="AQ257" i="1"/>
  <c r="L258" i="1"/>
  <c r="AQ258" i="1"/>
  <c r="I259" i="1"/>
  <c r="AQ259" i="1"/>
  <c r="I260" i="1"/>
  <c r="AQ260" i="1"/>
  <c r="L261" i="1"/>
  <c r="I261" i="1"/>
  <c r="AQ261" i="1"/>
  <c r="I262" i="1"/>
  <c r="AQ262" i="1"/>
  <c r="L263" i="1"/>
  <c r="I263" i="1"/>
  <c r="AQ263" i="1"/>
  <c r="I264" i="1"/>
  <c r="AQ264" i="1"/>
  <c r="L265" i="1"/>
  <c r="I265" i="1"/>
  <c r="AQ265" i="1"/>
  <c r="AQ266" i="1"/>
  <c r="L267" i="1"/>
  <c r="I267" i="1"/>
  <c r="AQ267" i="1"/>
  <c r="L268" i="1"/>
  <c r="I268" i="1"/>
  <c r="AQ268" i="1"/>
  <c r="L269" i="1"/>
  <c r="AQ269" i="1"/>
  <c r="I270" i="1"/>
  <c r="AQ270" i="1"/>
  <c r="L271" i="1"/>
  <c r="I271" i="1"/>
  <c r="AQ271" i="1"/>
  <c r="L272" i="1"/>
  <c r="AQ272" i="1"/>
  <c r="I273" i="1"/>
  <c r="AQ273" i="1"/>
  <c r="L274" i="1"/>
  <c r="AQ274" i="1"/>
  <c r="L275" i="1"/>
  <c r="AQ275" i="1"/>
  <c r="L276" i="1"/>
  <c r="I276" i="1"/>
  <c r="AQ276" i="1"/>
  <c r="L277" i="1"/>
  <c r="I277" i="1"/>
  <c r="AQ277" i="1"/>
  <c r="L278" i="1"/>
  <c r="I278" i="1"/>
  <c r="AQ278" i="1"/>
  <c r="L279" i="1"/>
  <c r="AQ279" i="1"/>
  <c r="I280" i="1"/>
  <c r="AQ280" i="1"/>
  <c r="L281" i="1"/>
  <c r="I281" i="1"/>
  <c r="AQ281" i="1"/>
  <c r="L282" i="1"/>
  <c r="I282" i="1"/>
  <c r="AQ282" i="1"/>
  <c r="L283" i="1"/>
  <c r="I283" i="1"/>
  <c r="AQ283" i="1"/>
  <c r="L284" i="1"/>
  <c r="AQ284" i="1"/>
  <c r="L285" i="1"/>
  <c r="AQ285" i="1"/>
  <c r="L286" i="1"/>
  <c r="I286" i="1"/>
  <c r="AQ286" i="1"/>
  <c r="L287" i="1"/>
  <c r="I287" i="1"/>
  <c r="AQ287" i="1"/>
  <c r="I288" i="1"/>
  <c r="AQ288" i="1"/>
  <c r="I289" i="1"/>
  <c r="AQ289" i="1"/>
  <c r="L290" i="1"/>
  <c r="AQ290" i="1"/>
  <c r="L291" i="1"/>
  <c r="I291" i="1"/>
  <c r="AQ291" i="1"/>
  <c r="L292" i="1"/>
  <c r="I292" i="1"/>
  <c r="AQ292" i="1"/>
  <c r="L293" i="1"/>
  <c r="I293" i="1"/>
  <c r="AQ293" i="1"/>
  <c r="L294" i="1"/>
  <c r="AQ294" i="1"/>
  <c r="L295" i="1"/>
  <c r="I295" i="1"/>
  <c r="AQ295" i="1"/>
  <c r="L296" i="1"/>
  <c r="I296" i="1"/>
  <c r="AQ296" i="1"/>
  <c r="L297" i="1"/>
  <c r="I297" i="1"/>
  <c r="AQ297" i="1"/>
  <c r="AQ298" i="1"/>
  <c r="L299" i="1"/>
  <c r="AQ299" i="1"/>
  <c r="L300" i="1"/>
  <c r="I300" i="1"/>
  <c r="AQ300" i="1"/>
  <c r="L301" i="1"/>
  <c r="I301" i="1"/>
  <c r="AQ301" i="1"/>
  <c r="L302" i="1"/>
  <c r="I302" i="1"/>
  <c r="AQ302" i="1"/>
  <c r="L303" i="1"/>
  <c r="I303" i="1"/>
  <c r="AQ303" i="1"/>
  <c r="L304" i="1"/>
  <c r="AQ304" i="1"/>
  <c r="I305" i="1"/>
  <c r="L306" i="1"/>
  <c r="I307" i="1"/>
  <c r="L309" i="1"/>
  <c r="I309" i="1"/>
  <c r="L310" i="1"/>
  <c r="I310" i="1"/>
  <c r="L311" i="1"/>
  <c r="I311" i="1"/>
  <c r="I312" i="1"/>
  <c r="L313" i="1"/>
  <c r="L314" i="1"/>
  <c r="I315" i="1"/>
  <c r="L317" i="1"/>
  <c r="I317" i="1"/>
  <c r="L318" i="1"/>
  <c r="I318" i="1"/>
  <c r="L319" i="1"/>
  <c r="I319" i="1"/>
  <c r="L320" i="1"/>
  <c r="I320" i="1"/>
  <c r="L321" i="1"/>
  <c r="I321" i="1"/>
  <c r="L322" i="1"/>
  <c r="I322" i="1"/>
  <c r="L323" i="1"/>
  <c r="I323" i="1"/>
  <c r="L324" i="1"/>
  <c r="L325" i="1"/>
  <c r="I325" i="1"/>
  <c r="L326" i="1"/>
  <c r="L327" i="1"/>
  <c r="L328" i="1"/>
  <c r="I328" i="1"/>
  <c r="I329" i="1"/>
  <c r="L330" i="1"/>
  <c r="L331" i="1"/>
  <c r="L332" i="1"/>
  <c r="I332" i="1"/>
  <c r="I333" i="1"/>
  <c r="L334" i="1"/>
  <c r="I334" i="1"/>
  <c r="L335" i="1"/>
  <c r="L336" i="1"/>
  <c r="I336" i="1"/>
  <c r="L337" i="1"/>
  <c r="L338" i="1"/>
  <c r="AQ338" i="1"/>
  <c r="I339" i="1"/>
  <c r="L340" i="1"/>
  <c r="L341" i="1"/>
  <c r="I343" i="1"/>
  <c r="L344" i="1"/>
  <c r="I345" i="1"/>
  <c r="I346" i="1"/>
  <c r="L347" i="1"/>
  <c r="I347" i="1"/>
  <c r="L348" i="1"/>
  <c r="L349" i="1"/>
  <c r="I349" i="1"/>
  <c r="L350" i="1"/>
  <c r="I351" i="1"/>
  <c r="L352" i="1"/>
  <c r="I352" i="1"/>
  <c r="L353" i="1"/>
  <c r="I353" i="1"/>
  <c r="B14" i="2" l="1"/>
  <c r="B15" i="2"/>
  <c r="B11" i="2"/>
  <c r="B12" i="2"/>
  <c r="B10" i="2"/>
  <c r="B6" i="2"/>
  <c r="B7" i="2"/>
  <c r="B9" i="2"/>
  <c r="B8" i="2"/>
  <c r="B5" i="2"/>
  <c r="B18" i="2"/>
  <c r="B4" i="2"/>
  <c r="B16" i="2"/>
  <c r="J398" i="1"/>
  <c r="I397" i="1"/>
  <c r="AQ398" i="1"/>
  <c r="U352" i="1"/>
  <c r="Q352" i="1"/>
  <c r="S352" i="1"/>
  <c r="U344" i="1"/>
  <c r="Q344" i="1"/>
  <c r="S344" i="1"/>
  <c r="U333" i="1"/>
  <c r="S333" i="1"/>
  <c r="Q333" i="1"/>
  <c r="Q266" i="1"/>
  <c r="U266" i="1"/>
  <c r="S266" i="1"/>
  <c r="U258" i="1"/>
  <c r="Q258" i="1"/>
  <c r="S258" i="1"/>
  <c r="Q250" i="1"/>
  <c r="U250" i="1"/>
  <c r="S250" i="1"/>
  <c r="U242" i="1"/>
  <c r="Q242" i="1"/>
  <c r="S242" i="1"/>
  <c r="Q234" i="1"/>
  <c r="S234" i="1"/>
  <c r="U234" i="1"/>
  <c r="Q226" i="1"/>
  <c r="S226" i="1"/>
  <c r="U226" i="1"/>
  <c r="Q218" i="1"/>
  <c r="S218" i="1"/>
  <c r="U218" i="1"/>
  <c r="Q210" i="1"/>
  <c r="S210" i="1"/>
  <c r="U210" i="1"/>
  <c r="Q199" i="1"/>
  <c r="S199" i="1"/>
  <c r="U199" i="1"/>
  <c r="Q183" i="1"/>
  <c r="S183" i="1"/>
  <c r="U183" i="1"/>
  <c r="Q167" i="1"/>
  <c r="S167" i="1"/>
  <c r="U167" i="1"/>
  <c r="U151" i="1"/>
  <c r="Q151" i="1"/>
  <c r="S151" i="1"/>
  <c r="S119" i="1"/>
  <c r="U119" i="1"/>
  <c r="Q119" i="1"/>
  <c r="Q113" i="1"/>
  <c r="S113" i="1"/>
  <c r="U113" i="1"/>
  <c r="Q97" i="1"/>
  <c r="S97" i="1"/>
  <c r="U97" i="1"/>
  <c r="Q89" i="1"/>
  <c r="S89" i="1"/>
  <c r="U89" i="1"/>
  <c r="S83" i="1"/>
  <c r="Q83" i="1"/>
  <c r="U83" i="1"/>
  <c r="S71" i="1"/>
  <c r="Q71" i="1"/>
  <c r="U71" i="1"/>
  <c r="S55" i="1"/>
  <c r="U55" i="1"/>
  <c r="S39" i="1"/>
  <c r="U39" i="1"/>
  <c r="S355" i="1"/>
  <c r="Q355" i="1"/>
  <c r="U355" i="1"/>
  <c r="Q388" i="1"/>
  <c r="U388" i="1"/>
  <c r="S388" i="1"/>
  <c r="S398" i="1"/>
  <c r="Q398" i="1"/>
  <c r="U398" i="1"/>
  <c r="Q318" i="1"/>
  <c r="S318" i="1"/>
  <c r="U318" i="1"/>
  <c r="S308" i="1"/>
  <c r="U308" i="1"/>
  <c r="Q308" i="1"/>
  <c r="U304" i="1"/>
  <c r="Q304" i="1"/>
  <c r="S304" i="1"/>
  <c r="U300" i="1"/>
  <c r="S300" i="1"/>
  <c r="Q300" i="1"/>
  <c r="Q296" i="1"/>
  <c r="U296" i="1"/>
  <c r="S296" i="1"/>
  <c r="U292" i="1"/>
  <c r="S292" i="1"/>
  <c r="Q292" i="1"/>
  <c r="U288" i="1"/>
  <c r="Q288" i="1"/>
  <c r="S288" i="1"/>
  <c r="U284" i="1"/>
  <c r="Q284" i="1"/>
  <c r="S284" i="1"/>
  <c r="Q280" i="1"/>
  <c r="U280" i="1"/>
  <c r="S280" i="1"/>
  <c r="U276" i="1"/>
  <c r="S276" i="1"/>
  <c r="Q276" i="1"/>
  <c r="S272" i="1"/>
  <c r="U272" i="1"/>
  <c r="Q272" i="1"/>
  <c r="S162" i="1"/>
  <c r="Q162" i="1"/>
  <c r="U162" i="1"/>
  <c r="S143" i="1"/>
  <c r="U143" i="1"/>
  <c r="Q143" i="1"/>
  <c r="S135" i="1"/>
  <c r="U135" i="1"/>
  <c r="Q135" i="1"/>
  <c r="S127" i="1"/>
  <c r="U127" i="1"/>
  <c r="Q127" i="1"/>
  <c r="U117" i="1"/>
  <c r="S117" i="1"/>
  <c r="Q117" i="1"/>
  <c r="U106" i="1"/>
  <c r="Q106" i="1"/>
  <c r="S106" i="1"/>
  <c r="S86" i="1"/>
  <c r="U86" i="1"/>
  <c r="Q86" i="1"/>
  <c r="S79" i="1"/>
  <c r="Q79" i="1"/>
  <c r="U79" i="1"/>
  <c r="U74" i="1"/>
  <c r="Q74" i="1"/>
  <c r="S74" i="1"/>
  <c r="S28" i="1"/>
  <c r="U28" i="1"/>
  <c r="Q356" i="1"/>
  <c r="S356" i="1"/>
  <c r="U356" i="1"/>
  <c r="Q367" i="1"/>
  <c r="U367" i="1"/>
  <c r="S367" i="1"/>
  <c r="S371" i="1"/>
  <c r="Q371" i="1"/>
  <c r="U371" i="1"/>
  <c r="U394" i="1"/>
  <c r="Q394" i="1"/>
  <c r="S394" i="1"/>
  <c r="Q345" i="1"/>
  <c r="S345" i="1"/>
  <c r="U345" i="1"/>
  <c r="S334" i="1"/>
  <c r="U334" i="1"/>
  <c r="Q334" i="1"/>
  <c r="Q327" i="1"/>
  <c r="U327" i="1"/>
  <c r="S327" i="1"/>
  <c r="Q319" i="1"/>
  <c r="S319" i="1"/>
  <c r="U319" i="1"/>
  <c r="U200" i="1"/>
  <c r="S200" i="1"/>
  <c r="Q200" i="1"/>
  <c r="U184" i="1"/>
  <c r="Q184" i="1"/>
  <c r="S184" i="1"/>
  <c r="Q168" i="1"/>
  <c r="U168" i="1"/>
  <c r="S168" i="1"/>
  <c r="U152" i="1"/>
  <c r="S152" i="1"/>
  <c r="Q152" i="1"/>
  <c r="S124" i="1"/>
  <c r="U124" i="1"/>
  <c r="Q124" i="1"/>
  <c r="S108" i="1"/>
  <c r="U108" i="1"/>
  <c r="Q108" i="1"/>
  <c r="S78" i="1"/>
  <c r="U78" i="1"/>
  <c r="Q78" i="1"/>
  <c r="S64" i="1"/>
  <c r="U64" i="1"/>
  <c r="U48" i="1"/>
  <c r="S48" i="1"/>
  <c r="U26" i="1"/>
  <c r="S26" i="1"/>
  <c r="Q357" i="1"/>
  <c r="U357" i="1"/>
  <c r="S357" i="1"/>
  <c r="S383" i="1"/>
  <c r="U383" i="1"/>
  <c r="Q383" i="1"/>
  <c r="Q326" i="1"/>
  <c r="U326" i="1"/>
  <c r="S326" i="1"/>
  <c r="Q312" i="1"/>
  <c r="U312" i="1"/>
  <c r="S312" i="1"/>
  <c r="S178" i="1"/>
  <c r="Q178" i="1"/>
  <c r="U178" i="1"/>
  <c r="S147" i="1"/>
  <c r="U147" i="1"/>
  <c r="Q147" i="1"/>
  <c r="S139" i="1"/>
  <c r="U139" i="1"/>
  <c r="Q139" i="1"/>
  <c r="S131" i="1"/>
  <c r="U131" i="1"/>
  <c r="Q131" i="1"/>
  <c r="S115" i="1"/>
  <c r="U115" i="1"/>
  <c r="Q115" i="1"/>
  <c r="U58" i="1"/>
  <c r="S58" i="1"/>
  <c r="U42" i="1"/>
  <c r="S42" i="1"/>
  <c r="S353" i="1"/>
  <c r="Q353" i="1"/>
  <c r="U353" i="1"/>
  <c r="U339" i="1"/>
  <c r="S339" i="1"/>
  <c r="Q339" i="1"/>
  <c r="Q267" i="1"/>
  <c r="S267" i="1"/>
  <c r="U267" i="1"/>
  <c r="Q259" i="1"/>
  <c r="S259" i="1"/>
  <c r="U259" i="1"/>
  <c r="S251" i="1"/>
  <c r="Q251" i="1"/>
  <c r="U251" i="1"/>
  <c r="S243" i="1"/>
  <c r="Q243" i="1"/>
  <c r="U243" i="1"/>
  <c r="S235" i="1"/>
  <c r="Q235" i="1"/>
  <c r="U235" i="1"/>
  <c r="S227" i="1"/>
  <c r="Q227" i="1"/>
  <c r="U227" i="1"/>
  <c r="U219" i="1"/>
  <c r="S219" i="1"/>
  <c r="Q219" i="1"/>
  <c r="U211" i="1"/>
  <c r="Q211" i="1"/>
  <c r="S211" i="1"/>
  <c r="S205" i="1"/>
  <c r="Q205" i="1"/>
  <c r="U205" i="1"/>
  <c r="U189" i="1"/>
  <c r="S189" i="1"/>
  <c r="Q189" i="1"/>
  <c r="U173" i="1"/>
  <c r="S173" i="1"/>
  <c r="Q173" i="1"/>
  <c r="Q157" i="1"/>
  <c r="U157" i="1"/>
  <c r="S157" i="1"/>
  <c r="S94" i="1"/>
  <c r="U94" i="1"/>
  <c r="Q94" i="1"/>
  <c r="S61" i="1"/>
  <c r="U61" i="1"/>
  <c r="S45" i="1"/>
  <c r="U45" i="1"/>
  <c r="S32" i="1"/>
  <c r="U32" i="1"/>
  <c r="S27" i="1"/>
  <c r="U27" i="1"/>
  <c r="S361" i="1"/>
  <c r="U361" i="1"/>
  <c r="Q361" i="1"/>
  <c r="Q368" i="1"/>
  <c r="S368" i="1"/>
  <c r="U368" i="1"/>
  <c r="S379" i="1"/>
  <c r="Q379" i="1"/>
  <c r="U379" i="1"/>
  <c r="S400" i="1"/>
  <c r="Q400" i="1"/>
  <c r="U400" i="1"/>
  <c r="U346" i="1"/>
  <c r="Q346" i="1"/>
  <c r="S346" i="1"/>
  <c r="S268" i="1"/>
  <c r="U268" i="1"/>
  <c r="Q268" i="1"/>
  <c r="U260" i="1"/>
  <c r="Q260" i="1"/>
  <c r="S260" i="1"/>
  <c r="U252" i="1"/>
  <c r="S252" i="1"/>
  <c r="Q252" i="1"/>
  <c r="S244" i="1"/>
  <c r="U244" i="1"/>
  <c r="Q244" i="1"/>
  <c r="U236" i="1"/>
  <c r="Q236" i="1"/>
  <c r="S236" i="1"/>
  <c r="S228" i="1"/>
  <c r="Q228" i="1"/>
  <c r="U228" i="1"/>
  <c r="Q220" i="1"/>
  <c r="S220" i="1"/>
  <c r="U220" i="1"/>
  <c r="Q212" i="1"/>
  <c r="U212" i="1"/>
  <c r="S212" i="1"/>
  <c r="U195" i="1"/>
  <c r="Q195" i="1"/>
  <c r="S195" i="1"/>
  <c r="U179" i="1"/>
  <c r="Q179" i="1"/>
  <c r="S179" i="1"/>
  <c r="Q163" i="1"/>
  <c r="U163" i="1"/>
  <c r="S163" i="1"/>
  <c r="U101" i="1"/>
  <c r="Q101" i="1"/>
  <c r="S101" i="1"/>
  <c r="S99" i="1"/>
  <c r="Q99" i="1"/>
  <c r="U99" i="1"/>
  <c r="S91" i="1"/>
  <c r="U91" i="1"/>
  <c r="Q91" i="1"/>
  <c r="S67" i="1"/>
  <c r="Q67" i="1"/>
  <c r="U67" i="1"/>
  <c r="S51" i="1"/>
  <c r="U51" i="1"/>
  <c r="S35" i="1"/>
  <c r="U35" i="1"/>
  <c r="S25" i="1"/>
  <c r="U25" i="1"/>
  <c r="Q360" i="1"/>
  <c r="S360" i="1"/>
  <c r="U360" i="1"/>
  <c r="S392" i="1"/>
  <c r="U392" i="1"/>
  <c r="Q392" i="1"/>
  <c r="S313" i="1"/>
  <c r="U313" i="1"/>
  <c r="Q313" i="1"/>
  <c r="U301" i="1"/>
  <c r="S301" i="1"/>
  <c r="Q301" i="1"/>
  <c r="U297" i="1"/>
  <c r="Q297" i="1"/>
  <c r="S297" i="1"/>
  <c r="Q289" i="1"/>
  <c r="U289" i="1"/>
  <c r="S289" i="1"/>
  <c r="Q281" i="1"/>
  <c r="U281" i="1"/>
  <c r="S281" i="1"/>
  <c r="S174" i="1"/>
  <c r="U174" i="1"/>
  <c r="Q174" i="1"/>
  <c r="S144" i="1"/>
  <c r="U144" i="1"/>
  <c r="Q144" i="1"/>
  <c r="U136" i="1"/>
  <c r="S136" i="1"/>
  <c r="Q136" i="1"/>
  <c r="U128" i="1"/>
  <c r="S128" i="1"/>
  <c r="Q128" i="1"/>
  <c r="S70" i="1"/>
  <c r="U70" i="1"/>
  <c r="Q70" i="1"/>
  <c r="Q261" i="1"/>
  <c r="U261" i="1"/>
  <c r="S261" i="1"/>
  <c r="Q229" i="1"/>
  <c r="S229" i="1"/>
  <c r="U229" i="1"/>
  <c r="Q153" i="1"/>
  <c r="S153" i="1"/>
  <c r="U153" i="1"/>
  <c r="Q73" i="1"/>
  <c r="S73" i="1"/>
  <c r="U73" i="1"/>
  <c r="U402" i="1"/>
  <c r="S402" i="1"/>
  <c r="Q402" i="1"/>
  <c r="Q329" i="1"/>
  <c r="S329" i="1"/>
  <c r="U329" i="1"/>
  <c r="S321" i="1"/>
  <c r="U321" i="1"/>
  <c r="Q321" i="1"/>
  <c r="S196" i="1"/>
  <c r="Q196" i="1"/>
  <c r="U196" i="1"/>
  <c r="S180" i="1"/>
  <c r="Q180" i="1"/>
  <c r="U180" i="1"/>
  <c r="U164" i="1"/>
  <c r="S164" i="1"/>
  <c r="Q164" i="1"/>
  <c r="U120" i="1"/>
  <c r="S120" i="1"/>
  <c r="Q120" i="1"/>
  <c r="Q112" i="1"/>
  <c r="S112" i="1"/>
  <c r="U112" i="1"/>
  <c r="S76" i="1"/>
  <c r="U76" i="1"/>
  <c r="Q76" i="1"/>
  <c r="S60" i="1"/>
  <c r="U60" i="1"/>
  <c r="S44" i="1"/>
  <c r="U44" i="1"/>
  <c r="S22" i="1"/>
  <c r="U22" i="1"/>
  <c r="S369" i="1"/>
  <c r="U369" i="1"/>
  <c r="Q369" i="1"/>
  <c r="U378" i="1"/>
  <c r="Q378" i="1"/>
  <c r="S378" i="1"/>
  <c r="S376" i="1"/>
  <c r="Q376" i="1"/>
  <c r="U376" i="1"/>
  <c r="S397" i="1"/>
  <c r="Q397" i="1"/>
  <c r="U397" i="1"/>
  <c r="Q348" i="1"/>
  <c r="U348" i="1"/>
  <c r="S348" i="1"/>
  <c r="Q341" i="1"/>
  <c r="U341" i="1"/>
  <c r="S341" i="1"/>
  <c r="S314" i="1"/>
  <c r="Q314" i="1"/>
  <c r="U314" i="1"/>
  <c r="U262" i="1"/>
  <c r="S262" i="1"/>
  <c r="Q262" i="1"/>
  <c r="Q254" i="1"/>
  <c r="U254" i="1"/>
  <c r="S254" i="1"/>
  <c r="U246" i="1"/>
  <c r="S246" i="1"/>
  <c r="Q246" i="1"/>
  <c r="U238" i="1"/>
  <c r="Q238" i="1"/>
  <c r="S238" i="1"/>
  <c r="Q230" i="1"/>
  <c r="U230" i="1"/>
  <c r="S230" i="1"/>
  <c r="U222" i="1"/>
  <c r="Q222" i="1"/>
  <c r="S222" i="1"/>
  <c r="Q214" i="1"/>
  <c r="U214" i="1"/>
  <c r="S214" i="1"/>
  <c r="S207" i="1"/>
  <c r="Q207" i="1"/>
  <c r="U207" i="1"/>
  <c r="S191" i="1"/>
  <c r="U191" i="1"/>
  <c r="Q191" i="1"/>
  <c r="Q175" i="1"/>
  <c r="S175" i="1"/>
  <c r="U175" i="1"/>
  <c r="S159" i="1"/>
  <c r="U159" i="1"/>
  <c r="Q159" i="1"/>
  <c r="Q105" i="1"/>
  <c r="S105" i="1"/>
  <c r="U105" i="1"/>
  <c r="S93" i="1"/>
  <c r="U93" i="1"/>
  <c r="Q93" i="1"/>
  <c r="S63" i="1"/>
  <c r="U63" i="1"/>
  <c r="S47" i="1"/>
  <c r="U47" i="1"/>
  <c r="U21" i="1"/>
  <c r="S21" i="1"/>
  <c r="U358" i="1"/>
  <c r="Q358" i="1"/>
  <c r="S358" i="1"/>
  <c r="Q395" i="1"/>
  <c r="S395" i="1"/>
  <c r="U395" i="1"/>
  <c r="U336" i="1"/>
  <c r="Q336" i="1"/>
  <c r="S336" i="1"/>
  <c r="Q330" i="1"/>
  <c r="U330" i="1"/>
  <c r="S330" i="1"/>
  <c r="Q322" i="1"/>
  <c r="U322" i="1"/>
  <c r="S322" i="1"/>
  <c r="S310" i="1"/>
  <c r="Q310" i="1"/>
  <c r="U310" i="1"/>
  <c r="Q306" i="1"/>
  <c r="S306" i="1"/>
  <c r="U306" i="1"/>
  <c r="S302" i="1"/>
  <c r="Q302" i="1"/>
  <c r="U302" i="1"/>
  <c r="Q298" i="1"/>
  <c r="S298" i="1"/>
  <c r="U298" i="1"/>
  <c r="S294" i="1"/>
  <c r="U294" i="1"/>
  <c r="Q294" i="1"/>
  <c r="Q290" i="1"/>
  <c r="S290" i="1"/>
  <c r="U290" i="1"/>
  <c r="S286" i="1"/>
  <c r="Q286" i="1"/>
  <c r="U286" i="1"/>
  <c r="U282" i="1"/>
  <c r="Q282" i="1"/>
  <c r="S282" i="1"/>
  <c r="S278" i="1"/>
  <c r="U278" i="1"/>
  <c r="Q278" i="1"/>
  <c r="U274" i="1"/>
  <c r="Q274" i="1"/>
  <c r="S274" i="1"/>
  <c r="U270" i="1"/>
  <c r="S270" i="1"/>
  <c r="Q270" i="1"/>
  <c r="Q202" i="1"/>
  <c r="S202" i="1"/>
  <c r="U202" i="1"/>
  <c r="S186" i="1"/>
  <c r="Q186" i="1"/>
  <c r="U186" i="1"/>
  <c r="S170" i="1"/>
  <c r="Q170" i="1"/>
  <c r="U170" i="1"/>
  <c r="U154" i="1"/>
  <c r="S154" i="1"/>
  <c r="Q154" i="1"/>
  <c r="U149" i="1"/>
  <c r="S149" i="1"/>
  <c r="Q149" i="1"/>
  <c r="U145" i="1"/>
  <c r="S145" i="1"/>
  <c r="Q145" i="1"/>
  <c r="S141" i="1"/>
  <c r="U141" i="1"/>
  <c r="Q141" i="1"/>
  <c r="S137" i="1"/>
  <c r="U137" i="1"/>
  <c r="Q137" i="1"/>
  <c r="U133" i="1"/>
  <c r="S133" i="1"/>
  <c r="Q133" i="1"/>
  <c r="U129" i="1"/>
  <c r="S129" i="1"/>
  <c r="Q129" i="1"/>
  <c r="S125" i="1"/>
  <c r="U125" i="1"/>
  <c r="Q125" i="1"/>
  <c r="S118" i="1"/>
  <c r="U118" i="1"/>
  <c r="Q118" i="1"/>
  <c r="S116" i="1"/>
  <c r="U116" i="1"/>
  <c r="Q116" i="1"/>
  <c r="U114" i="1"/>
  <c r="S114" i="1"/>
  <c r="Q114" i="1"/>
  <c r="U66" i="1"/>
  <c r="S66" i="1"/>
  <c r="Q66" i="1"/>
  <c r="U50" i="1"/>
  <c r="S50" i="1"/>
  <c r="U34" i="1"/>
  <c r="S34" i="1"/>
  <c r="S20" i="1"/>
  <c r="U20" i="1"/>
  <c r="U386" i="1"/>
  <c r="S386" i="1"/>
  <c r="Q386" i="1"/>
  <c r="U391" i="1"/>
  <c r="S391" i="1"/>
  <c r="Q391" i="1"/>
  <c r="U399" i="1"/>
  <c r="S399" i="1"/>
  <c r="Q399" i="1"/>
  <c r="U320" i="1"/>
  <c r="Q320" i="1"/>
  <c r="S320" i="1"/>
  <c r="U309" i="1"/>
  <c r="S309" i="1"/>
  <c r="Q309" i="1"/>
  <c r="S293" i="1"/>
  <c r="U293" i="1"/>
  <c r="Q293" i="1"/>
  <c r="Q273" i="1"/>
  <c r="U273" i="1"/>
  <c r="S273" i="1"/>
  <c r="U206" i="1"/>
  <c r="S206" i="1"/>
  <c r="Q206" i="1"/>
  <c r="U190" i="1"/>
  <c r="S190" i="1"/>
  <c r="Q190" i="1"/>
  <c r="S148" i="1"/>
  <c r="U148" i="1"/>
  <c r="Q148" i="1"/>
  <c r="S77" i="1"/>
  <c r="U77" i="1"/>
  <c r="Q77" i="1"/>
  <c r="S54" i="1"/>
  <c r="U54" i="1"/>
  <c r="S335" i="1"/>
  <c r="Q335" i="1"/>
  <c r="U335" i="1"/>
  <c r="U253" i="1"/>
  <c r="S253" i="1"/>
  <c r="Q253" i="1"/>
  <c r="U85" i="1"/>
  <c r="S85" i="1"/>
  <c r="Q85" i="1"/>
  <c r="S41" i="1"/>
  <c r="U41" i="1"/>
  <c r="S23" i="1"/>
  <c r="U23" i="1"/>
  <c r="Q393" i="1"/>
  <c r="U393" i="1"/>
  <c r="S393" i="1"/>
  <c r="U349" i="1"/>
  <c r="Q349" i="1"/>
  <c r="S349" i="1"/>
  <c r="U263" i="1"/>
  <c r="S263" i="1"/>
  <c r="Q263" i="1"/>
  <c r="U255" i="1"/>
  <c r="Q255" i="1"/>
  <c r="S255" i="1"/>
  <c r="S247" i="1"/>
  <c r="U247" i="1"/>
  <c r="Q247" i="1"/>
  <c r="S239" i="1"/>
  <c r="U239" i="1"/>
  <c r="Q239" i="1"/>
  <c r="U231" i="1"/>
  <c r="Q231" i="1"/>
  <c r="S231" i="1"/>
  <c r="S223" i="1"/>
  <c r="U223" i="1"/>
  <c r="Q223" i="1"/>
  <c r="S215" i="1"/>
  <c r="U215" i="1"/>
  <c r="Q215" i="1"/>
  <c r="S197" i="1"/>
  <c r="Q197" i="1"/>
  <c r="U197" i="1"/>
  <c r="U181" i="1"/>
  <c r="S181" i="1"/>
  <c r="Q181" i="1"/>
  <c r="S165" i="1"/>
  <c r="U165" i="1"/>
  <c r="Q165" i="1"/>
  <c r="S107" i="1"/>
  <c r="U107" i="1"/>
  <c r="Q107" i="1"/>
  <c r="U98" i="1"/>
  <c r="Q98" i="1"/>
  <c r="S98" i="1"/>
  <c r="U90" i="1"/>
  <c r="Q90" i="1"/>
  <c r="S90" i="1"/>
  <c r="Q81" i="1"/>
  <c r="U81" i="1"/>
  <c r="S81" i="1"/>
  <c r="U69" i="1"/>
  <c r="Q69" i="1"/>
  <c r="S69" i="1"/>
  <c r="U53" i="1"/>
  <c r="S53" i="1"/>
  <c r="U37" i="1"/>
  <c r="S37" i="1"/>
  <c r="S30" i="1"/>
  <c r="U30" i="1"/>
  <c r="S19" i="1"/>
  <c r="U19" i="1"/>
  <c r="U364" i="1"/>
  <c r="S364" i="1"/>
  <c r="Q364" i="1"/>
  <c r="Q373" i="1"/>
  <c r="U373" i="1"/>
  <c r="S373" i="1"/>
  <c r="U340" i="1"/>
  <c r="Q340" i="1"/>
  <c r="S340" i="1"/>
  <c r="Q328" i="1"/>
  <c r="U328" i="1"/>
  <c r="S328" i="1"/>
  <c r="Q305" i="1"/>
  <c r="U305" i="1"/>
  <c r="S305" i="1"/>
  <c r="U285" i="1"/>
  <c r="S285" i="1"/>
  <c r="Q285" i="1"/>
  <c r="U277" i="1"/>
  <c r="S277" i="1"/>
  <c r="Q277" i="1"/>
  <c r="S158" i="1"/>
  <c r="Q158" i="1"/>
  <c r="U158" i="1"/>
  <c r="S140" i="1"/>
  <c r="U140" i="1"/>
  <c r="Q140" i="1"/>
  <c r="S132" i="1"/>
  <c r="U132" i="1"/>
  <c r="Q132" i="1"/>
  <c r="U122" i="1"/>
  <c r="S122" i="1"/>
  <c r="Q122" i="1"/>
  <c r="S110" i="1"/>
  <c r="U110" i="1"/>
  <c r="Q110" i="1"/>
  <c r="U82" i="1"/>
  <c r="Q82" i="1"/>
  <c r="S82" i="1"/>
  <c r="S38" i="1"/>
  <c r="U38" i="1"/>
  <c r="U24" i="1"/>
  <c r="S24" i="1"/>
  <c r="U370" i="1"/>
  <c r="Q370" i="1"/>
  <c r="S370" i="1"/>
  <c r="U347" i="1"/>
  <c r="S347" i="1"/>
  <c r="Q347" i="1"/>
  <c r="Q269" i="1"/>
  <c r="U269" i="1"/>
  <c r="S269" i="1"/>
  <c r="U245" i="1"/>
  <c r="Q245" i="1"/>
  <c r="S245" i="1"/>
  <c r="Q237" i="1"/>
  <c r="U237" i="1"/>
  <c r="S237" i="1"/>
  <c r="Q221" i="1"/>
  <c r="U221" i="1"/>
  <c r="S221" i="1"/>
  <c r="Q213" i="1"/>
  <c r="S213" i="1"/>
  <c r="U213" i="1"/>
  <c r="U201" i="1"/>
  <c r="S201" i="1"/>
  <c r="Q201" i="1"/>
  <c r="U185" i="1"/>
  <c r="S185" i="1"/>
  <c r="Q185" i="1"/>
  <c r="U169" i="1"/>
  <c r="Q169" i="1"/>
  <c r="S169" i="1"/>
  <c r="S103" i="1"/>
  <c r="Q103" i="1"/>
  <c r="U103" i="1"/>
  <c r="Q96" i="1"/>
  <c r="S96" i="1"/>
  <c r="U96" i="1"/>
  <c r="Q88" i="1"/>
  <c r="U88" i="1"/>
  <c r="S88" i="1"/>
  <c r="S57" i="1"/>
  <c r="U57" i="1"/>
  <c r="S31" i="1"/>
  <c r="U31" i="1"/>
  <c r="Q342" i="1"/>
  <c r="U342" i="1"/>
  <c r="S342" i="1"/>
  <c r="U331" i="1"/>
  <c r="Q331" i="1"/>
  <c r="S331" i="1"/>
  <c r="U323" i="1"/>
  <c r="Q323" i="1"/>
  <c r="S323" i="1"/>
  <c r="U315" i="1"/>
  <c r="Q315" i="1"/>
  <c r="S315" i="1"/>
  <c r="U208" i="1"/>
  <c r="Q208" i="1"/>
  <c r="S208" i="1"/>
  <c r="U192" i="1"/>
  <c r="S192" i="1"/>
  <c r="Q192" i="1"/>
  <c r="Q176" i="1"/>
  <c r="U176" i="1"/>
  <c r="S176" i="1"/>
  <c r="U160" i="1"/>
  <c r="S160" i="1"/>
  <c r="Q160" i="1"/>
  <c r="Q84" i="1"/>
  <c r="U84" i="1"/>
  <c r="S84" i="1"/>
  <c r="Q72" i="1"/>
  <c r="U72" i="1"/>
  <c r="S72" i="1"/>
  <c r="U56" i="1"/>
  <c r="S56" i="1"/>
  <c r="U40" i="1"/>
  <c r="S40" i="1"/>
  <c r="U18" i="1"/>
  <c r="S18" i="1"/>
  <c r="Q374" i="1"/>
  <c r="S374" i="1"/>
  <c r="U374" i="1"/>
  <c r="S375" i="1"/>
  <c r="U375" i="1"/>
  <c r="Q375" i="1"/>
  <c r="U380" i="1"/>
  <c r="Q380" i="1"/>
  <c r="S380" i="1"/>
  <c r="U385" i="1"/>
  <c r="Q385" i="1"/>
  <c r="S385" i="1"/>
  <c r="S384" i="1"/>
  <c r="Q384" i="1"/>
  <c r="U384" i="1"/>
  <c r="Q389" i="1"/>
  <c r="S389" i="1"/>
  <c r="U389" i="1"/>
  <c r="Q381" i="1"/>
  <c r="S381" i="1"/>
  <c r="U381" i="1"/>
  <c r="Q194" i="1"/>
  <c r="U194" i="1"/>
  <c r="S194" i="1"/>
  <c r="U350" i="1"/>
  <c r="S350" i="1"/>
  <c r="Q350" i="1"/>
  <c r="S264" i="1"/>
  <c r="Q264" i="1"/>
  <c r="U264" i="1"/>
  <c r="S256" i="1"/>
  <c r="Q256" i="1"/>
  <c r="U256" i="1"/>
  <c r="S248" i="1"/>
  <c r="Q248" i="1"/>
  <c r="U248" i="1"/>
  <c r="S232" i="1"/>
  <c r="Q232" i="1"/>
  <c r="U232" i="1"/>
  <c r="U216" i="1"/>
  <c r="Q216" i="1"/>
  <c r="S216" i="1"/>
  <c r="U203" i="1"/>
  <c r="Q203" i="1"/>
  <c r="S203" i="1"/>
  <c r="Q187" i="1"/>
  <c r="U187" i="1"/>
  <c r="S187" i="1"/>
  <c r="U171" i="1"/>
  <c r="Q171" i="1"/>
  <c r="S171" i="1"/>
  <c r="S155" i="1"/>
  <c r="U155" i="1"/>
  <c r="Q155" i="1"/>
  <c r="S123" i="1"/>
  <c r="U123" i="1"/>
  <c r="Q123" i="1"/>
  <c r="S109" i="1"/>
  <c r="U109" i="1"/>
  <c r="Q109" i="1"/>
  <c r="Q100" i="1"/>
  <c r="S100" i="1"/>
  <c r="U100" i="1"/>
  <c r="S87" i="1"/>
  <c r="Q87" i="1"/>
  <c r="U87" i="1"/>
  <c r="S75" i="1"/>
  <c r="U75" i="1"/>
  <c r="Q75" i="1"/>
  <c r="S59" i="1"/>
  <c r="U59" i="1"/>
  <c r="S332" i="1"/>
  <c r="Q332" i="1"/>
  <c r="U332" i="1"/>
  <c r="S324" i="1"/>
  <c r="Q324" i="1"/>
  <c r="U324" i="1"/>
  <c r="Q316" i="1"/>
  <c r="S316" i="1"/>
  <c r="U316" i="1"/>
  <c r="Q311" i="1"/>
  <c r="S311" i="1"/>
  <c r="U311" i="1"/>
  <c r="U307" i="1"/>
  <c r="S307" i="1"/>
  <c r="Q307" i="1"/>
  <c r="S303" i="1"/>
  <c r="Q303" i="1"/>
  <c r="U303" i="1"/>
  <c r="U299" i="1"/>
  <c r="Q299" i="1"/>
  <c r="S299" i="1"/>
  <c r="Q295" i="1"/>
  <c r="S295" i="1"/>
  <c r="U295" i="1"/>
  <c r="U291" i="1"/>
  <c r="S291" i="1"/>
  <c r="Q291" i="1"/>
  <c r="Q287" i="1"/>
  <c r="S287" i="1"/>
  <c r="U287" i="1"/>
  <c r="Q283" i="1"/>
  <c r="U283" i="1"/>
  <c r="S283" i="1"/>
  <c r="U279" i="1"/>
  <c r="Q279" i="1"/>
  <c r="S279" i="1"/>
  <c r="Q275" i="1"/>
  <c r="S275" i="1"/>
  <c r="U275" i="1"/>
  <c r="U271" i="1"/>
  <c r="S271" i="1"/>
  <c r="Q271" i="1"/>
  <c r="Q198" i="1"/>
  <c r="U198" i="1"/>
  <c r="S198" i="1"/>
  <c r="S182" i="1"/>
  <c r="Q182" i="1"/>
  <c r="U182" i="1"/>
  <c r="S166" i="1"/>
  <c r="Q166" i="1"/>
  <c r="U166" i="1"/>
  <c r="Q150" i="1"/>
  <c r="S150" i="1"/>
  <c r="U150" i="1"/>
  <c r="U146" i="1"/>
  <c r="S146" i="1"/>
  <c r="Q146" i="1"/>
  <c r="S142" i="1"/>
  <c r="U142" i="1"/>
  <c r="Q142" i="1"/>
  <c r="U138" i="1"/>
  <c r="S138" i="1"/>
  <c r="Q138" i="1"/>
  <c r="S134" i="1"/>
  <c r="U134" i="1"/>
  <c r="Q134" i="1"/>
  <c r="U130" i="1"/>
  <c r="S130" i="1"/>
  <c r="Q130" i="1"/>
  <c r="S126" i="1"/>
  <c r="U126" i="1"/>
  <c r="Q126" i="1"/>
  <c r="S102" i="1"/>
  <c r="U102" i="1"/>
  <c r="Q102" i="1"/>
  <c r="S62" i="1"/>
  <c r="U62" i="1"/>
  <c r="S46" i="1"/>
  <c r="U46" i="1"/>
  <c r="U365" i="1"/>
  <c r="Q365" i="1"/>
  <c r="S365" i="1"/>
  <c r="Q372" i="1"/>
  <c r="U372" i="1"/>
  <c r="S372" i="1"/>
  <c r="Q382" i="1"/>
  <c r="S382" i="1"/>
  <c r="U382" i="1"/>
  <c r="S387" i="1"/>
  <c r="Q387" i="1"/>
  <c r="U387" i="1"/>
  <c r="U401" i="1"/>
  <c r="Q401" i="1"/>
  <c r="S401" i="1"/>
  <c r="Q240" i="1"/>
  <c r="S240" i="1"/>
  <c r="U240" i="1"/>
  <c r="S43" i="1"/>
  <c r="U43" i="1"/>
  <c r="S17" i="1"/>
  <c r="U17" i="1"/>
  <c r="S363" i="1"/>
  <c r="Q363" i="1"/>
  <c r="U363" i="1"/>
  <c r="U351" i="1"/>
  <c r="Q351" i="1"/>
  <c r="S351" i="1"/>
  <c r="S343" i="1"/>
  <c r="Q343" i="1"/>
  <c r="U343" i="1"/>
  <c r="Q265" i="1"/>
  <c r="U265" i="1"/>
  <c r="S265" i="1"/>
  <c r="Q257" i="1"/>
  <c r="U257" i="1"/>
  <c r="S257" i="1"/>
  <c r="S249" i="1"/>
  <c r="U249" i="1"/>
  <c r="Q249" i="1"/>
  <c r="U241" i="1"/>
  <c r="S241" i="1"/>
  <c r="Q241" i="1"/>
  <c r="S233" i="1"/>
  <c r="Q233" i="1"/>
  <c r="U233" i="1"/>
  <c r="U225" i="1"/>
  <c r="S225" i="1"/>
  <c r="Q225" i="1"/>
  <c r="U217" i="1"/>
  <c r="S217" i="1"/>
  <c r="Q217" i="1"/>
  <c r="U209" i="1"/>
  <c r="S209" i="1"/>
  <c r="Q209" i="1"/>
  <c r="U193" i="1"/>
  <c r="S193" i="1"/>
  <c r="Q193" i="1"/>
  <c r="S177" i="1"/>
  <c r="Q177" i="1"/>
  <c r="U177" i="1"/>
  <c r="Q161" i="1"/>
  <c r="U161" i="1"/>
  <c r="S161" i="1"/>
  <c r="S121" i="1"/>
  <c r="U121" i="1"/>
  <c r="Q121" i="1"/>
  <c r="S111" i="1"/>
  <c r="Q111" i="1"/>
  <c r="U111" i="1"/>
  <c r="S92" i="1"/>
  <c r="U92" i="1"/>
  <c r="Q92" i="1"/>
  <c r="S65" i="1"/>
  <c r="Q65" i="1"/>
  <c r="U65" i="1"/>
  <c r="S49" i="1"/>
  <c r="U49" i="1"/>
  <c r="S33" i="1"/>
  <c r="U33" i="1"/>
  <c r="S29" i="1"/>
  <c r="U29" i="1"/>
  <c r="Q354" i="1"/>
  <c r="U354" i="1"/>
  <c r="S354" i="1"/>
  <c r="S390" i="1"/>
  <c r="U390" i="1"/>
  <c r="Q390" i="1"/>
  <c r="U403" i="1"/>
  <c r="S403" i="1"/>
  <c r="Q403" i="1"/>
  <c r="S337" i="1"/>
  <c r="U337" i="1"/>
  <c r="Q337" i="1"/>
  <c r="U224" i="1"/>
  <c r="S224" i="1"/>
  <c r="Q224" i="1"/>
  <c r="S95" i="1"/>
  <c r="Q95" i="1"/>
  <c r="U95" i="1"/>
  <c r="S338" i="1"/>
  <c r="Q338" i="1"/>
  <c r="U338" i="1"/>
  <c r="S325" i="1"/>
  <c r="Q325" i="1"/>
  <c r="U325" i="1"/>
  <c r="U317" i="1"/>
  <c r="S317" i="1"/>
  <c r="Q317" i="1"/>
  <c r="Q204" i="1"/>
  <c r="U204" i="1"/>
  <c r="S204" i="1"/>
  <c r="Q188" i="1"/>
  <c r="S188" i="1"/>
  <c r="U188" i="1"/>
  <c r="U172" i="1"/>
  <c r="Q172" i="1"/>
  <c r="S172" i="1"/>
  <c r="U156" i="1"/>
  <c r="Q156" i="1"/>
  <c r="S156" i="1"/>
  <c r="Q104" i="1"/>
  <c r="U104" i="1"/>
  <c r="S104" i="1"/>
  <c r="Q80" i="1"/>
  <c r="S80" i="1"/>
  <c r="U80" i="1"/>
  <c r="Q68" i="1"/>
  <c r="S68" i="1"/>
  <c r="U68" i="1"/>
  <c r="S52" i="1"/>
  <c r="U52" i="1"/>
  <c r="S36" i="1"/>
  <c r="U36" i="1"/>
  <c r="U359" i="1"/>
  <c r="S359" i="1"/>
  <c r="Q359" i="1"/>
  <c r="U362" i="1"/>
  <c r="Q362" i="1"/>
  <c r="S362" i="1"/>
  <c r="Q366" i="1"/>
  <c r="U366" i="1"/>
  <c r="S366" i="1"/>
  <c r="U377" i="1"/>
  <c r="Q377" i="1"/>
  <c r="S377" i="1"/>
  <c r="U396" i="1"/>
  <c r="S396" i="1"/>
  <c r="Q396" i="1"/>
  <c r="K394" i="1"/>
  <c r="K391" i="1"/>
  <c r="J391" i="1"/>
  <c r="J399" i="1"/>
  <c r="I399" i="1"/>
  <c r="I375" i="1"/>
  <c r="AQ403" i="1"/>
  <c r="L375" i="1"/>
  <c r="K398" i="1"/>
  <c r="AQ385" i="1"/>
  <c r="L397" i="1"/>
  <c r="K21" i="1"/>
  <c r="I55" i="1"/>
  <c r="K112" i="1"/>
  <c r="I79" i="1"/>
  <c r="K361" i="1"/>
  <c r="I376" i="1"/>
  <c r="J395" i="1"/>
  <c r="J403" i="1"/>
  <c r="I395" i="1"/>
  <c r="I403" i="1"/>
  <c r="AQ377" i="1"/>
  <c r="K402" i="1"/>
  <c r="K403" i="1"/>
  <c r="L368" i="1"/>
  <c r="AQ390" i="1"/>
  <c r="K397" i="1"/>
  <c r="I366" i="1"/>
  <c r="J384" i="1"/>
  <c r="J397" i="1"/>
  <c r="K143" i="1"/>
  <c r="I396" i="1"/>
  <c r="L378" i="1"/>
  <c r="L384" i="1"/>
  <c r="I388" i="1"/>
  <c r="I114" i="1"/>
  <c r="K51" i="1"/>
  <c r="L367" i="1"/>
  <c r="K261" i="1"/>
  <c r="K396" i="1"/>
  <c r="J392" i="1"/>
  <c r="AQ391" i="1"/>
  <c r="J390" i="1"/>
  <c r="K358" i="1"/>
  <c r="K374" i="1"/>
  <c r="J375" i="1"/>
  <c r="L388" i="1"/>
  <c r="J356" i="1"/>
  <c r="J359" i="1"/>
  <c r="AQ362" i="1"/>
  <c r="AQ373" i="1"/>
  <c r="AQ379" i="1"/>
  <c r="AQ382" i="1"/>
  <c r="J396" i="1"/>
  <c r="J82" i="1"/>
  <c r="AQ357" i="1"/>
  <c r="L401" i="1"/>
  <c r="L394" i="1"/>
  <c r="I369" i="1"/>
  <c r="L370" i="1"/>
  <c r="L376" i="1"/>
  <c r="J74" i="1"/>
  <c r="J380" i="1"/>
  <c r="AQ381" i="1"/>
  <c r="K122" i="1"/>
  <c r="J121" i="1"/>
  <c r="J363" i="1"/>
  <c r="J378" i="1"/>
  <c r="K28" i="1"/>
  <c r="J55" i="1"/>
  <c r="K312" i="1"/>
  <c r="K102" i="1"/>
  <c r="AQ353" i="1"/>
  <c r="K340" i="1"/>
  <c r="AQ396" i="1"/>
  <c r="I361" i="1"/>
  <c r="K225" i="1"/>
  <c r="AQ354" i="1"/>
  <c r="AQ372" i="1"/>
  <c r="AQ393" i="1"/>
  <c r="K348" i="1"/>
  <c r="I367" i="1"/>
  <c r="K209" i="1"/>
  <c r="K265" i="1"/>
  <c r="I387" i="1"/>
  <c r="K84" i="1"/>
  <c r="J28" i="1"/>
  <c r="K100" i="1"/>
  <c r="J174" i="1"/>
  <c r="J34" i="1"/>
  <c r="J258" i="1"/>
  <c r="J372" i="1"/>
  <c r="I392" i="1"/>
  <c r="J393" i="1"/>
  <c r="I372" i="1"/>
  <c r="J373" i="1"/>
  <c r="K401" i="1"/>
  <c r="J280" i="1"/>
  <c r="K17" i="1"/>
  <c r="K366" i="1"/>
  <c r="K375" i="1"/>
  <c r="L390" i="1"/>
  <c r="K95" i="1"/>
  <c r="J79" i="1"/>
  <c r="I56" i="1"/>
  <c r="K372" i="1"/>
  <c r="J24" i="1"/>
  <c r="J17" i="1"/>
  <c r="I89" i="1"/>
  <c r="J289" i="1"/>
  <c r="J78" i="1"/>
  <c r="J394" i="1"/>
  <c r="I143" i="1"/>
  <c r="K128" i="1"/>
  <c r="I42" i="1"/>
  <c r="K337" i="1"/>
  <c r="K299" i="1"/>
  <c r="J84" i="1"/>
  <c r="I107" i="1"/>
  <c r="J119" i="1"/>
  <c r="J99" i="1"/>
  <c r="K97" i="1"/>
  <c r="J102" i="1"/>
  <c r="J95" i="1"/>
  <c r="J153" i="1"/>
  <c r="J341" i="1"/>
  <c r="J327" i="1"/>
  <c r="K169" i="1"/>
  <c r="K96" i="1"/>
  <c r="K5" i="1"/>
  <c r="AQ348" i="1"/>
  <c r="AQ342" i="1"/>
  <c r="AQ360" i="1"/>
  <c r="L369" i="1"/>
  <c r="AQ370" i="1"/>
  <c r="L362" i="1"/>
  <c r="K6" i="1"/>
  <c r="L386" i="1"/>
  <c r="J401" i="1"/>
  <c r="J249" i="1"/>
  <c r="I169" i="1"/>
  <c r="K223" i="1"/>
  <c r="K192" i="1"/>
  <c r="K189" i="1"/>
  <c r="I384" i="1"/>
  <c r="I82" i="1"/>
  <c r="AQ402" i="1"/>
  <c r="L17" i="1"/>
  <c r="J56" i="1"/>
  <c r="K355" i="1"/>
  <c r="J129" i="1"/>
  <c r="J402" i="1"/>
  <c r="I94" i="1"/>
  <c r="J312" i="1"/>
  <c r="J118" i="1"/>
  <c r="I105" i="1"/>
  <c r="I402" i="1"/>
  <c r="J105" i="1"/>
  <c r="L289" i="1"/>
  <c r="J238" i="1"/>
  <c r="J131" i="1"/>
  <c r="K362" i="1"/>
  <c r="L364" i="1"/>
  <c r="J382" i="1"/>
  <c r="K395" i="1"/>
  <c r="I394" i="1"/>
  <c r="L398" i="1"/>
  <c r="K158" i="1"/>
  <c r="I370" i="1"/>
  <c r="K373" i="1"/>
  <c r="J237" i="1"/>
  <c r="K164" i="1"/>
  <c r="J91" i="1"/>
  <c r="I363" i="1"/>
  <c r="I383" i="1"/>
  <c r="L389" i="1"/>
  <c r="J165" i="1"/>
  <c r="J26" i="1"/>
  <c r="I16" i="1"/>
  <c r="K248" i="1"/>
  <c r="I57" i="1"/>
  <c r="K48" i="1"/>
  <c r="K295" i="1"/>
  <c r="K227" i="1"/>
  <c r="K179" i="1"/>
  <c r="K144" i="1"/>
  <c r="J60" i="1"/>
  <c r="I39" i="1"/>
  <c r="I12" i="1"/>
  <c r="K167" i="1"/>
  <c r="K382" i="1"/>
  <c r="K106" i="1"/>
  <c r="K181" i="1"/>
  <c r="J190" i="1"/>
  <c r="AQ378" i="1"/>
  <c r="J12" i="1"/>
  <c r="K393" i="1"/>
  <c r="I373" i="1"/>
  <c r="I223" i="1"/>
  <c r="J195" i="1"/>
  <c r="K389" i="1"/>
  <c r="K141" i="1"/>
  <c r="I382" i="1"/>
  <c r="L393" i="1"/>
  <c r="K7" i="1"/>
  <c r="L392" i="1"/>
  <c r="K31" i="1"/>
  <c r="I74" i="1"/>
  <c r="J48" i="1"/>
  <c r="J61" i="1"/>
  <c r="J362" i="1"/>
  <c r="K204" i="1"/>
  <c r="I362" i="1"/>
  <c r="J123" i="1"/>
  <c r="J297" i="1"/>
  <c r="J7" i="1"/>
  <c r="I104" i="1"/>
  <c r="J19" i="1"/>
  <c r="J201" i="1"/>
  <c r="K19" i="1"/>
  <c r="K22" i="1"/>
  <c r="K255" i="1"/>
  <c r="K11" i="1"/>
  <c r="K50" i="1"/>
  <c r="AQ317" i="1"/>
  <c r="K317" i="1"/>
  <c r="J260" i="1"/>
  <c r="K215" i="1"/>
  <c r="J96" i="1"/>
  <c r="J33" i="1"/>
  <c r="J75" i="1"/>
  <c r="K359" i="1"/>
  <c r="I364" i="1"/>
  <c r="K370" i="1"/>
  <c r="L374" i="1"/>
  <c r="K376" i="1"/>
  <c r="AQ399" i="1"/>
  <c r="K264" i="1"/>
  <c r="I209" i="1"/>
  <c r="K244" i="1"/>
  <c r="J9" i="1"/>
  <c r="J6" i="1"/>
  <c r="J357" i="1"/>
  <c r="J97" i="1"/>
  <c r="J31" i="1"/>
  <c r="K381" i="1"/>
  <c r="J57" i="1"/>
  <c r="AQ375" i="1"/>
  <c r="AQ380" i="1"/>
  <c r="J46" i="1"/>
  <c r="L280" i="1"/>
  <c r="I249" i="1"/>
  <c r="K157" i="1"/>
  <c r="K335" i="1"/>
  <c r="K274" i="1"/>
  <c r="K160" i="1"/>
  <c r="K365" i="1"/>
  <c r="I377" i="1"/>
  <c r="I385" i="1"/>
  <c r="I381" i="1"/>
  <c r="K156" i="1"/>
  <c r="J241" i="1"/>
  <c r="J176" i="1"/>
  <c r="J368" i="1"/>
  <c r="J69" i="1"/>
  <c r="J225" i="1"/>
  <c r="I83" i="1"/>
  <c r="I40" i="1"/>
  <c r="I164" i="1"/>
  <c r="K111" i="1"/>
  <c r="K214" i="1"/>
  <c r="K198" i="1"/>
  <c r="AQ387" i="1"/>
  <c r="J52" i="1"/>
  <c r="J151" i="1"/>
  <c r="K213" i="1"/>
  <c r="J366" i="1"/>
  <c r="J253" i="1"/>
  <c r="L372" i="1"/>
  <c r="I131" i="1"/>
  <c r="J183" i="1"/>
  <c r="K118" i="1"/>
  <c r="J100" i="1"/>
  <c r="I118" i="1"/>
  <c r="K252" i="1"/>
  <c r="I225" i="1"/>
  <c r="J230" i="1"/>
  <c r="K216" i="1"/>
  <c r="I35" i="1"/>
  <c r="K154" i="1"/>
  <c r="J114" i="1"/>
  <c r="K243" i="1"/>
  <c r="J107" i="1"/>
  <c r="J211" i="1"/>
  <c r="I9" i="1"/>
  <c r="J164" i="1"/>
  <c r="K163" i="1"/>
  <c r="I98" i="1"/>
  <c r="J140" i="1"/>
  <c r="K67" i="1"/>
  <c r="J293" i="1"/>
  <c r="J252" i="1"/>
  <c r="L371" i="1"/>
  <c r="J157" i="1"/>
  <c r="K176" i="1"/>
  <c r="K162" i="1"/>
  <c r="K121" i="1"/>
  <c r="J265" i="1"/>
  <c r="J50" i="1"/>
  <c r="K36" i="1"/>
  <c r="J132" i="1"/>
  <c r="I70" i="1"/>
  <c r="J269" i="1"/>
  <c r="K246" i="1"/>
  <c r="K186" i="1"/>
  <c r="AQ365" i="1"/>
  <c r="K220" i="1"/>
  <c r="I109" i="1"/>
  <c r="L396" i="1"/>
  <c r="J199" i="1"/>
  <c r="K52" i="1"/>
  <c r="I46" i="1"/>
  <c r="J125" i="1"/>
  <c r="K245" i="1"/>
  <c r="K236" i="1"/>
  <c r="I66" i="1"/>
  <c r="J59" i="1"/>
  <c r="I25" i="1"/>
  <c r="K249" i="1"/>
  <c r="K357" i="1"/>
  <c r="J360" i="1"/>
  <c r="I10" i="1"/>
  <c r="I113" i="1"/>
  <c r="K285" i="1"/>
  <c r="K276" i="1"/>
  <c r="K275" i="1"/>
  <c r="J223" i="1"/>
  <c r="K207" i="1"/>
  <c r="K190" i="1"/>
  <c r="K146" i="1"/>
  <c r="J204" i="1"/>
  <c r="K76" i="1"/>
  <c r="J337" i="1"/>
  <c r="J47" i="1"/>
  <c r="K367" i="1"/>
  <c r="J35" i="1"/>
  <c r="I99" i="1"/>
  <c r="J111" i="1"/>
  <c r="L119" i="1"/>
  <c r="K26" i="1"/>
  <c r="L359" i="1"/>
  <c r="I327" i="1"/>
  <c r="J303" i="1"/>
  <c r="J286" i="1"/>
  <c r="K219" i="1"/>
  <c r="K174" i="1"/>
  <c r="K155" i="1"/>
  <c r="J154" i="1"/>
  <c r="J32" i="1"/>
  <c r="L382" i="1"/>
  <c r="K400" i="1"/>
  <c r="J108" i="1"/>
  <c r="J215" i="1"/>
  <c r="I78" i="1"/>
  <c r="K185" i="1"/>
  <c r="K205" i="1"/>
  <c r="AQ371" i="1"/>
  <c r="I390" i="1"/>
  <c r="J80" i="1"/>
  <c r="J36" i="1"/>
  <c r="J81" i="1"/>
  <c r="K171" i="1"/>
  <c r="J172" i="1"/>
  <c r="I71" i="1"/>
  <c r="K47" i="1"/>
  <c r="J71" i="1"/>
  <c r="K117" i="1"/>
  <c r="K103" i="1"/>
  <c r="L357" i="1"/>
  <c r="K82" i="1"/>
  <c r="K86" i="1"/>
  <c r="K282" i="1"/>
  <c r="J185" i="1"/>
  <c r="K184" i="1"/>
  <c r="AQ356" i="1"/>
  <c r="K356" i="1"/>
  <c r="J377" i="1"/>
  <c r="L379" i="1"/>
  <c r="AQ392" i="1"/>
  <c r="K273" i="1"/>
  <c r="L157" i="1"/>
  <c r="I108" i="1"/>
  <c r="J20" i="1"/>
  <c r="K262" i="1"/>
  <c r="K61" i="1"/>
  <c r="AQ401" i="1"/>
  <c r="J276" i="1"/>
  <c r="J160" i="1"/>
  <c r="J106" i="1"/>
  <c r="J147" i="1"/>
  <c r="I348" i="1"/>
  <c r="J220" i="1"/>
  <c r="J166" i="1"/>
  <c r="K172" i="1"/>
  <c r="K131" i="1"/>
  <c r="J128" i="1"/>
  <c r="I174" i="1"/>
  <c r="L6" i="1"/>
  <c r="K303" i="1"/>
  <c r="J39" i="1"/>
  <c r="J51" i="1"/>
  <c r="J10" i="1"/>
  <c r="J25" i="1"/>
  <c r="L9" i="1"/>
  <c r="K302" i="1"/>
  <c r="I24" i="1"/>
  <c r="AQ374" i="1"/>
  <c r="K92" i="1"/>
  <c r="J167" i="1"/>
  <c r="AQ314" i="1"/>
  <c r="AQ307" i="1"/>
  <c r="K306" i="1"/>
  <c r="J291" i="1"/>
  <c r="K188" i="1"/>
  <c r="J170" i="1"/>
  <c r="J136" i="1"/>
  <c r="J149" i="1"/>
  <c r="I63" i="1"/>
  <c r="K15" i="1"/>
  <c r="AQ363" i="1"/>
  <c r="J86" i="1"/>
  <c r="K99" i="1"/>
  <c r="I77" i="1"/>
  <c r="K81" i="1"/>
  <c r="J98" i="1"/>
  <c r="I299" i="1"/>
  <c r="J196" i="1"/>
  <c r="L380" i="1"/>
  <c r="J126" i="1"/>
  <c r="K231" i="1"/>
  <c r="L403" i="1"/>
  <c r="K20" i="1"/>
  <c r="J169" i="1"/>
  <c r="J370" i="1"/>
  <c r="J307" i="1"/>
  <c r="K288" i="1"/>
  <c r="K239" i="1"/>
  <c r="K183" i="1"/>
  <c r="K177" i="1"/>
  <c r="K139" i="1"/>
  <c r="I87" i="1"/>
  <c r="I374" i="1"/>
  <c r="I379" i="1"/>
  <c r="AQ384" i="1"/>
  <c r="J49" i="1"/>
  <c r="J245" i="1"/>
  <c r="J376" i="1"/>
  <c r="AQ383" i="1"/>
  <c r="K127" i="1"/>
  <c r="I237" i="1"/>
  <c r="K129" i="1"/>
  <c r="J200" i="1"/>
  <c r="J70" i="1"/>
  <c r="J186" i="1"/>
  <c r="J5" i="1"/>
  <c r="J37" i="1"/>
  <c r="I198" i="1"/>
  <c r="J351" i="1"/>
  <c r="AQ355" i="1"/>
  <c r="J361" i="1"/>
  <c r="J127" i="1"/>
  <c r="J315" i="1"/>
  <c r="J233" i="1"/>
  <c r="AQ364" i="1"/>
  <c r="K369" i="1"/>
  <c r="K368" i="1"/>
  <c r="K388" i="1"/>
  <c r="K392" i="1"/>
  <c r="J214" i="1"/>
  <c r="K78" i="1"/>
  <c r="J246" i="1"/>
  <c r="J152" i="1"/>
  <c r="J168" i="1"/>
  <c r="K363" i="1"/>
  <c r="L373" i="1"/>
  <c r="I8" i="1"/>
  <c r="L312" i="1"/>
  <c r="K201" i="1"/>
  <c r="J134" i="1"/>
  <c r="K211" i="1"/>
  <c r="K147" i="1"/>
  <c r="J77" i="1"/>
  <c r="J103" i="1"/>
  <c r="I129" i="1"/>
  <c r="K333" i="1"/>
  <c r="K208" i="1"/>
  <c r="K150" i="1"/>
  <c r="K32" i="1"/>
  <c r="K390" i="1"/>
  <c r="I245" i="1"/>
  <c r="K126" i="1"/>
  <c r="K152" i="1"/>
  <c r="J94" i="1"/>
  <c r="K29" i="1"/>
  <c r="J8" i="1"/>
  <c r="K304" i="1"/>
  <c r="I306" i="1"/>
  <c r="J334" i="1"/>
  <c r="K80" i="1"/>
  <c r="L307" i="1"/>
  <c r="J248" i="1"/>
  <c r="J29" i="1"/>
  <c r="K387" i="1"/>
  <c r="K41" i="1"/>
  <c r="J209" i="1"/>
  <c r="J216" i="1"/>
  <c r="K33" i="1"/>
  <c r="K218" i="1"/>
  <c r="K212" i="1"/>
  <c r="K58" i="1"/>
  <c r="J58" i="1"/>
  <c r="J182" i="1"/>
  <c r="K119" i="1"/>
  <c r="J66" i="1"/>
  <c r="J343" i="1"/>
  <c r="K72" i="1"/>
  <c r="I33" i="1"/>
  <c r="J321" i="1"/>
  <c r="I150" i="1"/>
  <c r="K324" i="1"/>
  <c r="I324" i="1"/>
  <c r="AQ388" i="1"/>
  <c r="K283" i="1"/>
  <c r="K182" i="1"/>
  <c r="L230" i="1"/>
  <c r="L171" i="1"/>
  <c r="J171" i="1"/>
  <c r="K380" i="1"/>
  <c r="I380" i="1"/>
  <c r="I400" i="1"/>
  <c r="I337" i="1"/>
  <c r="J264" i="1"/>
  <c r="L264" i="1"/>
  <c r="J278" i="1"/>
  <c r="K30" i="1"/>
  <c r="K269" i="1"/>
  <c r="K62" i="1"/>
  <c r="J150" i="1"/>
  <c r="K125" i="1"/>
  <c r="AQ368" i="1"/>
  <c r="K294" i="1"/>
  <c r="K271" i="1"/>
  <c r="AQ352" i="1"/>
  <c r="K142" i="1"/>
  <c r="K54" i="1"/>
  <c r="K383" i="1"/>
  <c r="K345" i="1"/>
  <c r="K334" i="1"/>
  <c r="J54" i="1"/>
  <c r="J62" i="1"/>
  <c r="I184" i="1"/>
  <c r="J161" i="1"/>
  <c r="K59" i="1"/>
  <c r="J124" i="1"/>
  <c r="I45" i="1"/>
  <c r="K159" i="1"/>
  <c r="J184" i="1"/>
  <c r="K344" i="1"/>
  <c r="K270" i="1"/>
  <c r="K267" i="1"/>
  <c r="K232" i="1"/>
  <c r="I232" i="1"/>
  <c r="K130" i="1"/>
  <c r="I88" i="1"/>
  <c r="J88" i="1"/>
  <c r="K364" i="1"/>
  <c r="J364" i="1"/>
  <c r="J371" i="1"/>
  <c r="K385" i="1"/>
  <c r="K124" i="1"/>
  <c r="I269" i="1"/>
  <c r="L316" i="1"/>
  <c r="J316" i="1"/>
  <c r="I133" i="1"/>
  <c r="K133" i="1"/>
  <c r="L365" i="1"/>
  <c r="J365" i="1"/>
  <c r="J284" i="1"/>
  <c r="I215" i="1"/>
  <c r="J203" i="1"/>
  <c r="K53" i="1"/>
  <c r="J53" i="1"/>
  <c r="I365" i="1"/>
  <c r="J27" i="1"/>
  <c r="J187" i="1"/>
  <c r="J212" i="1"/>
  <c r="J306" i="1"/>
  <c r="J156" i="1"/>
  <c r="K69" i="1"/>
  <c r="J41" i="1"/>
  <c r="K153" i="1"/>
  <c r="L252" i="1"/>
  <c r="J110" i="1"/>
  <c r="I208" i="1"/>
  <c r="J244" i="1"/>
  <c r="J109" i="1"/>
  <c r="K251" i="1"/>
  <c r="K307" i="1"/>
  <c r="K329" i="1"/>
  <c r="K343" i="1"/>
  <c r="J207" i="1"/>
  <c r="AQ359" i="1"/>
  <c r="AQ347" i="1"/>
  <c r="K203" i="1"/>
  <c r="L57" i="1"/>
  <c r="K23" i="1"/>
  <c r="J23" i="1"/>
  <c r="AQ394" i="1"/>
  <c r="I37" i="1"/>
  <c r="L399" i="1"/>
  <c r="AQ321" i="1"/>
  <c r="K321" i="1"/>
  <c r="AQ313" i="1"/>
  <c r="K313" i="1"/>
  <c r="K250" i="1"/>
  <c r="K134" i="1"/>
  <c r="K132" i="1"/>
  <c r="J38" i="1"/>
  <c r="J30" i="1"/>
  <c r="J354" i="1"/>
  <c r="AQ358" i="1"/>
  <c r="AQ312" i="1"/>
  <c r="K221" i="1"/>
  <c r="K206" i="1"/>
  <c r="K168" i="1"/>
  <c r="K43" i="1"/>
  <c r="AQ331" i="1"/>
  <c r="K224" i="1"/>
  <c r="K178" i="1"/>
  <c r="J113" i="1"/>
  <c r="J304" i="1"/>
  <c r="J178" i="1"/>
  <c r="AQ400" i="1"/>
  <c r="J350" i="1"/>
  <c r="J347" i="1"/>
  <c r="J339" i="1"/>
  <c r="J330" i="1"/>
  <c r="K253" i="1"/>
  <c r="K200" i="1"/>
  <c r="K196" i="1"/>
  <c r="K377" i="1"/>
  <c r="L395" i="1"/>
  <c r="K161" i="1"/>
  <c r="J68" i="1"/>
  <c r="J44" i="1"/>
  <c r="J256" i="1"/>
  <c r="K180" i="1"/>
  <c r="K166" i="1"/>
  <c r="J40" i="1"/>
  <c r="AQ389" i="1"/>
  <c r="I101" i="1"/>
  <c r="K101" i="1"/>
  <c r="J295" i="1"/>
  <c r="I75" i="1"/>
  <c r="K60" i="1"/>
  <c r="I201" i="1"/>
  <c r="J206" i="1"/>
  <c r="J15" i="1"/>
  <c r="L351" i="1"/>
  <c r="K347" i="1"/>
  <c r="AQ344" i="1"/>
  <c r="AQ328" i="1"/>
  <c r="L109" i="1"/>
  <c r="K379" i="1"/>
  <c r="J374" i="1"/>
  <c r="J188" i="1"/>
  <c r="J65" i="1"/>
  <c r="K65" i="1"/>
  <c r="K235" i="1"/>
  <c r="J400" i="1"/>
  <c r="L400" i="1"/>
  <c r="I285" i="1"/>
  <c r="L339" i="1"/>
  <c r="K353" i="1"/>
  <c r="K44" i="1"/>
  <c r="K354" i="1"/>
  <c r="K238" i="1"/>
  <c r="L245" i="1"/>
  <c r="J90" i="1"/>
  <c r="I90" i="1"/>
  <c r="L387" i="1"/>
  <c r="J387" i="1"/>
  <c r="J142" i="1"/>
  <c r="J221" i="1"/>
  <c r="J263" i="1"/>
  <c r="J43" i="1"/>
  <c r="K360" i="1"/>
  <c r="J294" i="1"/>
  <c r="J198" i="1"/>
  <c r="L22" i="1"/>
  <c r="J22" i="1"/>
  <c r="K327" i="1"/>
  <c r="L361" i="1"/>
  <c r="K210" i="1"/>
  <c r="K193" i="1"/>
  <c r="J239" i="1"/>
  <c r="AQ310" i="1"/>
  <c r="L260" i="1"/>
  <c r="I161" i="1"/>
  <c r="K75" i="1"/>
  <c r="L343" i="1"/>
  <c r="I294" i="1"/>
  <c r="J67" i="1"/>
  <c r="J138" i="1"/>
  <c r="J141" i="1"/>
  <c r="J11" i="1"/>
  <c r="J229" i="1"/>
  <c r="J83" i="1"/>
  <c r="J177" i="1"/>
  <c r="I340" i="1"/>
  <c r="J358" i="1"/>
  <c r="J335" i="1"/>
  <c r="J217" i="1"/>
  <c r="K120" i="1"/>
  <c r="AQ386" i="1"/>
  <c r="J144" i="1"/>
  <c r="I180" i="1"/>
  <c r="I371" i="1"/>
  <c r="J202" i="1"/>
  <c r="J115" i="1"/>
  <c r="J271" i="1"/>
  <c r="J117" i="1"/>
  <c r="K300" i="1"/>
  <c r="J87" i="1"/>
  <c r="I139" i="1"/>
  <c r="I121" i="1"/>
  <c r="J342" i="1"/>
  <c r="J251" i="1"/>
  <c r="K140" i="1"/>
  <c r="I140" i="1"/>
  <c r="J353" i="1"/>
  <c r="J180" i="1"/>
  <c r="J355" i="1"/>
  <c r="K217" i="1"/>
  <c r="K73" i="1"/>
  <c r="J73" i="1"/>
  <c r="I27" i="1"/>
  <c r="K27" i="1"/>
  <c r="K256" i="1"/>
  <c r="K301" i="1"/>
  <c r="J227" i="1"/>
  <c r="J143" i="1"/>
  <c r="J139" i="1"/>
  <c r="J296" i="1"/>
  <c r="J226" i="1"/>
  <c r="J336" i="1"/>
  <c r="J116" i="1"/>
  <c r="J85" i="1"/>
  <c r="J16" i="1"/>
  <c r="L185" i="1"/>
  <c r="I256" i="1"/>
  <c r="K226" i="1"/>
  <c r="AQ322" i="1"/>
  <c r="K237" i="1"/>
  <c r="K34" i="1"/>
  <c r="J345" i="1"/>
  <c r="L345" i="1"/>
  <c r="J247" i="1"/>
  <c r="K263" i="1"/>
  <c r="J235" i="1"/>
  <c r="K202" i="1"/>
  <c r="K138" i="1"/>
  <c r="J133" i="1"/>
  <c r="AQ376" i="1"/>
  <c r="AQ367" i="1"/>
  <c r="I110" i="1"/>
  <c r="K85" i="1"/>
  <c r="I60" i="1"/>
  <c r="K165" i="1"/>
  <c r="J18" i="1"/>
  <c r="J92" i="1"/>
  <c r="J120" i="1"/>
  <c r="I308" i="1"/>
  <c r="K308" i="1"/>
  <c r="AQ366" i="1"/>
  <c r="J112" i="1"/>
  <c r="B17" i="2"/>
  <c r="J386" i="1"/>
  <c r="J381" i="1"/>
  <c r="K346" i="1"/>
  <c r="K331" i="1"/>
  <c r="K297" i="1"/>
  <c r="K296" i="1"/>
  <c r="K292" i="1"/>
  <c r="J254" i="1"/>
  <c r="K233" i="1"/>
  <c r="J42" i="1"/>
  <c r="AQ361" i="1"/>
  <c r="K378" i="1"/>
  <c r="I386" i="1"/>
  <c r="J388" i="1"/>
  <c r="L366" i="1"/>
  <c r="L377" i="1"/>
  <c r="J379" i="1"/>
  <c r="J300" i="1"/>
  <c r="K291" i="1"/>
  <c r="J210" i="1"/>
  <c r="K173" i="1"/>
  <c r="K137" i="1"/>
  <c r="K135" i="1"/>
  <c r="L385" i="1"/>
  <c r="L383" i="1"/>
  <c r="AQ341" i="1"/>
  <c r="AQ326" i="1"/>
  <c r="J189" i="1"/>
  <c r="J13" i="1"/>
  <c r="K234" i="1"/>
  <c r="J192" i="1"/>
  <c r="I368" i="1"/>
  <c r="J285" i="1"/>
  <c r="J219" i="1"/>
  <c r="J261" i="1"/>
  <c r="K240" i="1"/>
  <c r="K352" i="1"/>
  <c r="AQ351" i="1"/>
  <c r="K349" i="1"/>
  <c r="K194" i="1"/>
  <c r="J179" i="1"/>
  <c r="B19" i="2"/>
  <c r="AQ349" i="1"/>
  <c r="J328" i="1"/>
  <c r="K319" i="1"/>
  <c r="K230" i="1"/>
  <c r="K170" i="1"/>
  <c r="AQ395" i="1"/>
  <c r="K293" i="1"/>
  <c r="K328" i="1"/>
  <c r="J309" i="1"/>
  <c r="I65" i="1"/>
  <c r="K325" i="1"/>
  <c r="K284" i="1"/>
  <c r="I284" i="1"/>
  <c r="AQ397" i="1"/>
  <c r="AQ315" i="1"/>
  <c r="J148" i="1"/>
  <c r="K136" i="1"/>
  <c r="AQ327" i="1"/>
  <c r="AQ343" i="1"/>
  <c r="J218" i="1"/>
  <c r="J162" i="1"/>
  <c r="K320" i="1"/>
  <c r="J329" i="1"/>
  <c r="L329" i="1"/>
  <c r="J308" i="1"/>
  <c r="I91" i="1"/>
  <c r="K91" i="1"/>
  <c r="AQ340" i="1"/>
  <c r="I331" i="1"/>
  <c r="K384" i="1"/>
  <c r="J320" i="1"/>
  <c r="I14" i="1"/>
  <c r="J72" i="1"/>
  <c r="AQ334" i="1"/>
  <c r="J232" i="1"/>
  <c r="I330" i="1"/>
  <c r="K315" i="1"/>
  <c r="K311" i="1"/>
  <c r="AQ309" i="1"/>
  <c r="I255" i="1"/>
  <c r="J255" i="1"/>
  <c r="AQ332" i="1"/>
  <c r="I38" i="1"/>
  <c r="J338" i="1"/>
  <c r="I338" i="1"/>
  <c r="K323" i="1"/>
  <c r="J242" i="1"/>
  <c r="K242" i="1"/>
  <c r="J259" i="1"/>
  <c r="I136" i="1"/>
  <c r="J268" i="1"/>
  <c r="K289" i="1"/>
  <c r="I393" i="1"/>
  <c r="L381" i="1"/>
  <c r="J346" i="1"/>
  <c r="L346" i="1"/>
  <c r="AQ330" i="1"/>
  <c r="I222" i="1"/>
  <c r="J222" i="1"/>
  <c r="K222" i="1"/>
  <c r="K259" i="1"/>
  <c r="I304" i="1"/>
  <c r="J240" i="1"/>
  <c r="AQ345" i="1"/>
  <c r="I335" i="1"/>
  <c r="J314" i="1"/>
  <c r="J385" i="1"/>
  <c r="I135" i="1"/>
  <c r="K339" i="1"/>
  <c r="AQ316" i="1"/>
  <c r="L315" i="1"/>
  <c r="K49" i="1"/>
  <c r="I49" i="1"/>
  <c r="K38" i="1"/>
  <c r="J135" i="1"/>
  <c r="L259" i="1"/>
  <c r="K336" i="1"/>
  <c r="K278" i="1"/>
  <c r="J323" i="1"/>
  <c r="K64" i="1"/>
  <c r="J137" i="1"/>
  <c r="J383" i="1"/>
  <c r="J348" i="1"/>
  <c r="K314" i="1"/>
  <c r="J299" i="1"/>
  <c r="J282" i="1"/>
  <c r="K268" i="1"/>
  <c r="I341" i="1"/>
  <c r="J14" i="1"/>
  <c r="K338" i="1"/>
  <c r="I218" i="1"/>
  <c r="K350" i="1"/>
  <c r="J64" i="1"/>
  <c r="K148" i="1"/>
  <c r="K342" i="1"/>
  <c r="J333" i="1"/>
  <c r="L333" i="1"/>
  <c r="K298" i="1"/>
  <c r="I298" i="1"/>
  <c r="K290" i="1"/>
  <c r="I275" i="1"/>
  <c r="J270" i="1"/>
  <c r="J257" i="1"/>
  <c r="J273" i="1"/>
  <c r="K151" i="1"/>
  <c r="I151" i="1"/>
  <c r="J344" i="1"/>
  <c r="K322" i="1"/>
  <c r="K310" i="1"/>
  <c r="K286" i="1"/>
  <c r="K280" i="1"/>
  <c r="K277" i="1"/>
  <c r="K272" i="1"/>
  <c r="K258" i="1"/>
  <c r="I233" i="1"/>
  <c r="J224" i="1"/>
  <c r="J277" i="1"/>
  <c r="K351" i="1"/>
  <c r="J332" i="1"/>
  <c r="J325" i="1"/>
  <c r="K316" i="1"/>
  <c r="J313" i="1"/>
  <c r="J231" i="1"/>
  <c r="K187" i="1"/>
  <c r="AQ336" i="1"/>
  <c r="AQ323" i="1"/>
  <c r="AQ311" i="1"/>
  <c r="J298" i="1"/>
  <c r="K260" i="1"/>
  <c r="J288" i="1"/>
  <c r="J279" i="1"/>
  <c r="J76" i="1"/>
  <c r="AQ324" i="1"/>
  <c r="AQ318" i="1"/>
  <c r="K318" i="1"/>
  <c r="K305" i="1"/>
  <c r="J274" i="1"/>
  <c r="K247" i="1"/>
  <c r="J163" i="1"/>
  <c r="L163" i="1"/>
  <c r="J326" i="1"/>
  <c r="AQ325" i="1"/>
  <c r="K309" i="1"/>
  <c r="J305" i="1"/>
  <c r="J302" i="1"/>
  <c r="K266" i="1"/>
  <c r="J262" i="1"/>
  <c r="J236" i="1"/>
  <c r="J234" i="1"/>
  <c r="J63" i="1"/>
  <c r="J191" i="1"/>
  <c r="L363" i="1"/>
  <c r="J193" i="1"/>
  <c r="J159" i="1"/>
  <c r="AQ369" i="1"/>
  <c r="K386" i="1"/>
  <c r="K197" i="1"/>
  <c r="K68" i="1"/>
  <c r="I18" i="1"/>
  <c r="I391" i="1"/>
  <c r="L402" i="1"/>
  <c r="K199" i="1"/>
  <c r="J145" i="1"/>
  <c r="I389" i="1"/>
  <c r="I398" i="1"/>
  <c r="K149" i="1"/>
  <c r="K116" i="1"/>
  <c r="K115" i="1"/>
  <c r="J369" i="1"/>
  <c r="K399" i="1"/>
  <c r="DY183" i="1"/>
  <c r="DY182" i="1" s="1"/>
  <c r="DY181" i="1" s="1"/>
  <c r="DY180" i="1" s="1"/>
  <c r="DY179" i="1" s="1"/>
  <c r="DY178" i="1" s="1"/>
  <c r="DY177" i="1" s="1"/>
  <c r="DY176" i="1" s="1"/>
  <c r="DY175" i="1" s="1"/>
  <c r="DY174" i="1" s="1"/>
  <c r="DY173" i="1" s="1"/>
  <c r="DY172" i="1" s="1"/>
  <c r="DY171" i="1" s="1"/>
  <c r="DY170" i="1" s="1"/>
  <c r="DY169" i="1" s="1"/>
  <c r="DY168" i="1" s="1"/>
  <c r="DY167" i="1" s="1"/>
  <c r="DY166" i="1" s="1"/>
  <c r="DY165" i="1" s="1"/>
  <c r="DY164" i="1" s="1"/>
  <c r="DY163" i="1" s="1"/>
  <c r="DY162" i="1" s="1"/>
  <c r="DY161" i="1" s="1"/>
  <c r="DY160" i="1" s="1"/>
  <c r="DY159" i="1" s="1"/>
  <c r="DY158" i="1" s="1"/>
  <c r="DY157" i="1" s="1"/>
  <c r="DY156" i="1" s="1"/>
  <c r="DY155" i="1" s="1"/>
  <c r="DY154" i="1" s="1"/>
  <c r="DY153" i="1" s="1"/>
  <c r="DY152" i="1" s="1"/>
  <c r="DY151" i="1" s="1"/>
  <c r="DY150" i="1" s="1"/>
  <c r="DY149" i="1" s="1"/>
  <c r="DY148" i="1" s="1"/>
  <c r="DY147" i="1" s="1"/>
  <c r="DY146" i="1" s="1"/>
  <c r="DY145" i="1" s="1"/>
  <c r="DY144" i="1" s="1"/>
  <c r="DY143" i="1" s="1"/>
  <c r="DY142" i="1" s="1"/>
  <c r="DY141" i="1" s="1"/>
  <c r="DY140" i="1" s="1"/>
  <c r="DY139" i="1" s="1"/>
  <c r="DY138" i="1" s="1"/>
  <c r="DY137" i="1" s="1"/>
  <c r="DY136" i="1" s="1"/>
  <c r="DY135" i="1" s="1"/>
  <c r="DY134" i="1" s="1"/>
  <c r="DY133" i="1" s="1"/>
  <c r="DY132" i="1" s="1"/>
  <c r="DY131" i="1" s="1"/>
  <c r="DY130" i="1" s="1"/>
  <c r="DY129" i="1" s="1"/>
  <c r="DY128" i="1" s="1"/>
  <c r="DY127" i="1" s="1"/>
  <c r="DY126" i="1" s="1"/>
  <c r="DY125" i="1" s="1"/>
  <c r="DY124" i="1" s="1"/>
  <c r="DY123" i="1" s="1"/>
  <c r="DY122" i="1" s="1"/>
  <c r="DY121" i="1" s="1"/>
  <c r="DY120" i="1" s="1"/>
  <c r="DY119" i="1" s="1"/>
  <c r="DY118" i="1" s="1"/>
  <c r="DY117" i="1" s="1"/>
  <c r="DY116" i="1" s="1"/>
  <c r="DY115" i="1" s="1"/>
  <c r="DY114" i="1" s="1"/>
  <c r="DY113" i="1" s="1"/>
  <c r="DY112" i="1" s="1"/>
  <c r="DY111" i="1" s="1"/>
  <c r="DY110" i="1" s="1"/>
  <c r="DY109" i="1" s="1"/>
  <c r="DY108" i="1" s="1"/>
  <c r="DY107" i="1" s="1"/>
  <c r="DY106" i="1" s="1"/>
  <c r="DY105" i="1" s="1"/>
  <c r="DY104" i="1" s="1"/>
  <c r="DY103" i="1" s="1"/>
  <c r="DY102" i="1" s="1"/>
  <c r="DY101" i="1" s="1"/>
  <c r="DY100" i="1" s="1"/>
  <c r="DY99" i="1" s="1"/>
  <c r="DY98" i="1" s="1"/>
  <c r="DY97" i="1" s="1"/>
  <c r="DY96" i="1" s="1"/>
  <c r="DY95" i="1" s="1"/>
  <c r="DY94" i="1" s="1"/>
  <c r="DY93" i="1" s="1"/>
  <c r="DY92" i="1" s="1"/>
  <c r="DY91" i="1" s="1"/>
  <c r="DY90" i="1" s="1"/>
  <c r="DY89" i="1" s="1"/>
  <c r="DY88" i="1" s="1"/>
  <c r="DY87" i="1" s="1"/>
  <c r="DY86" i="1" s="1"/>
  <c r="DY85" i="1" s="1"/>
  <c r="DY84" i="1" s="1"/>
  <c r="DY83" i="1" s="1"/>
  <c r="DY82" i="1" s="1"/>
  <c r="DY81" i="1" s="1"/>
  <c r="DY80" i="1" s="1"/>
  <c r="DY79" i="1" s="1"/>
  <c r="DY78" i="1" s="1"/>
  <c r="DY77" i="1" s="1"/>
  <c r="DY76" i="1" s="1"/>
  <c r="DY75" i="1" s="1"/>
  <c r="DY74" i="1" s="1"/>
  <c r="DY73" i="1" s="1"/>
  <c r="DY72" i="1" s="1"/>
  <c r="DY71" i="1" s="1"/>
  <c r="DY70" i="1" s="1"/>
  <c r="DY69" i="1" s="1"/>
  <c r="DY68" i="1" s="1"/>
  <c r="DY67" i="1" s="1"/>
  <c r="DY66" i="1" s="1"/>
  <c r="DY65" i="1" s="1"/>
  <c r="DY64" i="1" s="1"/>
  <c r="DY63" i="1" s="1"/>
  <c r="DY62" i="1" s="1"/>
  <c r="DY61" i="1" s="1"/>
  <c r="DY60" i="1" s="1"/>
  <c r="DY59" i="1" s="1"/>
  <c r="DY58" i="1" s="1"/>
  <c r="DY57" i="1" s="1"/>
  <c r="DY56" i="1" s="1"/>
  <c r="DY55" i="1" s="1"/>
  <c r="DY54" i="1" s="1"/>
  <c r="DY53" i="1" s="1"/>
  <c r="DY52" i="1" s="1"/>
  <c r="DY51" i="1" s="1"/>
  <c r="DY50" i="1" s="1"/>
  <c r="DY49" i="1" s="1"/>
  <c r="DY48" i="1" s="1"/>
  <c r="DY47" i="1" s="1"/>
  <c r="DY46" i="1" s="1"/>
  <c r="DY45" i="1" s="1"/>
  <c r="DY44" i="1" s="1"/>
  <c r="DY43" i="1" s="1"/>
  <c r="DY42" i="1" s="1"/>
  <c r="DY41" i="1" s="1"/>
  <c r="DY40" i="1" s="1"/>
  <c r="DY39" i="1" s="1"/>
  <c r="DY38" i="1" s="1"/>
  <c r="DY37" i="1" s="1"/>
  <c r="DY36" i="1" s="1"/>
  <c r="DY35" i="1" s="1"/>
  <c r="DY34" i="1" s="1"/>
  <c r="DY33" i="1" s="1"/>
  <c r="DY32" i="1" s="1"/>
  <c r="DY31" i="1" s="1"/>
  <c r="DY30" i="1" s="1"/>
  <c r="DY29" i="1" s="1"/>
  <c r="DY28" i="1" s="1"/>
  <c r="DY27" i="1" s="1"/>
  <c r="DY26" i="1" s="1"/>
  <c r="DY25" i="1" s="1"/>
  <c r="DY24" i="1" s="1"/>
  <c r="DY23" i="1" s="1"/>
  <c r="DY22" i="1" s="1"/>
  <c r="DY21" i="1" s="1"/>
  <c r="DY20" i="1" s="1"/>
  <c r="DY19" i="1" s="1"/>
  <c r="DY18" i="1" s="1"/>
  <c r="J158" i="1"/>
  <c r="I401" i="1"/>
  <c r="J213" i="1"/>
  <c r="L273" i="1"/>
  <c r="I266" i="1"/>
  <c r="J208" i="1"/>
  <c r="I191" i="1"/>
  <c r="I250" i="1"/>
  <c r="L305" i="1"/>
  <c r="J275" i="1"/>
  <c r="K191" i="1"/>
  <c r="J340" i="1"/>
  <c r="J101" i="1"/>
  <c r="AQ339" i="1"/>
  <c r="AQ337" i="1"/>
  <c r="J352" i="1"/>
  <c r="I316" i="1"/>
  <c r="I313" i="1"/>
  <c r="J319" i="1"/>
  <c r="AQ305" i="1"/>
  <c r="L298" i="1"/>
  <c r="J194" i="1"/>
  <c r="I350" i="1"/>
  <c r="K341" i="1"/>
  <c r="J318" i="1"/>
  <c r="K287" i="1"/>
  <c r="AQ333" i="1"/>
  <c r="J283" i="1"/>
  <c r="K145" i="1"/>
  <c r="K254" i="1"/>
  <c r="I344" i="1"/>
  <c r="I290" i="1"/>
  <c r="J290" i="1"/>
  <c r="K281" i="1"/>
  <c r="L270" i="1"/>
  <c r="AQ319" i="1"/>
  <c r="I314" i="1"/>
  <c r="AQ306" i="1"/>
  <c r="I236" i="1"/>
  <c r="J281" i="1"/>
  <c r="J266" i="1"/>
  <c r="I145" i="1"/>
  <c r="AQ320" i="1"/>
  <c r="J310" i="1"/>
  <c r="K175" i="1"/>
  <c r="I194" i="1"/>
  <c r="J349" i="1"/>
  <c r="L342" i="1"/>
  <c r="K332" i="1"/>
  <c r="L266" i="1"/>
  <c r="J322" i="1"/>
  <c r="L210" i="1"/>
  <c r="L391" i="1"/>
  <c r="I254" i="1"/>
  <c r="AQ346" i="1"/>
  <c r="AQ329" i="1"/>
  <c r="J292" i="1"/>
  <c r="J287" i="1"/>
  <c r="J331" i="1"/>
  <c r="I279" i="1"/>
  <c r="J93" i="1"/>
  <c r="K326" i="1"/>
  <c r="J243" i="1"/>
  <c r="AQ350" i="1"/>
  <c r="I274" i="1"/>
  <c r="I342" i="1"/>
  <c r="L193" i="1"/>
  <c r="J146" i="1"/>
  <c r="K123" i="1"/>
  <c r="J311" i="1"/>
  <c r="J301" i="1"/>
  <c r="K257" i="1"/>
  <c r="L224" i="1"/>
  <c r="AQ308" i="1"/>
  <c r="K229" i="1"/>
  <c r="J324" i="1"/>
  <c r="I326" i="1"/>
  <c r="I272" i="1"/>
  <c r="J175" i="1"/>
  <c r="J122" i="1"/>
  <c r="J317" i="1"/>
  <c r="K330" i="1"/>
  <c r="J45" i="1"/>
  <c r="L262" i="1"/>
  <c r="L288" i="1"/>
  <c r="J228" i="1"/>
  <c r="K228" i="1"/>
  <c r="K279" i="1"/>
  <c r="I229" i="1"/>
  <c r="AQ335" i="1"/>
  <c r="J250" i="1"/>
  <c r="I93" i="1"/>
  <c r="J272" i="1"/>
  <c r="L308" i="1"/>
  <c r="J267" i="1"/>
  <c r="I258" i="1"/>
  <c r="J197" i="1"/>
  <c r="J173" i="1"/>
  <c r="J181" i="1"/>
  <c r="J389" i="1"/>
  <c r="J205" i="1"/>
  <c r="K371" i="1"/>
  <c r="K241" i="1"/>
  <c r="K195" i="1"/>
  <c r="I195" i="1"/>
  <c r="J89" i="1"/>
  <c r="J104" i="1"/>
  <c r="I378" i="1"/>
  <c r="J21" i="1"/>
  <c r="J155" i="1"/>
  <c r="J130" i="1"/>
  <c r="J367" i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kdl</author>
    <author>BSC</author>
    <author>KDL</author>
  </authors>
  <commentList>
    <comment ref="AL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saisonbereinigt mit Eviews</t>
        </r>
      </text>
    </comment>
    <comment ref="AP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in Euro</t>
        </r>
      </text>
    </comment>
    <comment ref="BH3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konstruiert aus allen negativen einschätzungen u. unentschl.
(Situation + Erwartungen)</t>
        </r>
      </text>
    </comment>
    <comment ref="C4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>kdl:</t>
        </r>
        <r>
          <rPr>
            <sz val="8"/>
            <color indexed="81"/>
            <rFont val="Tahoma"/>
            <family val="2"/>
          </rPr>
          <t xml:space="preserve">
ab Juni 2012 sind keine Frankfurt-Werte mehr verfügbar und die Reihe wurde auf den EONIA satz umgestellt. Da dieser aber erst ab 1999 verfügbar ist wird von 1990-99 der Tagesgeldsatz an der Frankfurter Börse unterstellt.
Ab 2019 ESTR SATZ nachfolge EONIA</t>
        </r>
      </text>
    </comment>
    <comment ref="E4" authorId="1" shapeId="0" xr:uid="{00000000-0006-0000-0000-000006000000}">
      <text>
        <r>
          <rPr>
            <b/>
            <sz val="8"/>
            <color indexed="81"/>
            <rFont val="Tahoma"/>
            <family val="2"/>
          </rPr>
          <t>kdl:</t>
        </r>
        <r>
          <rPr>
            <sz val="8"/>
            <color indexed="81"/>
            <rFont val="Tahoma"/>
            <family val="2"/>
          </rPr>
          <t xml:space="preserve">
ab Juni 2012 sind keine Frankfurt-Werte mehr verfügbar und die Reihe wurde auf den EURIBOR satz umgestellt. Da dieser aber erst ab 1999 verfügbar ist wird von 1990-99 der 3monatssatz an der Frankfurter Börse unterstellt.</t>
        </r>
      </text>
    </comment>
    <comment ref="T4" authorId="1" shapeId="0" xr:uid="{00000000-0006-0000-0000-000007000000}">
      <text>
        <r>
          <rPr>
            <b/>
            <sz val="8"/>
            <color indexed="81"/>
            <rFont val="Tahoma"/>
            <family val="2"/>
          </rPr>
          <t>kdl:</t>
        </r>
        <r>
          <rPr>
            <sz val="8"/>
            <color indexed="81"/>
            <rFont val="Tahoma"/>
            <family val="2"/>
          </rPr>
          <t xml:space="preserve">
die Dt. Geldmengenaggregate kommen noch aus einer anderen Datei wo wir den Bruch glätten
</t>
        </r>
      </text>
    </comment>
    <comment ref="BJ4" authorId="1" shapeId="0" xr:uid="{00000000-0006-0000-0000-000008000000}">
      <text>
        <r>
          <rPr>
            <b/>
            <sz val="8"/>
            <color indexed="81"/>
            <rFont val="Tahoma"/>
            <family val="2"/>
          </rPr>
          <t>kdl:</t>
        </r>
        <r>
          <rPr>
            <sz val="8"/>
            <color indexed="81"/>
            <rFont val="Tahoma"/>
            <family val="2"/>
          </rPr>
          <t xml:space="preserve">
manuell
</t>
        </r>
      </text>
    </comment>
    <comment ref="BK4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>kdl:</t>
        </r>
        <r>
          <rPr>
            <sz val="8"/>
            <color indexed="81"/>
            <rFont val="Tahoma"/>
            <family val="2"/>
          </rPr>
          <t xml:space="preserve">
manuell
</t>
        </r>
      </text>
    </comment>
    <comment ref="AJ5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BSC:</t>
        </r>
        <r>
          <rPr>
            <sz val="9"/>
            <color indexed="81"/>
            <rFont val="Tahoma"/>
            <family val="2"/>
          </rPr>
          <t xml:space="preserve">
siehe Spalte Exportpreise
</t>
        </r>
      </text>
    </comment>
    <comment ref="AK5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BSC:</t>
        </r>
        <r>
          <rPr>
            <sz val="9"/>
            <color indexed="81"/>
            <rFont val="Tahoma"/>
            <family val="2"/>
          </rPr>
          <t xml:space="preserve">
nsb Reihe von Destatis, Datastream ist hingegen saisonbereinigt</t>
        </r>
      </text>
    </comment>
    <comment ref="DT17" authorId="1" shapeId="0" xr:uid="{00000000-0006-0000-0000-000013000000}">
      <text>
        <r>
          <rPr>
            <b/>
            <sz val="8"/>
            <color indexed="81"/>
            <rFont val="Tahoma"/>
            <family val="2"/>
          </rPr>
          <t>kdl:</t>
        </r>
        <r>
          <rPr>
            <sz val="8"/>
            <color indexed="81"/>
            <rFont val="Tahoma"/>
            <family val="2"/>
          </rPr>
          <t xml:space="preserve">
von Uli
</t>
        </r>
      </text>
    </comment>
    <comment ref="DY18" authorId="3" shapeId="0" xr:uid="{00000000-0006-0000-0000-000014000000}">
      <text>
        <r>
          <rPr>
            <b/>
            <sz val="9"/>
            <color indexed="81"/>
            <rFont val="Segoe UI"/>
            <family val="2"/>
          </rPr>
          <t>KDL:</t>
        </r>
        <r>
          <rPr>
            <sz val="9"/>
            <color indexed="81"/>
            <rFont val="Segoe UI"/>
            <family val="2"/>
          </rPr>
          <t xml:space="preserve">
Rückrechnung mit einfacher Differenz von IP</t>
        </r>
      </text>
    </comment>
    <comment ref="DS29" authorId="1" shapeId="0" xr:uid="{00000000-0006-0000-0000-000016000000}">
      <text>
        <r>
          <rPr>
            <b/>
            <sz val="8"/>
            <color indexed="81"/>
            <rFont val="Tahoma"/>
            <family val="2"/>
          </rPr>
          <t>kdl:</t>
        </r>
        <r>
          <rPr>
            <sz val="8"/>
            <color indexed="81"/>
            <rFont val="Tahoma"/>
            <family val="2"/>
          </rPr>
          <t xml:space="preserve">
von Uli
</t>
        </r>
      </text>
    </comment>
    <comment ref="V239" authorId="1" shapeId="0" xr:uid="{00000000-0006-0000-0000-00001B000000}">
      <text>
        <r>
          <rPr>
            <b/>
            <sz val="8"/>
            <color indexed="81"/>
            <rFont val="Tahoma"/>
            <family val="2"/>
          </rPr>
          <t>kdl:</t>
        </r>
        <r>
          <rPr>
            <sz val="8"/>
            <color indexed="81"/>
            <rFont val="Tahoma"/>
            <family val="2"/>
          </rPr>
          <t xml:space="preserve">
bei DS kommt ein NA-Wert</t>
        </r>
      </text>
    </comment>
    <comment ref="A247" authorId="1" shapeId="0" xr:uid="{00000000-0006-0000-0000-00001C000000}">
      <text>
        <r>
          <rPr>
            <b/>
            <sz val="8"/>
            <color indexed="81"/>
            <rFont val="Tahoma"/>
            <family val="2"/>
          </rPr>
          <t>kdl:</t>
        </r>
        <r>
          <rPr>
            <sz val="8"/>
            <color indexed="81"/>
            <rFont val="Tahoma"/>
            <family val="2"/>
          </rPr>
          <t xml:space="preserve">
wird automatisch verlinkt!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kdl</author>
  </authors>
  <commentList>
    <comment ref="C3" authorId="0" shapeId="0" xr:uid="{00000000-0006-0000-0100-000001000000}">
      <text>
        <r>
          <rPr>
            <sz val="8"/>
            <color indexed="81"/>
            <rFont val="Tahoma"/>
            <family val="2"/>
          </rPr>
          <t>Achtung verknüpft mit Mtrans!</t>
        </r>
      </text>
    </comment>
    <comment ref="A9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1: Vorquartal abgeschlossen (wie BIP)
2: laufendes Quatal vorhanden +1
3: abgeschlossenes Vorquartal nicht vorhanden -1</t>
        </r>
      </text>
    </comment>
    <comment ref="Z9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kdl:</t>
        </r>
        <r>
          <rPr>
            <sz val="8"/>
            <color indexed="81"/>
            <rFont val="Tahoma"/>
            <family val="2"/>
          </rPr>
          <t xml:space="preserve">
hier bleibt auch 1 weil es oben durch den Lag ausgeglichen wird</t>
        </r>
      </text>
    </comment>
    <comment ref="Z10" authorId="1" shapeId="0" xr:uid="{00000000-0006-0000-0100-000004000000}">
      <text>
        <r>
          <rPr>
            <b/>
            <sz val="8"/>
            <color indexed="81"/>
            <rFont val="Tahoma"/>
            <family val="2"/>
          </rPr>
          <t>kdl:</t>
        </r>
        <r>
          <rPr>
            <sz val="8"/>
            <color indexed="81"/>
            <rFont val="Tahoma"/>
            <family val="2"/>
          </rPr>
          <t xml:space="preserve">
hier bleibt auch 1 weil es oben durch den Lag ausgeglichen wird</t>
        </r>
      </text>
    </comment>
  </commentList>
</comments>
</file>

<file path=xl/sharedStrings.xml><?xml version="1.0" encoding="utf-8"?>
<sst xmlns="http://schemas.openxmlformats.org/spreadsheetml/2006/main" count="1870" uniqueCount="463">
  <si>
    <t>is_m</t>
  </si>
  <si>
    <t>is_d</t>
  </si>
  <si>
    <t>is_3m</t>
  </si>
  <si>
    <t>il_3</t>
  </si>
  <si>
    <t>il_5</t>
  </si>
  <si>
    <t>il_10</t>
  </si>
  <si>
    <t>exr</t>
  </si>
  <si>
    <t>dax</t>
  </si>
  <si>
    <t>vola1</t>
  </si>
  <si>
    <t>ip_vorl</t>
  </si>
  <si>
    <t>ew</t>
  </si>
  <si>
    <t>alq</t>
  </si>
  <si>
    <t>cpi</t>
  </si>
  <si>
    <t>tarif</t>
  </si>
  <si>
    <t>hwwa</t>
  </si>
  <si>
    <t>hwwa_e</t>
  </si>
  <si>
    <t>oil</t>
  </si>
  <si>
    <t>ifo_c</t>
  </si>
  <si>
    <t>ifo_exp</t>
  </si>
  <si>
    <t>ifo_uncer</t>
  </si>
  <si>
    <t>oecdl1</t>
  </si>
  <si>
    <t>oecdl3</t>
  </si>
  <si>
    <t>Industrieproduktion (Durchschnitte)</t>
  </si>
  <si>
    <t>Geldpolitisches Instrument</t>
  </si>
  <si>
    <t>Tagesgeld</t>
  </si>
  <si>
    <t>3Monatsgeld</t>
  </si>
  <si>
    <t>3/5Staatsanl</t>
  </si>
  <si>
    <t>5/8Staatsanl</t>
  </si>
  <si>
    <t>9/10Staatsanl</t>
  </si>
  <si>
    <t>term spread (10y - Policy inst)</t>
  </si>
  <si>
    <t>term spread (10y - 1Day</t>
  </si>
  <si>
    <t>term spread (10y - 3M)</t>
  </si>
  <si>
    <t>1Day - Policy Rates</t>
  </si>
  <si>
    <t>real eff. Wechselkurs</t>
  </si>
  <si>
    <t>DAX-Index</t>
  </si>
  <si>
    <t>Vol-Index1</t>
  </si>
  <si>
    <t>IP - Vorleistungsgüter</t>
  </si>
  <si>
    <t>Auftragseingänge (gesamt)</t>
  </si>
  <si>
    <t>Auftragseingänge - Konsumgüter usw.</t>
  </si>
  <si>
    <t>Auftragseingänge - Investitionsgüter usw.</t>
  </si>
  <si>
    <t>Erwerbstätige</t>
  </si>
  <si>
    <t>Arbeitslosenrate</t>
  </si>
  <si>
    <t>CPI all</t>
  </si>
  <si>
    <t>CPI ohne Energie</t>
  </si>
  <si>
    <t>Tariflöhne</t>
  </si>
  <si>
    <t>Rohstoffpreise HWWA</t>
  </si>
  <si>
    <t>Rohstoffpreise ohne Energy</t>
  </si>
  <si>
    <t>Rohstoffpreise nur Energy</t>
  </si>
  <si>
    <t>Ölpreise</t>
  </si>
  <si>
    <t>IFO-Klima</t>
  </si>
  <si>
    <t>IFO-Erwartungen</t>
  </si>
  <si>
    <t>ZEW-Erwartungen</t>
  </si>
  <si>
    <t>GFK-Konjunkturerwartungen</t>
  </si>
  <si>
    <t>IFO-Negativ und Unentschlossen</t>
  </si>
  <si>
    <t>OECDL1</t>
  </si>
  <si>
    <t>OECDL2</t>
  </si>
  <si>
    <t>OECDL3</t>
  </si>
  <si>
    <t>Zielgrößen</t>
  </si>
  <si>
    <t>Zinssätze</t>
  </si>
  <si>
    <t>Spreads</t>
  </si>
  <si>
    <t>Andere Finanzmarktvariablen</t>
  </si>
  <si>
    <t>Arbeitsmarkt</t>
  </si>
  <si>
    <t>Preise und Löhne</t>
  </si>
  <si>
    <t>Umfragedaten</t>
  </si>
  <si>
    <t>OECD</t>
  </si>
  <si>
    <t>Manufacturing</t>
  </si>
  <si>
    <t>Investitionsgüter</t>
  </si>
  <si>
    <t>Vorleistungsgüter</t>
  </si>
  <si>
    <t>ifom_c</t>
  </si>
  <si>
    <t>ifom_exp</t>
  </si>
  <si>
    <t>ifomi_c</t>
  </si>
  <si>
    <t>ifomi_exp</t>
  </si>
  <si>
    <t>ifomv_c</t>
  </si>
  <si>
    <t>ifomv_exp</t>
  </si>
  <si>
    <t>spr_10y_m</t>
  </si>
  <si>
    <t>spr_10y_d</t>
  </si>
  <si>
    <t>spr_10y_3m</t>
  </si>
  <si>
    <t>spr_1d_m</t>
  </si>
  <si>
    <t>gfk_exp</t>
  </si>
  <si>
    <t>cpi_ex</t>
  </si>
  <si>
    <t>ord</t>
  </si>
  <si>
    <t>ord_c</t>
  </si>
  <si>
    <t>ord_i</t>
  </si>
  <si>
    <t>NAME</t>
  </si>
  <si>
    <t>LAG</t>
  </si>
  <si>
    <t>BLOCK</t>
  </si>
  <si>
    <t>DIFF</t>
  </si>
  <si>
    <t xml:space="preserve">Employment expectations for the months ahead                  </t>
  </si>
  <si>
    <t>Industrial confidence indicator (40%)</t>
  </si>
  <si>
    <t>Services confidence indicator (30 %)</t>
  </si>
  <si>
    <t>Consumer confidence indicator (20%)</t>
  </si>
  <si>
    <t>Retail trade confidence indicator (5%)</t>
  </si>
  <si>
    <t>Construction confidence indicator (5%)</t>
  </si>
  <si>
    <t>The Economic sentiment indicator is a composite measure (average = 100)</t>
  </si>
  <si>
    <t xml:space="preserve">Confidence Indicator (Q2 + Q4 - Q7 + Q11) / 4                               </t>
  </si>
  <si>
    <t>Financial situation over last 12 months</t>
  </si>
  <si>
    <t>Financial situation over next 12 months</t>
  </si>
  <si>
    <t>General economic situation over last 12 months</t>
  </si>
  <si>
    <t>General economic situation over next 12 months</t>
  </si>
  <si>
    <t>Price trends over last 12 months</t>
  </si>
  <si>
    <t>Price trends over next 12 months</t>
  </si>
  <si>
    <t>Unemployment expectations over next 12 months</t>
  </si>
  <si>
    <t>Major purchases at present</t>
  </si>
  <si>
    <t>Major purchases over next 12 months</t>
  </si>
  <si>
    <t>Savings over next 12 months</t>
  </si>
  <si>
    <t>Statement on financial situation of household</t>
  </si>
  <si>
    <t>ECBS2</t>
  </si>
  <si>
    <t>ECBS3</t>
  </si>
  <si>
    <t>ECBS4</t>
  </si>
  <si>
    <t>ECBS5</t>
  </si>
  <si>
    <t>ECBS6</t>
  </si>
  <si>
    <t>ECBS7</t>
  </si>
  <si>
    <t>ESI_Indu</t>
  </si>
  <si>
    <t>ESI_serv</t>
  </si>
  <si>
    <t>ESI_c</t>
  </si>
  <si>
    <t>ESI_trade</t>
  </si>
  <si>
    <t>ESI_ctr</t>
  </si>
  <si>
    <t>ESI</t>
  </si>
  <si>
    <t>ECCS99</t>
  </si>
  <si>
    <t>ECCS1</t>
  </si>
  <si>
    <t>ECCS2</t>
  </si>
  <si>
    <t>ECCS3</t>
  </si>
  <si>
    <t>ECCS4</t>
  </si>
  <si>
    <t>ECCS5</t>
  </si>
  <si>
    <t>ECCS6</t>
  </si>
  <si>
    <t>ECCS7</t>
  </si>
  <si>
    <t>ECCS8</t>
  </si>
  <si>
    <t>ECCS9</t>
  </si>
  <si>
    <t>ECCS11_</t>
  </si>
  <si>
    <t>ECCS12_</t>
  </si>
  <si>
    <t xml:space="preserve">Assessment of order-book levels                               </t>
  </si>
  <si>
    <t xml:space="preserve">Assessment of export order-book levels                        </t>
  </si>
  <si>
    <t xml:space="preserve">Assessment of stocks of finished products                     </t>
  </si>
  <si>
    <t xml:space="preserve">Production expectations for the months ahead                  </t>
  </si>
  <si>
    <t xml:space="preserve">Selling price expectations for the months ahead               </t>
  </si>
  <si>
    <t>Name</t>
  </si>
  <si>
    <t>oilr</t>
  </si>
  <si>
    <t>Anzahl der Indikatoren</t>
  </si>
  <si>
    <t>number</t>
  </si>
  <si>
    <t>Geldmengenaggregate</t>
  </si>
  <si>
    <t>M1</t>
  </si>
  <si>
    <t>M2</t>
  </si>
  <si>
    <t>M3</t>
  </si>
  <si>
    <t>m1</t>
  </si>
  <si>
    <t>m1r</t>
  </si>
  <si>
    <t>m2</t>
  </si>
  <si>
    <t>m2r</t>
  </si>
  <si>
    <t>m3</t>
  </si>
  <si>
    <t>m3r</t>
  </si>
  <si>
    <t>vac</t>
  </si>
  <si>
    <t>Freie Stellen</t>
  </si>
  <si>
    <t>Wholesale</t>
  </si>
  <si>
    <t>ifowh_exp</t>
  </si>
  <si>
    <t>ifowh_c</t>
  </si>
  <si>
    <t>LagQ</t>
  </si>
  <si>
    <t>Realwirtschaft</t>
  </si>
  <si>
    <t>Rohstoffe</t>
  </si>
  <si>
    <t>ifo_bad weather</t>
  </si>
  <si>
    <t>ifo_weath</t>
  </si>
  <si>
    <t>Wetter</t>
  </si>
  <si>
    <t>estoxx</t>
  </si>
  <si>
    <t>DJ</t>
  </si>
  <si>
    <t>SP500</t>
  </si>
  <si>
    <t>PPI</t>
  </si>
  <si>
    <t>UK10y</t>
  </si>
  <si>
    <t>US10y</t>
  </si>
  <si>
    <t>US_exp</t>
  </si>
  <si>
    <t>EX_US</t>
  </si>
  <si>
    <t>EX_EU</t>
  </si>
  <si>
    <t>IM_US</t>
  </si>
  <si>
    <t>IM_EU</t>
  </si>
  <si>
    <t>Lead</t>
  </si>
  <si>
    <t>International</t>
  </si>
  <si>
    <t xml:space="preserve"> EXPORTS: OTHER EUROPEAN COUNTRIES </t>
  </si>
  <si>
    <t>EXPORTS TO ASIA</t>
  </si>
  <si>
    <t>EXPORTS TO MIDDLE EAST</t>
  </si>
  <si>
    <t xml:space="preserve">EXPORTS TO JAPAN </t>
  </si>
  <si>
    <t>EXPORTS TO CHINA</t>
  </si>
  <si>
    <t>EXPORTS TO RUSSIA</t>
  </si>
  <si>
    <t xml:space="preserve">EX EU COUNTRIES (26) </t>
  </si>
  <si>
    <t>FR ECONOMIC SENTIMENT INDICATOR - FRANCE VOLA</t>
  </si>
  <si>
    <t>ES ECONOMIC SENTIMENT INDICATOR - SPAIN VOLA</t>
  </si>
  <si>
    <t>SX ECONOMIC SENTIMENT INDICATOR - SLOVAKIA VOLA</t>
  </si>
  <si>
    <t>CZ ECONOMIC SENTIMENT INDICATOR - CZECH REPUBLIC VOLA</t>
  </si>
  <si>
    <t>IT ECONOMIC SENTIMENT INDICATOR - ITALY VOLA</t>
  </si>
  <si>
    <t>ESI_FR</t>
  </si>
  <si>
    <t>ESI_ES</t>
  </si>
  <si>
    <t>ESI_SK</t>
  </si>
  <si>
    <t>ESI_CZ</t>
  </si>
  <si>
    <t>ESI_IT</t>
  </si>
  <si>
    <t>Sentiment</t>
  </si>
  <si>
    <t>Trade</t>
  </si>
  <si>
    <t>pmi</t>
  </si>
  <si>
    <t>EX_EU26</t>
  </si>
  <si>
    <t>EX_nonEU</t>
  </si>
  <si>
    <t>EX_Asia</t>
  </si>
  <si>
    <t>EX_MA</t>
  </si>
  <si>
    <t>EX_Ru</t>
  </si>
  <si>
    <t>EX_JP</t>
  </si>
  <si>
    <t>EX_CH</t>
  </si>
  <si>
    <t>ip</t>
  </si>
  <si>
    <t>VZ</t>
  </si>
  <si>
    <t>IM_pr</t>
  </si>
  <si>
    <t>EX_pr</t>
  </si>
  <si>
    <t>hwwaex</t>
  </si>
  <si>
    <t>ifo_l</t>
  </si>
  <si>
    <t>ifom_l</t>
  </si>
  <si>
    <t>Ifo-Lage</t>
  </si>
  <si>
    <t>ifowh_l</t>
  </si>
  <si>
    <t>zew_l</t>
  </si>
  <si>
    <t>ZEW-Lage</t>
  </si>
  <si>
    <t>eurocoin</t>
  </si>
  <si>
    <t>Major five Asia</t>
  </si>
  <si>
    <t>China</t>
  </si>
  <si>
    <t>USA</t>
  </si>
  <si>
    <t>oecdas1</t>
  </si>
  <si>
    <t>oecdas2</t>
  </si>
  <si>
    <t>oecdch1</t>
  </si>
  <si>
    <t>oecdch2</t>
  </si>
  <si>
    <t>oecdus1</t>
  </si>
  <si>
    <t>oecdus2</t>
  </si>
  <si>
    <t>com</t>
  </si>
  <si>
    <t>m1eu</t>
  </si>
  <si>
    <t>m2eu</t>
  </si>
  <si>
    <t>m3eu</t>
  </si>
  <si>
    <t>Geldmenge Euroraum</t>
  </si>
  <si>
    <t>lend14</t>
  </si>
  <si>
    <t>M1 desposits</t>
  </si>
  <si>
    <t>pmi-manufactering</t>
  </si>
  <si>
    <t>Early-Bild (Commerzbank)</t>
  </si>
  <si>
    <t>Importpreise</t>
  </si>
  <si>
    <t>Exportpreise</t>
  </si>
  <si>
    <t>Großhandel</t>
  </si>
  <si>
    <t>Eurostoxx</t>
  </si>
  <si>
    <t>Dow Jones</t>
  </si>
  <si>
    <t>UK 10y</t>
  </si>
  <si>
    <t>US-consumer expect</t>
  </si>
  <si>
    <t>EX US</t>
  </si>
  <si>
    <t>EX EU</t>
  </si>
  <si>
    <t>IM US</t>
  </si>
  <si>
    <t>IM EU</t>
  </si>
  <si>
    <t>Arbeitsmarktergänzung</t>
  </si>
  <si>
    <t>sb</t>
  </si>
  <si>
    <t>NA</t>
  </si>
  <si>
    <t>Anlagen</t>
  </si>
  <si>
    <t>Ausrüstungen</t>
  </si>
  <si>
    <t>Bauten</t>
  </si>
  <si>
    <t>Sonstige</t>
  </si>
  <si>
    <t>Quartalsindikatoren</t>
  </si>
  <si>
    <t>Reales BIP</t>
  </si>
  <si>
    <t>PCR</t>
  </si>
  <si>
    <t>XTR</t>
  </si>
  <si>
    <t>MTR</t>
  </si>
  <si>
    <t>ITR</t>
  </si>
  <si>
    <t>AUI</t>
  </si>
  <si>
    <t>BAI</t>
  </si>
  <si>
    <t>SAI</t>
  </si>
  <si>
    <t>BWS</t>
  </si>
  <si>
    <t>Kapazitätsauslastung</t>
  </si>
  <si>
    <t xml:space="preserve"> HOURS WORKED</t>
  </si>
  <si>
    <t>BIP</t>
  </si>
  <si>
    <t>PV</t>
  </si>
  <si>
    <t>EX</t>
  </si>
  <si>
    <t>IM</t>
  </si>
  <si>
    <t>AI</t>
  </si>
  <si>
    <t>LFW</t>
  </si>
  <si>
    <t>BAU</t>
  </si>
  <si>
    <t>FV</t>
  </si>
  <si>
    <t>PGOB</t>
  </si>
  <si>
    <t>VG</t>
  </si>
  <si>
    <t>HVG</t>
  </si>
  <si>
    <t>SDL</t>
  </si>
  <si>
    <t>IK</t>
  </si>
  <si>
    <t>GW</t>
  </si>
  <si>
    <t>UDL</t>
  </si>
  <si>
    <t>OEG</t>
  </si>
  <si>
    <t>CAPA</t>
  </si>
  <si>
    <t>WHOUR</t>
  </si>
  <si>
    <t>lend1</t>
  </si>
  <si>
    <t>lend2</t>
  </si>
  <si>
    <t>lend3</t>
  </si>
  <si>
    <t>lend4</t>
  </si>
  <si>
    <t>lend5</t>
  </si>
  <si>
    <t>lend6</t>
  </si>
  <si>
    <t>lend7</t>
  </si>
  <si>
    <t>lend8</t>
  </si>
  <si>
    <t>lend9</t>
  </si>
  <si>
    <t>lend10</t>
  </si>
  <si>
    <t>aa</t>
  </si>
  <si>
    <t>BD LEND TO DOM ENTP&amp;HH,HSG LOAN TO ENTP&amp;SELF-EMPL,TOTAL,ALL BNKS</t>
  </si>
  <si>
    <t>BD LEND TO DOM ENTP&amp;S/E, TOTAL, ALL BNKS CURN</t>
  </si>
  <si>
    <t>BD LEND TO DOM ENTP&amp;S/E,MFG. SECTOR, TOTAL, ALL BNKS CURN</t>
  </si>
  <si>
    <t>BD LEND TO DOM ENTP&amp;S/E, CONSTRUCTION, TOTAL, ALL BNKS CURN</t>
  </si>
  <si>
    <t>BD LEND TO DOM ENTP&amp;S/E,WRT,MOT.VH&amp;CYCL REP,TOTAL, ALL BNKS CURN</t>
  </si>
  <si>
    <t>BD LEND TO DOM ENTP&amp;S/E, HSG ENTPS, TOTAL, ALL BNKS CURN</t>
  </si>
  <si>
    <t>BD LEND TO DOM ENTP&amp;S/E, HOLDING COMPANIES, TOTAL, ALL BNKS CURN</t>
  </si>
  <si>
    <t>BD LEND TO DOM ENTP&amp;HH,HSG LOAN, ENTPS&amp;IND, TOTAL, ALL BNKS CURN</t>
  </si>
  <si>
    <t>BD LEND TO DOM ENTP&amp;HH,HSG LOAN TO ENTPS&amp;IND,TOTAL,ALL BNKS CURN</t>
  </si>
  <si>
    <t>weitere Indikatoren</t>
  </si>
  <si>
    <t>European_News_Index</t>
  </si>
  <si>
    <t>Germany_News_Index</t>
  </si>
  <si>
    <t>newsde</t>
  </si>
  <si>
    <t>newseu</t>
  </si>
  <si>
    <t>BDI</t>
  </si>
  <si>
    <t>Copper</t>
  </si>
  <si>
    <t xml:space="preserve">Baltic Exchange Dry Index </t>
  </si>
  <si>
    <t>ifoemp</t>
  </si>
  <si>
    <t>!!!!!</t>
  </si>
  <si>
    <t>SV</t>
  </si>
  <si>
    <t>Staat</t>
  </si>
  <si>
    <t>Link zu TAGESDATEN (manuell ohne Formel reinkopieren)</t>
  </si>
  <si>
    <t>bis mai 18 stand 0</t>
  </si>
  <si>
    <t/>
  </si>
  <si>
    <t>Lkw-Maut-Fahrleistungsindex</t>
  </si>
  <si>
    <t>maut</t>
  </si>
  <si>
    <t>Deutschland</t>
  </si>
  <si>
    <t>oecdde1</t>
  </si>
  <si>
    <t>oecdde2</t>
  </si>
  <si>
    <t>zew_c</t>
  </si>
  <si>
    <t>UK_exp</t>
  </si>
  <si>
    <t>UK-consumer expect</t>
  </si>
  <si>
    <t>Shortw</t>
  </si>
  <si>
    <t>Empb</t>
  </si>
  <si>
    <t>Q1 1991</t>
  </si>
  <si>
    <t>Q2 1991</t>
  </si>
  <si>
    <t>Q3 1991</t>
  </si>
  <si>
    <t>Q4 1991</t>
  </si>
  <si>
    <t>Q1 1992</t>
  </si>
  <si>
    <t>Q2 1992</t>
  </si>
  <si>
    <t>Q3 1992</t>
  </si>
  <si>
    <t>Q4 1992</t>
  </si>
  <si>
    <t>Q1 1993</t>
  </si>
  <si>
    <t>Q2 1993</t>
  </si>
  <si>
    <t>Q3 1993</t>
  </si>
  <si>
    <t>Q4 1993</t>
  </si>
  <si>
    <t>Q1 1994</t>
  </si>
  <si>
    <t>Q2 1994</t>
  </si>
  <si>
    <t>Q3 1994</t>
  </si>
  <si>
    <t>Q4 1994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</si>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</sst>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"/>
    <numFmt numFmtId="166" formatCode="0.000"/>
  </numFmts>
  <fonts count="21" x14ac:knownFonts="1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color indexed="1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8"/>
      <color rgb="FF000000"/>
      <name val="Verdana"/>
      <family val="2"/>
    </font>
  </fonts>
  <fills count="2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30">
    <xf numFmtId="0" fontId="0" fillId="0" borderId="0" xfId="0"/>
    <xf numFmtId="14" fontId="0" fillId="0" borderId="0" xfId="0" applyNumberFormat="1"/>
    <xf numFmtId="0" fontId="12" fillId="3" borderId="1" xfId="0" applyFont="1" applyFill="1" applyBorder="1"/>
    <xf numFmtId="0" fontId="12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12" fillId="5" borderId="1" xfId="0" applyFont="1" applyFill="1" applyBorder="1"/>
    <xf numFmtId="0" fontId="0" fillId="5" borderId="2" xfId="0" applyFill="1" applyBorder="1"/>
    <xf numFmtId="0" fontId="14" fillId="6" borderId="1" xfId="0" applyFont="1" applyFill="1" applyBorder="1"/>
    <xf numFmtId="0" fontId="15" fillId="6" borderId="2" xfId="0" applyFont="1" applyFill="1" applyBorder="1"/>
    <xf numFmtId="0" fontId="12" fillId="7" borderId="1" xfId="0" applyFont="1" applyFill="1" applyBorder="1"/>
    <xf numFmtId="0" fontId="0" fillId="7" borderId="2" xfId="0" applyFill="1" applyBorder="1"/>
    <xf numFmtId="0" fontId="12" fillId="8" borderId="0" xfId="0" applyFont="1" applyFill="1"/>
    <xf numFmtId="0" fontId="0" fillId="8" borderId="0" xfId="0" applyFill="1"/>
    <xf numFmtId="0" fontId="12" fillId="9" borderId="0" xfId="0" applyFont="1" applyFill="1"/>
    <xf numFmtId="0" fontId="0" fillId="9" borderId="0" xfId="0" applyFill="1"/>
    <xf numFmtId="0" fontId="12" fillId="10" borderId="0" xfId="0" applyFont="1" applyFill="1"/>
    <xf numFmtId="0" fontId="0" fillId="10" borderId="0" xfId="0" applyFill="1"/>
    <xf numFmtId="0" fontId="12" fillId="11" borderId="0" xfId="0" applyFont="1" applyFill="1"/>
    <xf numFmtId="0" fontId="0" fillId="11" borderId="0" xfId="0" applyFill="1"/>
    <xf numFmtId="0" fontId="15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12" borderId="0" xfId="0" applyFill="1"/>
    <xf numFmtId="2" fontId="0" fillId="0" borderId="0" xfId="0" applyNumberFormat="1"/>
    <xf numFmtId="0" fontId="4" fillId="2" borderId="4" xfId="2" applyFont="1" applyFill="1" applyBorder="1" applyAlignment="1">
      <alignment vertical="top" wrapText="1"/>
    </xf>
    <xf numFmtId="0" fontId="4" fillId="14" borderId="4" xfId="2" applyFont="1" applyFill="1" applyBorder="1" applyAlignment="1">
      <alignment vertical="top" wrapText="1"/>
    </xf>
    <xf numFmtId="0" fontId="4" fillId="3" borderId="4" xfId="2" applyFont="1" applyFill="1" applyBorder="1" applyAlignment="1">
      <alignment vertical="top" wrapText="1"/>
    </xf>
    <xf numFmtId="0" fontId="16" fillId="0" borderId="11" xfId="0" applyFont="1" applyBorder="1" applyAlignment="1">
      <alignment wrapText="1"/>
    </xf>
    <xf numFmtId="0" fontId="12" fillId="0" borderId="0" xfId="0" applyFont="1"/>
    <xf numFmtId="0" fontId="17" fillId="0" borderId="0" xfId="0" applyFont="1" applyAlignment="1">
      <alignment horizontal="center"/>
    </xf>
    <xf numFmtId="14" fontId="12" fillId="0" borderId="0" xfId="0" applyNumberFormat="1" applyFont="1"/>
    <xf numFmtId="165" fontId="0" fillId="0" borderId="0" xfId="0" applyNumberFormat="1"/>
    <xf numFmtId="165" fontId="0" fillId="12" borderId="0" xfId="0" applyNumberFormat="1" applyFill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15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12" fillId="13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1" fontId="5" fillId="16" borderId="0" xfId="4" applyNumberFormat="1" applyFont="1" applyFill="1" applyAlignment="1">
      <alignment horizontal="center"/>
    </xf>
    <xf numFmtId="49" fontId="5" fillId="16" borderId="0" xfId="5" applyNumberFormat="1" applyFont="1" applyFill="1" applyAlignment="1">
      <alignment horizontal="center"/>
    </xf>
    <xf numFmtId="165" fontId="5" fillId="16" borderId="0" xfId="5" applyNumberFormat="1" applyFont="1" applyFill="1" applyAlignment="1">
      <alignment horizontal="center"/>
    </xf>
    <xf numFmtId="0" fontId="5" fillId="16" borderId="0" xfId="6" applyFont="1" applyFill="1" applyAlignment="1">
      <alignment horizontal="center"/>
    </xf>
    <xf numFmtId="2" fontId="0" fillId="12" borderId="0" xfId="0" applyNumberFormat="1" applyFill="1"/>
    <xf numFmtId="0" fontId="15" fillId="14" borderId="2" xfId="0" applyFont="1" applyFill="1" applyBorder="1"/>
    <xf numFmtId="0" fontId="14" fillId="14" borderId="2" xfId="0" applyFont="1" applyFill="1" applyBorder="1"/>
    <xf numFmtId="0" fontId="0" fillId="4" borderId="0" xfId="0" applyFill="1"/>
    <xf numFmtId="0" fontId="4" fillId="10" borderId="4" xfId="2" applyFont="1" applyFill="1" applyBorder="1" applyAlignment="1">
      <alignment vertical="top" wrapText="1"/>
    </xf>
    <xf numFmtId="0" fontId="0" fillId="14" borderId="0" xfId="0" applyFill="1"/>
    <xf numFmtId="0" fontId="12" fillId="14" borderId="0" xfId="0" applyFont="1" applyFill="1" applyAlignment="1">
      <alignment vertical="top"/>
    </xf>
    <xf numFmtId="0" fontId="4" fillId="10" borderId="0" xfId="2" applyFont="1" applyFill="1" applyAlignment="1">
      <alignment vertical="top" wrapText="1"/>
    </xf>
    <xf numFmtId="14" fontId="0" fillId="0" borderId="5" xfId="0" applyNumberFormat="1" applyBorder="1"/>
    <xf numFmtId="165" fontId="0" fillId="12" borderId="5" xfId="0" applyNumberFormat="1" applyFill="1" applyBorder="1"/>
    <xf numFmtId="2" fontId="0" fillId="12" borderId="5" xfId="0" applyNumberFormat="1" applyFill="1" applyBorder="1"/>
    <xf numFmtId="0" fontId="0" fillId="0" borderId="5" xfId="0" applyBorder="1"/>
    <xf numFmtId="0" fontId="18" fillId="13" borderId="0" xfId="0" applyFont="1" applyFill="1" applyAlignment="1">
      <alignment horizontal="center"/>
    </xf>
    <xf numFmtId="0" fontId="18" fillId="0" borderId="0" xfId="0" applyFont="1"/>
    <xf numFmtId="0" fontId="15" fillId="14" borderId="6" xfId="0" applyFont="1" applyFill="1" applyBorder="1"/>
    <xf numFmtId="165" fontId="0" fillId="0" borderId="5" xfId="0" applyNumberFormat="1" applyBorder="1"/>
    <xf numFmtId="0" fontId="0" fillId="17" borderId="0" xfId="0" applyFill="1"/>
    <xf numFmtId="0" fontId="0" fillId="18" borderId="0" xfId="0" applyFill="1" applyAlignment="1">
      <alignment horizontal="center"/>
    </xf>
    <xf numFmtId="165" fontId="0" fillId="0" borderId="2" xfId="0" applyNumberFormat="1" applyBorder="1"/>
    <xf numFmtId="165" fontId="0" fillId="12" borderId="2" xfId="0" applyNumberFormat="1" applyFill="1" applyBorder="1"/>
    <xf numFmtId="165" fontId="0" fillId="0" borderId="0" xfId="0" applyNumberFormat="1" applyAlignment="1">
      <alignment horizontal="right"/>
    </xf>
    <xf numFmtId="165" fontId="0" fillId="0" borderId="2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12" borderId="2" xfId="0" applyNumberFormat="1" applyFill="1" applyBorder="1" applyAlignment="1">
      <alignment horizontal="right"/>
    </xf>
    <xf numFmtId="165" fontId="0" fillId="12" borderId="0" xfId="0" applyNumberFormat="1" applyFill="1" applyAlignment="1">
      <alignment horizontal="right"/>
    </xf>
    <xf numFmtId="165" fontId="0" fillId="12" borderId="5" xfId="0" applyNumberFormat="1" applyFill="1" applyBorder="1" applyAlignment="1">
      <alignment horizontal="right"/>
    </xf>
    <xf numFmtId="165" fontId="0" fillId="19" borderId="0" xfId="0" applyNumberFormat="1" applyFill="1"/>
    <xf numFmtId="165" fontId="19" fillId="0" borderId="0" xfId="0" applyNumberFormat="1" applyFont="1"/>
    <xf numFmtId="0" fontId="0" fillId="20" borderId="0" xfId="0" applyFill="1"/>
    <xf numFmtId="0" fontId="0" fillId="10" borderId="6" xfId="0" applyFill="1" applyBorder="1"/>
    <xf numFmtId="0" fontId="0" fillId="10" borderId="7" xfId="0" applyFill="1" applyBorder="1"/>
    <xf numFmtId="0" fontId="0" fillId="21" borderId="0" xfId="0" applyFill="1"/>
    <xf numFmtId="0" fontId="0" fillId="0" borderId="8" xfId="0" applyBorder="1"/>
    <xf numFmtId="0" fontId="12" fillId="4" borderId="0" xfId="0" applyFont="1" applyFill="1"/>
    <xf numFmtId="0" fontId="0" fillId="19" borderId="0" xfId="0" applyFill="1"/>
    <xf numFmtId="0" fontId="0" fillId="0" borderId="0" xfId="0" applyAlignment="1">
      <alignment wrapText="1"/>
    </xf>
    <xf numFmtId="0" fontId="0" fillId="22" borderId="0" xfId="0" applyFill="1"/>
    <xf numFmtId="0" fontId="0" fillId="22" borderId="8" xfId="0" applyFill="1" applyBorder="1"/>
    <xf numFmtId="0" fontId="0" fillId="19" borderId="8" xfId="0" applyFill="1" applyBorder="1"/>
    <xf numFmtId="0" fontId="18" fillId="0" borderId="8" xfId="0" applyFont="1" applyBorder="1"/>
    <xf numFmtId="2" fontId="0" fillId="0" borderId="8" xfId="0" applyNumberFormat="1" applyBorder="1"/>
    <xf numFmtId="165" fontId="0" fillId="8" borderId="0" xfId="0" applyNumberFormat="1" applyFill="1"/>
    <xf numFmtId="165" fontId="0" fillId="4" borderId="0" xfId="0" applyNumberFormat="1" applyFill="1"/>
    <xf numFmtId="2" fontId="19" fillId="0" borderId="0" xfId="0" applyNumberFormat="1" applyFont="1"/>
    <xf numFmtId="14" fontId="0" fillId="0" borderId="2" xfId="0" applyNumberFormat="1" applyBorder="1"/>
    <xf numFmtId="14" fontId="0" fillId="0" borderId="9" xfId="0" applyNumberFormat="1" applyBorder="1"/>
    <xf numFmtId="0" fontId="0" fillId="0" borderId="9" xfId="0" applyBorder="1"/>
    <xf numFmtId="165" fontId="0" fillId="12" borderId="9" xfId="0" applyNumberFormat="1" applyFill="1" applyBorder="1"/>
    <xf numFmtId="0" fontId="15" fillId="12" borderId="0" xfId="0" applyFont="1" applyFill="1"/>
    <xf numFmtId="0" fontId="8" fillId="0" borderId="0" xfId="2" applyFont="1"/>
    <xf numFmtId="0" fontId="0" fillId="20" borderId="2" xfId="0" applyFill="1" applyBorder="1"/>
    <xf numFmtId="0" fontId="0" fillId="20" borderId="5" xfId="0" applyFill="1" applyBorder="1"/>
    <xf numFmtId="0" fontId="0" fillId="23" borderId="0" xfId="0" applyFill="1"/>
    <xf numFmtId="166" fontId="0" fillId="12" borderId="5" xfId="0" applyNumberFormat="1" applyFill="1" applyBorder="1"/>
    <xf numFmtId="166" fontId="0" fillId="12" borderId="0" xfId="0" applyNumberFormat="1" applyFill="1"/>
    <xf numFmtId="0" fontId="13" fillId="24" borderId="0" xfId="0" applyFont="1" applyFill="1"/>
    <xf numFmtId="0" fontId="0" fillId="10" borderId="8" xfId="0" applyFill="1" applyBorder="1"/>
    <xf numFmtId="165" fontId="13" fillId="0" borderId="0" xfId="0" applyNumberFormat="1" applyFont="1"/>
    <xf numFmtId="1" fontId="11" fillId="20" borderId="0" xfId="1" applyNumberFormat="1" applyFont="1" applyFill="1"/>
    <xf numFmtId="1" fontId="11" fillId="8" borderId="0" xfId="1" applyNumberFormat="1" applyFont="1" applyFill="1"/>
    <xf numFmtId="165" fontId="13" fillId="8" borderId="5" xfId="0" applyNumberFormat="1" applyFont="1" applyFill="1" applyBorder="1"/>
    <xf numFmtId="165" fontId="0" fillId="10" borderId="0" xfId="0" applyNumberFormat="1" applyFill="1"/>
    <xf numFmtId="2" fontId="13" fillId="0" borderId="0" xfId="0" applyNumberFormat="1" applyFont="1"/>
    <xf numFmtId="2" fontId="13" fillId="0" borderId="2" xfId="0" applyNumberFormat="1" applyFont="1" applyBorder="1"/>
    <xf numFmtId="2" fontId="13" fillId="0" borderId="5" xfId="0" applyNumberFormat="1" applyFont="1" applyBorder="1"/>
    <xf numFmtId="2" fontId="13" fillId="12" borderId="2" xfId="0" applyNumberFormat="1" applyFont="1" applyFill="1" applyBorder="1"/>
    <xf numFmtId="2" fontId="13" fillId="12" borderId="0" xfId="0" applyNumberFormat="1" applyFont="1" applyFill="1"/>
    <xf numFmtId="2" fontId="13" fillId="12" borderId="5" xfId="0" applyNumberFormat="1" applyFont="1" applyFill="1" applyBorder="1"/>
    <xf numFmtId="165" fontId="13" fillId="12" borderId="5" xfId="0" applyNumberFormat="1" applyFont="1" applyFill="1" applyBorder="1"/>
    <xf numFmtId="165" fontId="13" fillId="12" borderId="0" xfId="0" applyNumberFormat="1" applyFont="1" applyFill="1"/>
    <xf numFmtId="165" fontId="13" fillId="12" borderId="9" xfId="0" applyNumberFormat="1" applyFont="1" applyFill="1" applyBorder="1"/>
    <xf numFmtId="1" fontId="0" fillId="0" borderId="0" xfId="0" applyNumberFormat="1"/>
    <xf numFmtId="1" fontId="0" fillId="0" borderId="5" xfId="0" applyNumberFormat="1" applyBorder="1"/>
    <xf numFmtId="1" fontId="0" fillId="12" borderId="2" xfId="0" applyNumberFormat="1" applyFill="1" applyBorder="1"/>
    <xf numFmtId="1" fontId="0" fillId="12" borderId="0" xfId="0" applyNumberFormat="1" applyFill="1"/>
    <xf numFmtId="0" fontId="0" fillId="10" borderId="0" xfId="0" applyFill="1" applyAlignment="1">
      <alignment horizontal="center"/>
    </xf>
    <xf numFmtId="165" fontId="13" fillId="0" borderId="0" xfId="0" applyNumberFormat="1" applyFont="1" applyAlignment="1">
      <alignment horizontal="right"/>
    </xf>
    <xf numFmtId="1" fontId="11" fillId="0" borderId="0" xfId="1" applyNumberFormat="1" applyFont="1" applyFill="1"/>
    <xf numFmtId="0" fontId="13" fillId="8" borderId="0" xfId="0" applyFont="1" applyFill="1"/>
    <xf numFmtId="1" fontId="0" fillId="12" borderId="12" xfId="0" applyNumberFormat="1" applyFill="1" applyBorder="1"/>
    <xf numFmtId="1" fontId="0" fillId="12" borderId="5" xfId="0" applyNumberFormat="1" applyFill="1" applyBorder="1"/>
    <xf numFmtId="165" fontId="0" fillId="12" borderId="12" xfId="0" applyNumberFormat="1" applyFill="1" applyBorder="1"/>
    <xf numFmtId="165" fontId="0" fillId="8" borderId="5" xfId="0" applyNumberFormat="1" applyFill="1" applyBorder="1"/>
    <xf numFmtId="0" fontId="20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7">
    <cellStyle name="Komma" xfId="1" builtinId="3"/>
    <cellStyle name="Standard" xfId="0" builtinId="0"/>
    <cellStyle name="Standard 2" xfId="2" xr:uid="{00000000-0005-0000-0000-000002000000}"/>
    <cellStyle name="Standard 2 2" xfId="3" xr:uid="{00000000-0005-0000-0000-000003000000}"/>
    <cellStyle name="Standard 4" xfId="4" xr:uid="{00000000-0005-0000-0000-000004000000}"/>
    <cellStyle name="Standard 6" xfId="5" xr:uid="{00000000-0005-0000-0000-000005000000}"/>
    <cellStyle name="Standard 8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DZ578"/>
  <sheetViews>
    <sheetView tabSelected="1" zoomScale="112" zoomScaleNormal="112" workbookViewId="0">
      <pane xSplit="1" ySplit="4" topLeftCell="DT408" activePane="bottomRight" state="frozen"/>
      <selection pane="topRight" activeCell="B1" sqref="B1"/>
      <selection pane="bottomLeft" activeCell="A10" sqref="A10"/>
      <selection pane="bottomRight" activeCell="DZ421" sqref="DZ421"/>
    </sheetView>
  </sheetViews>
  <sheetFormatPr baseColWidth="10" defaultColWidth="9.140625" defaultRowHeight="15" x14ac:dyDescent="0.25"/>
  <cols>
    <col min="1" max="1" width="25.28515625" customWidth="1"/>
    <col min="2" max="121" width="11.42578125" customWidth="1"/>
    <col min="122" max="122" width="12" bestFit="1" customWidth="1"/>
    <col min="123" max="123" width="13" bestFit="1" customWidth="1"/>
  </cols>
  <sheetData>
    <row r="1" spans="1:129" x14ac:dyDescent="0.25">
      <c r="B1" s="61"/>
      <c r="N1" s="61"/>
      <c r="Z1" s="61"/>
      <c r="AA1" s="61"/>
      <c r="AC1" s="61"/>
      <c r="AE1" s="61"/>
      <c r="AF1" s="61"/>
      <c r="AM1" s="100"/>
      <c r="AR1" s="61"/>
      <c r="AS1" s="61"/>
      <c r="AT1" s="61"/>
      <c r="BE1" s="61"/>
      <c r="BF1" s="61"/>
      <c r="BG1" s="61"/>
      <c r="BJ1" s="61"/>
      <c r="BK1" s="61"/>
      <c r="BM1" s="61"/>
      <c r="BU1" s="61"/>
      <c r="CA1" s="61"/>
      <c r="CM1" s="13" t="s">
        <v>310</v>
      </c>
      <c r="DR1" t="s">
        <v>242</v>
      </c>
      <c r="DU1" t="s">
        <v>298</v>
      </c>
    </row>
    <row r="2" spans="1:129" ht="48" customHeight="1" x14ac:dyDescent="0.25">
      <c r="A2" t="s">
        <v>137</v>
      </c>
      <c r="B2" s="2" t="s">
        <v>57</v>
      </c>
      <c r="C2" s="3" t="s">
        <v>58</v>
      </c>
      <c r="D2" s="4"/>
      <c r="E2" s="4"/>
      <c r="F2" s="4"/>
      <c r="G2" s="4"/>
      <c r="H2" s="5"/>
      <c r="I2" s="6" t="s">
        <v>59</v>
      </c>
      <c r="J2" s="7"/>
      <c r="K2" s="7"/>
      <c r="L2" s="7"/>
      <c r="M2" s="8" t="s">
        <v>60</v>
      </c>
      <c r="N2" s="9"/>
      <c r="O2" s="9"/>
      <c r="P2" s="47" t="s">
        <v>139</v>
      </c>
      <c r="Q2" s="9"/>
      <c r="R2" s="46"/>
      <c r="S2" s="9"/>
      <c r="T2" s="46"/>
      <c r="U2" s="9"/>
      <c r="V2" s="46"/>
      <c r="W2" s="59" t="s">
        <v>225</v>
      </c>
      <c r="X2" s="46"/>
      <c r="Y2" s="46"/>
      <c r="Z2" s="10" t="s">
        <v>155</v>
      </c>
      <c r="AA2" s="11"/>
      <c r="AB2" s="11"/>
      <c r="AC2" s="11"/>
      <c r="AD2" s="12" t="s">
        <v>61</v>
      </c>
      <c r="AE2" s="13"/>
      <c r="AF2" s="13"/>
      <c r="AG2" s="14" t="s">
        <v>62</v>
      </c>
      <c r="AH2" s="15"/>
      <c r="AI2" s="15"/>
      <c r="AJ2" s="15"/>
      <c r="AK2" s="15"/>
      <c r="AL2" s="15"/>
      <c r="AM2" s="48" t="s">
        <v>156</v>
      </c>
      <c r="AN2" s="48"/>
      <c r="AO2" s="48"/>
      <c r="AP2" s="48"/>
      <c r="AQ2" s="48"/>
      <c r="AR2" s="16" t="s">
        <v>63</v>
      </c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49" t="s">
        <v>157</v>
      </c>
      <c r="BJ2" s="52"/>
      <c r="BK2" s="52"/>
      <c r="BL2" s="52"/>
      <c r="BM2" s="18" t="s">
        <v>64</v>
      </c>
      <c r="BN2" s="19"/>
      <c r="BO2" s="26" t="s">
        <v>130</v>
      </c>
      <c r="BP2" s="26" t="s">
        <v>131</v>
      </c>
      <c r="BQ2" s="26" t="s">
        <v>132</v>
      </c>
      <c r="BR2" s="26" t="s">
        <v>133</v>
      </c>
      <c r="BS2" s="26" t="s">
        <v>134</v>
      </c>
      <c r="BT2" s="26" t="s">
        <v>87</v>
      </c>
      <c r="BU2" s="27" t="s">
        <v>88</v>
      </c>
      <c r="BV2" s="26" t="s">
        <v>89</v>
      </c>
      <c r="BW2" s="26" t="s">
        <v>90</v>
      </c>
      <c r="BX2" s="26" t="s">
        <v>91</v>
      </c>
      <c r="BY2" s="26" t="s">
        <v>92</v>
      </c>
      <c r="BZ2" s="26" t="s">
        <v>93</v>
      </c>
      <c r="CA2" s="28" t="s">
        <v>94</v>
      </c>
      <c r="CB2" s="26" t="s">
        <v>95</v>
      </c>
      <c r="CC2" s="26" t="s">
        <v>96</v>
      </c>
      <c r="CD2" s="26" t="s">
        <v>97</v>
      </c>
      <c r="CE2" s="26" t="s">
        <v>98</v>
      </c>
      <c r="CF2" s="26" t="s">
        <v>99</v>
      </c>
      <c r="CG2" s="26" t="s">
        <v>100</v>
      </c>
      <c r="CH2" s="26" t="s">
        <v>101</v>
      </c>
      <c r="CI2" s="26" t="s">
        <v>102</v>
      </c>
      <c r="CJ2" s="26" t="s">
        <v>103</v>
      </c>
      <c r="CK2" s="26" t="s">
        <v>104</v>
      </c>
      <c r="CL2" s="26" t="s">
        <v>105</v>
      </c>
      <c r="CM2" s="51" t="s">
        <v>172</v>
      </c>
      <c r="CN2" s="50"/>
      <c r="CO2" s="50"/>
      <c r="CP2" s="50"/>
      <c r="CQ2" s="50"/>
      <c r="CR2" s="50" t="s">
        <v>190</v>
      </c>
      <c r="CS2" s="50" t="s">
        <v>190</v>
      </c>
      <c r="CT2" s="50"/>
      <c r="CU2" s="50"/>
      <c r="CV2" s="50"/>
      <c r="CW2" s="50"/>
      <c r="CX2" s="50"/>
      <c r="CY2" s="50" t="s">
        <v>191</v>
      </c>
      <c r="CZ2" s="50"/>
      <c r="DA2" s="50"/>
      <c r="DB2" s="50"/>
      <c r="DC2" s="50" t="s">
        <v>307</v>
      </c>
      <c r="DD2" s="50"/>
      <c r="DE2" s="50"/>
      <c r="DF2" s="50"/>
      <c r="DG2" s="50"/>
      <c r="DH2" s="50"/>
      <c r="DI2" s="50"/>
      <c r="DJ2" s="128" t="s">
        <v>212</v>
      </c>
      <c r="DK2" s="128"/>
      <c r="DL2" s="129" t="s">
        <v>213</v>
      </c>
      <c r="DM2" s="129"/>
      <c r="DN2" s="129" t="s">
        <v>315</v>
      </c>
      <c r="DO2" s="129"/>
      <c r="DP2" s="129" t="s">
        <v>214</v>
      </c>
      <c r="DQ2" s="129"/>
      <c r="DR2" s="74" t="s">
        <v>241</v>
      </c>
      <c r="DS2" s="75"/>
      <c r="DT2" s="17"/>
      <c r="DU2" t="s">
        <v>299</v>
      </c>
      <c r="DV2" t="s">
        <v>300</v>
      </c>
      <c r="DW2" t="s">
        <v>305</v>
      </c>
      <c r="DY2" t="s">
        <v>313</v>
      </c>
    </row>
    <row r="3" spans="1:129" ht="21" customHeight="1" x14ac:dyDescent="0.45">
      <c r="A3" s="31">
        <f>COUNTIF(B4:DY4,"*")</f>
        <v>128</v>
      </c>
      <c r="B3" s="22" t="s">
        <v>22</v>
      </c>
      <c r="C3" s="21" t="s">
        <v>23</v>
      </c>
      <c r="D3" s="23" t="s">
        <v>24</v>
      </c>
      <c r="E3" s="23" t="s">
        <v>25</v>
      </c>
      <c r="F3" s="23" t="s">
        <v>26</v>
      </c>
      <c r="G3" s="23" t="s">
        <v>27</v>
      </c>
      <c r="H3" s="22" t="s">
        <v>28</v>
      </c>
      <c r="I3" s="21" t="s">
        <v>29</v>
      </c>
      <c r="J3" s="23" t="s">
        <v>30</v>
      </c>
      <c r="K3" s="23" t="s">
        <v>31</v>
      </c>
      <c r="L3" s="23" t="s">
        <v>32</v>
      </c>
      <c r="M3" s="20" t="s">
        <v>33</v>
      </c>
      <c r="N3" s="20" t="s">
        <v>34</v>
      </c>
      <c r="O3" s="20" t="s">
        <v>35</v>
      </c>
      <c r="P3" s="20" t="s">
        <v>227</v>
      </c>
      <c r="Q3" s="20" t="s">
        <v>140</v>
      </c>
      <c r="R3" s="20" t="s">
        <v>141</v>
      </c>
      <c r="S3" s="20"/>
      <c r="T3" s="20" t="s">
        <v>142</v>
      </c>
      <c r="U3" s="20"/>
      <c r="V3" s="20"/>
      <c r="W3" s="20"/>
      <c r="X3" s="20"/>
      <c r="Y3" s="20"/>
      <c r="Z3" s="21" t="s">
        <v>36</v>
      </c>
      <c r="AA3" s="23" t="s">
        <v>37</v>
      </c>
      <c r="AB3" s="23" t="s">
        <v>38</v>
      </c>
      <c r="AC3" s="23" t="s">
        <v>39</v>
      </c>
      <c r="AD3" t="s">
        <v>40</v>
      </c>
      <c r="AE3" t="s">
        <v>41</v>
      </c>
      <c r="AF3" t="s">
        <v>150</v>
      </c>
      <c r="AG3" t="s">
        <v>42</v>
      </c>
      <c r="AH3" t="s">
        <v>43</v>
      </c>
      <c r="AI3" t="s">
        <v>230</v>
      </c>
      <c r="AJ3" t="s">
        <v>231</v>
      </c>
      <c r="AK3" t="s">
        <v>232</v>
      </c>
      <c r="AL3" t="s">
        <v>44</v>
      </c>
      <c r="AM3" t="s">
        <v>45</v>
      </c>
      <c r="AN3" t="s">
        <v>47</v>
      </c>
      <c r="AO3" t="s">
        <v>46</v>
      </c>
      <c r="AP3" t="s">
        <v>48</v>
      </c>
      <c r="AR3" t="s">
        <v>49</v>
      </c>
      <c r="AS3" t="s">
        <v>50</v>
      </c>
      <c r="AT3" t="s">
        <v>207</v>
      </c>
      <c r="AU3" t="s">
        <v>65</v>
      </c>
      <c r="AX3" t="s">
        <v>66</v>
      </c>
      <c r="AZ3" t="s">
        <v>67</v>
      </c>
      <c r="BB3" t="s">
        <v>151</v>
      </c>
      <c r="BE3" t="s">
        <v>210</v>
      </c>
      <c r="BF3" t="s">
        <v>51</v>
      </c>
      <c r="BG3" t="s">
        <v>52</v>
      </c>
      <c r="BH3" t="s">
        <v>53</v>
      </c>
      <c r="BI3" t="s">
        <v>159</v>
      </c>
      <c r="BJ3" t="s">
        <v>228</v>
      </c>
      <c r="BK3" t="s">
        <v>229</v>
      </c>
      <c r="BM3" t="s">
        <v>54</v>
      </c>
      <c r="BN3" t="s">
        <v>56</v>
      </c>
      <c r="BO3" s="29"/>
      <c r="BP3" s="29"/>
      <c r="BQ3" s="29"/>
      <c r="BR3" s="29"/>
      <c r="BS3" s="29"/>
      <c r="BU3" s="29"/>
      <c r="BV3" s="29"/>
      <c r="BW3" s="29"/>
      <c r="BX3" s="29"/>
      <c r="BY3" s="29"/>
      <c r="CM3" t="s">
        <v>233</v>
      </c>
      <c r="CN3" t="s">
        <v>234</v>
      </c>
      <c r="CO3" t="s">
        <v>162</v>
      </c>
      <c r="CP3" t="s">
        <v>235</v>
      </c>
      <c r="CQ3" t="s">
        <v>165</v>
      </c>
      <c r="CR3" t="s">
        <v>236</v>
      </c>
      <c r="CS3" t="s">
        <v>320</v>
      </c>
      <c r="CT3" t="s">
        <v>180</v>
      </c>
      <c r="CU3" t="s">
        <v>181</v>
      </c>
      <c r="CV3" t="s">
        <v>182</v>
      </c>
      <c r="CW3" t="s">
        <v>183</v>
      </c>
      <c r="CX3" t="s">
        <v>184</v>
      </c>
      <c r="CY3" t="s">
        <v>237</v>
      </c>
      <c r="CZ3" t="s">
        <v>238</v>
      </c>
      <c r="DA3" t="s">
        <v>239</v>
      </c>
      <c r="DB3" t="s">
        <v>240</v>
      </c>
      <c r="DC3" t="s">
        <v>179</v>
      </c>
      <c r="DD3" t="s">
        <v>173</v>
      </c>
      <c r="DE3" t="s">
        <v>174</v>
      </c>
      <c r="DF3" t="s">
        <v>175</v>
      </c>
      <c r="DG3" t="s">
        <v>178</v>
      </c>
      <c r="DH3" t="s">
        <v>176</v>
      </c>
      <c r="DI3" t="s">
        <v>177</v>
      </c>
      <c r="DJ3" t="s">
        <v>54</v>
      </c>
      <c r="DK3" t="s">
        <v>55</v>
      </c>
      <c r="DL3" t="s">
        <v>54</v>
      </c>
      <c r="DM3" t="s">
        <v>55</v>
      </c>
      <c r="DN3" t="s">
        <v>54</v>
      </c>
      <c r="DO3" t="s">
        <v>55</v>
      </c>
      <c r="DP3" t="s">
        <v>54</v>
      </c>
      <c r="DQ3" t="s">
        <v>55</v>
      </c>
      <c r="DR3" s="120"/>
      <c r="DS3" s="120"/>
      <c r="DT3" s="120" t="s">
        <v>306</v>
      </c>
      <c r="DW3" s="94" t="s">
        <v>303</v>
      </c>
      <c r="DX3" s="94" t="s">
        <v>304</v>
      </c>
      <c r="DY3" s="35" t="s">
        <v>314</v>
      </c>
    </row>
    <row r="4" spans="1:129" s="35" customFormat="1" x14ac:dyDescent="0.25">
      <c r="A4" s="35" t="s">
        <v>83</v>
      </c>
      <c r="B4" s="35" t="s">
        <v>200</v>
      </c>
      <c r="C4" s="40" t="s">
        <v>0</v>
      </c>
      <c r="D4" s="40" t="s">
        <v>1</v>
      </c>
      <c r="E4" s="40" t="s">
        <v>2</v>
      </c>
      <c r="F4" s="40" t="s">
        <v>3</v>
      </c>
      <c r="G4" s="40" t="s">
        <v>4</v>
      </c>
      <c r="H4" s="40" t="s">
        <v>5</v>
      </c>
      <c r="I4" s="40" t="s">
        <v>74</v>
      </c>
      <c r="J4" s="40" t="s">
        <v>75</v>
      </c>
      <c r="K4" s="40" t="s">
        <v>76</v>
      </c>
      <c r="L4" s="40" t="s">
        <v>77</v>
      </c>
      <c r="M4" s="40" t="s">
        <v>6</v>
      </c>
      <c r="N4" s="40" t="s">
        <v>7</v>
      </c>
      <c r="O4" s="40" t="s">
        <v>8</v>
      </c>
      <c r="P4" s="62" t="s">
        <v>143</v>
      </c>
      <c r="Q4" s="40" t="s">
        <v>144</v>
      </c>
      <c r="R4" s="62" t="s">
        <v>145</v>
      </c>
      <c r="S4" s="40" t="s">
        <v>146</v>
      </c>
      <c r="T4" s="62" t="s">
        <v>147</v>
      </c>
      <c r="U4" s="40" t="s">
        <v>148</v>
      </c>
      <c r="V4" s="40" t="s">
        <v>226</v>
      </c>
      <c r="W4" s="40" t="s">
        <v>222</v>
      </c>
      <c r="X4" s="40" t="s">
        <v>223</v>
      </c>
      <c r="Y4" s="40" t="s">
        <v>224</v>
      </c>
      <c r="Z4" s="40" t="s">
        <v>9</v>
      </c>
      <c r="AA4" s="40" t="s">
        <v>80</v>
      </c>
      <c r="AB4" s="40" t="s">
        <v>81</v>
      </c>
      <c r="AC4" s="40" t="s">
        <v>82</v>
      </c>
      <c r="AD4" s="40" t="s">
        <v>10</v>
      </c>
      <c r="AE4" s="40" t="s">
        <v>11</v>
      </c>
      <c r="AF4" s="40" t="s">
        <v>149</v>
      </c>
      <c r="AG4" s="40" t="s">
        <v>12</v>
      </c>
      <c r="AH4" s="35" t="s">
        <v>79</v>
      </c>
      <c r="AI4" s="35" t="s">
        <v>202</v>
      </c>
      <c r="AJ4" s="35" t="s">
        <v>203</v>
      </c>
      <c r="AK4" s="35" t="s">
        <v>163</v>
      </c>
      <c r="AL4" s="35" t="s">
        <v>13</v>
      </c>
      <c r="AM4" s="40" t="s">
        <v>14</v>
      </c>
      <c r="AN4" s="40" t="s">
        <v>15</v>
      </c>
      <c r="AO4" s="40" t="s">
        <v>204</v>
      </c>
      <c r="AP4" s="40" t="s">
        <v>16</v>
      </c>
      <c r="AQ4" s="37" t="s">
        <v>136</v>
      </c>
      <c r="AR4" s="40" t="s">
        <v>17</v>
      </c>
      <c r="AS4" s="40" t="s">
        <v>18</v>
      </c>
      <c r="AT4" s="40" t="s">
        <v>205</v>
      </c>
      <c r="AU4" s="40" t="s">
        <v>68</v>
      </c>
      <c r="AV4" s="40" t="s">
        <v>69</v>
      </c>
      <c r="AW4" s="40" t="s">
        <v>206</v>
      </c>
      <c r="AX4" s="40" t="s">
        <v>70</v>
      </c>
      <c r="AY4" s="40" t="s">
        <v>71</v>
      </c>
      <c r="AZ4" s="40" t="s">
        <v>72</v>
      </c>
      <c r="BA4" s="40" t="s">
        <v>73</v>
      </c>
      <c r="BB4" s="40" t="s">
        <v>153</v>
      </c>
      <c r="BC4" s="40" t="s">
        <v>152</v>
      </c>
      <c r="BD4" s="40" t="s">
        <v>208</v>
      </c>
      <c r="BE4" s="40" t="s">
        <v>209</v>
      </c>
      <c r="BF4" s="40" t="s">
        <v>318</v>
      </c>
      <c r="BG4" s="40" t="s">
        <v>78</v>
      </c>
      <c r="BH4" s="40" t="s">
        <v>19</v>
      </c>
      <c r="BI4" s="40" t="s">
        <v>158</v>
      </c>
      <c r="BJ4" s="40" t="s">
        <v>192</v>
      </c>
      <c r="BK4" s="40" t="s">
        <v>221</v>
      </c>
      <c r="BL4" s="40" t="s">
        <v>211</v>
      </c>
      <c r="BM4" s="40" t="s">
        <v>20</v>
      </c>
      <c r="BN4" s="40" t="s">
        <v>21</v>
      </c>
      <c r="BO4" s="41" t="s">
        <v>106</v>
      </c>
      <c r="BP4" s="41" t="s">
        <v>107</v>
      </c>
      <c r="BQ4" s="41" t="s">
        <v>108</v>
      </c>
      <c r="BR4" s="41" t="s">
        <v>109</v>
      </c>
      <c r="BS4" s="41" t="s">
        <v>110</v>
      </c>
      <c r="BT4" s="41" t="s">
        <v>111</v>
      </c>
      <c r="BU4" s="42" t="s">
        <v>112</v>
      </c>
      <c r="BV4" s="42" t="s">
        <v>113</v>
      </c>
      <c r="BW4" s="42" t="s">
        <v>114</v>
      </c>
      <c r="BX4" s="42" t="s">
        <v>115</v>
      </c>
      <c r="BY4" s="42" t="s">
        <v>116</v>
      </c>
      <c r="BZ4" s="43" t="s">
        <v>117</v>
      </c>
      <c r="CA4" s="44" t="s">
        <v>118</v>
      </c>
      <c r="CB4" s="44" t="s">
        <v>119</v>
      </c>
      <c r="CC4" s="44" t="s">
        <v>120</v>
      </c>
      <c r="CD4" s="44" t="s">
        <v>121</v>
      </c>
      <c r="CE4" s="44" t="s">
        <v>122</v>
      </c>
      <c r="CF4" s="44" t="s">
        <v>123</v>
      </c>
      <c r="CG4" s="44" t="s">
        <v>124</v>
      </c>
      <c r="CH4" s="44" t="s">
        <v>125</v>
      </c>
      <c r="CI4" s="44" t="s">
        <v>126</v>
      </c>
      <c r="CJ4" s="44" t="s">
        <v>127</v>
      </c>
      <c r="CK4" s="44" t="s">
        <v>128</v>
      </c>
      <c r="CL4" s="44" t="s">
        <v>129</v>
      </c>
      <c r="CM4" s="35" t="s">
        <v>160</v>
      </c>
      <c r="CN4" s="35" t="s">
        <v>161</v>
      </c>
      <c r="CO4" s="35" t="s">
        <v>162</v>
      </c>
      <c r="CP4" s="35" t="s">
        <v>164</v>
      </c>
      <c r="CQ4" s="35" t="s">
        <v>165</v>
      </c>
      <c r="CR4" s="35" t="s">
        <v>166</v>
      </c>
      <c r="CS4" s="35" t="s">
        <v>319</v>
      </c>
      <c r="CT4" s="35" t="s">
        <v>185</v>
      </c>
      <c r="CU4" s="35" t="s">
        <v>186</v>
      </c>
      <c r="CV4" s="35" t="s">
        <v>187</v>
      </c>
      <c r="CW4" s="35" t="s">
        <v>188</v>
      </c>
      <c r="CX4" s="35" t="s">
        <v>189</v>
      </c>
      <c r="CY4" s="35" t="s">
        <v>167</v>
      </c>
      <c r="CZ4" s="35" t="s">
        <v>168</v>
      </c>
      <c r="DA4" s="35" t="s">
        <v>169</v>
      </c>
      <c r="DB4" s="35" t="s">
        <v>170</v>
      </c>
      <c r="DC4" s="35" t="s">
        <v>193</v>
      </c>
      <c r="DD4" s="35" t="s">
        <v>194</v>
      </c>
      <c r="DE4" s="35" t="s">
        <v>195</v>
      </c>
      <c r="DF4" s="35" t="s">
        <v>196</v>
      </c>
      <c r="DG4" s="35" t="s">
        <v>197</v>
      </c>
      <c r="DH4" s="35" t="s">
        <v>198</v>
      </c>
      <c r="DI4" s="35" t="s">
        <v>199</v>
      </c>
      <c r="DJ4" s="40" t="s">
        <v>215</v>
      </c>
      <c r="DK4" s="40" t="s">
        <v>216</v>
      </c>
      <c r="DL4" s="40" t="s">
        <v>217</v>
      </c>
      <c r="DM4" s="40" t="s">
        <v>218</v>
      </c>
      <c r="DN4" s="40" t="s">
        <v>316</v>
      </c>
      <c r="DO4" s="40" t="s">
        <v>317</v>
      </c>
      <c r="DP4" s="40" t="s">
        <v>219</v>
      </c>
      <c r="DQ4" s="40" t="s">
        <v>220</v>
      </c>
      <c r="DR4" s="120" t="s">
        <v>321</v>
      </c>
      <c r="DS4" s="120" t="s">
        <v>322</v>
      </c>
      <c r="DT4" s="120" t="s">
        <v>306</v>
      </c>
      <c r="DU4" s="35" t="s">
        <v>302</v>
      </c>
      <c r="DV4" s="35" t="s">
        <v>301</v>
      </c>
      <c r="DW4" s="94" t="s">
        <v>303</v>
      </c>
      <c r="DX4" s="94" t="s">
        <v>304</v>
      </c>
      <c r="DY4" s="35" t="s">
        <v>314</v>
      </c>
    </row>
    <row r="5" spans="1:129" x14ac:dyDescent="0.25">
      <c r="A5" s="1">
        <v>32874</v>
      </c>
      <c r="B5" s="33"/>
      <c r="C5" s="88">
        <v>7.58</v>
      </c>
      <c r="D5" s="33">
        <v>6</v>
      </c>
      <c r="E5" s="72">
        <v>8.25</v>
      </c>
      <c r="F5" s="33">
        <v>7.99</v>
      </c>
      <c r="G5" s="33">
        <v>7.98</v>
      </c>
      <c r="H5" s="33">
        <v>7.63</v>
      </c>
      <c r="I5" s="33">
        <f>H5-C5</f>
        <v>4.9999999999999822E-2</v>
      </c>
      <c r="J5" s="33">
        <f>H5-D5</f>
        <v>1.63</v>
      </c>
      <c r="K5" s="33">
        <f>H5-E5</f>
        <v>-0.62000000000000011</v>
      </c>
      <c r="L5" s="33">
        <f>D5-C5</f>
        <v>-1.58</v>
      </c>
      <c r="M5" s="33">
        <v>100.3</v>
      </c>
      <c r="N5" s="33">
        <v>1790.37</v>
      </c>
      <c r="O5" s="34" t="s">
        <v>312</v>
      </c>
      <c r="P5" s="34"/>
      <c r="Q5" s="34"/>
      <c r="R5" s="34"/>
      <c r="S5" s="34"/>
      <c r="T5" s="34"/>
      <c r="U5" s="34"/>
      <c r="V5" s="116">
        <v>378203</v>
      </c>
      <c r="W5" s="116">
        <v>965584</v>
      </c>
      <c r="X5" s="117">
        <v>2360748</v>
      </c>
      <c r="Y5" s="117">
        <v>260408</v>
      </c>
      <c r="Z5" s="34" t="s">
        <v>243</v>
      </c>
      <c r="AA5" s="33">
        <v>54.1</v>
      </c>
      <c r="AB5" s="34" t="s">
        <v>243</v>
      </c>
      <c r="AC5" s="34" t="s">
        <v>243</v>
      </c>
      <c r="AD5" s="34" t="s">
        <v>243</v>
      </c>
      <c r="AE5" s="33">
        <v>6.8</v>
      </c>
      <c r="AF5" s="33">
        <v>312</v>
      </c>
      <c r="AG5" s="33">
        <v>58.5</v>
      </c>
      <c r="AH5" s="34" t="s">
        <v>243</v>
      </c>
      <c r="AI5" s="86" t="s">
        <v>312</v>
      </c>
      <c r="AJ5" s="86">
        <v>85.6</v>
      </c>
      <c r="AK5" s="86">
        <v>85.3</v>
      </c>
      <c r="AL5" s="34" t="s">
        <v>243</v>
      </c>
      <c r="AM5" s="123"/>
      <c r="AN5" s="123"/>
      <c r="AO5" s="123"/>
      <c r="AP5" s="33">
        <v>16.32</v>
      </c>
      <c r="AQ5" s="34" t="s">
        <v>243</v>
      </c>
      <c r="AR5" s="34" t="s">
        <v>243</v>
      </c>
      <c r="AS5" s="34" t="s">
        <v>243</v>
      </c>
      <c r="AT5" s="34" t="s">
        <v>243</v>
      </c>
      <c r="AU5" s="34" t="s">
        <v>243</v>
      </c>
      <c r="AV5" s="34" t="s">
        <v>243</v>
      </c>
      <c r="AW5" s="34" t="s">
        <v>243</v>
      </c>
      <c r="AX5" s="34" t="s">
        <v>243</v>
      </c>
      <c r="AY5" s="34" t="s">
        <v>243</v>
      </c>
      <c r="AZ5" s="34" t="s">
        <v>243</v>
      </c>
      <c r="BA5" s="34" t="s">
        <v>243</v>
      </c>
      <c r="BB5" s="34" t="s">
        <v>243</v>
      </c>
      <c r="BC5" s="34" t="s">
        <v>243</v>
      </c>
      <c r="BD5" s="34" t="s">
        <v>243</v>
      </c>
      <c r="BE5" s="34" t="s">
        <v>243</v>
      </c>
      <c r="BF5" s="34" t="s">
        <v>243</v>
      </c>
      <c r="BG5" s="34" t="s">
        <v>243</v>
      </c>
      <c r="BH5" s="34" t="s">
        <v>243</v>
      </c>
      <c r="BI5" s="34" t="s">
        <v>243</v>
      </c>
      <c r="BJ5" s="34" t="s">
        <v>243</v>
      </c>
      <c r="BK5" s="45" t="s">
        <v>243</v>
      </c>
      <c r="BL5" s="45" t="s">
        <v>243</v>
      </c>
      <c r="BM5" s="65">
        <v>100.9786</v>
      </c>
      <c r="BN5" s="65">
        <v>100.84220000000001</v>
      </c>
      <c r="BO5" s="65">
        <v>8.9</v>
      </c>
      <c r="BP5" s="65">
        <v>-0.4</v>
      </c>
      <c r="BQ5" s="65">
        <v>-0.2</v>
      </c>
      <c r="BR5" s="65">
        <v>11.6</v>
      </c>
      <c r="BS5" s="65">
        <v>17.7</v>
      </c>
      <c r="BT5" s="45" t="s">
        <v>243</v>
      </c>
      <c r="BU5" s="65">
        <v>6.9</v>
      </c>
      <c r="BV5" s="65">
        <v>0</v>
      </c>
      <c r="BW5" s="65">
        <v>0.3</v>
      </c>
      <c r="BX5" s="65">
        <v>9.9</v>
      </c>
      <c r="BY5" s="65">
        <v>-7.6</v>
      </c>
      <c r="BZ5" s="65">
        <v>112.5</v>
      </c>
      <c r="CA5" s="65">
        <v>0.3</v>
      </c>
      <c r="CB5" s="65">
        <v>5.3</v>
      </c>
      <c r="CC5" s="65">
        <v>6</v>
      </c>
      <c r="CD5" s="65">
        <v>-0.7</v>
      </c>
      <c r="CE5" s="65">
        <v>-9</v>
      </c>
      <c r="CF5" s="65">
        <v>23.3</v>
      </c>
      <c r="CG5" s="65">
        <v>46.2</v>
      </c>
      <c r="CH5" s="65">
        <v>33.9</v>
      </c>
      <c r="CI5" s="65">
        <v>-8.3000000000000007</v>
      </c>
      <c r="CJ5" s="65">
        <v>-1</v>
      </c>
      <c r="CK5" s="65">
        <v>19.7</v>
      </c>
      <c r="CL5" s="65">
        <v>16.8</v>
      </c>
      <c r="CM5" s="65">
        <v>1085.356522</v>
      </c>
      <c r="CN5" s="65">
        <v>2753.2</v>
      </c>
      <c r="CO5" s="65">
        <v>340.55565200000001</v>
      </c>
      <c r="CP5" s="65">
        <v>10.257999999999999</v>
      </c>
      <c r="CQ5" s="65">
        <v>7.93</v>
      </c>
      <c r="CR5" s="65">
        <v>83.4</v>
      </c>
      <c r="CS5" s="65"/>
      <c r="CT5" s="65">
        <v>113.7</v>
      </c>
      <c r="CU5" s="65">
        <v>105.8</v>
      </c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>
        <v>100.84220000000001</v>
      </c>
      <c r="DO5" s="65">
        <v>100.9786</v>
      </c>
      <c r="DP5" s="65">
        <v>99.820999999999998</v>
      </c>
      <c r="DQ5" s="65">
        <v>99.802800000000005</v>
      </c>
      <c r="DR5" s="13" t="s">
        <v>243</v>
      </c>
      <c r="DS5" t="s">
        <v>243</v>
      </c>
      <c r="DT5" s="103" t="s">
        <v>243</v>
      </c>
      <c r="DU5">
        <v>61.936695098876953</v>
      </c>
      <c r="DV5" t="s">
        <v>243</v>
      </c>
      <c r="DW5">
        <v>1592</v>
      </c>
      <c r="DX5">
        <v>108000</v>
      </c>
      <c r="DY5" t="s">
        <v>243</v>
      </c>
    </row>
    <row r="6" spans="1:129" x14ac:dyDescent="0.25">
      <c r="A6" s="1">
        <v>32905</v>
      </c>
      <c r="B6" s="33"/>
      <c r="C6" s="88">
        <v>7.7700000000000005</v>
      </c>
      <c r="D6" s="33">
        <v>6</v>
      </c>
      <c r="E6" s="72">
        <v>8.26</v>
      </c>
      <c r="F6" s="33">
        <v>8.68</v>
      </c>
      <c r="G6" s="33">
        <v>8.75</v>
      </c>
      <c r="H6" s="33">
        <v>8.43</v>
      </c>
      <c r="I6" s="33">
        <f t="shared" ref="I6:I69" si="0">H6-C6</f>
        <v>0.65999999999999925</v>
      </c>
      <c r="J6" s="33">
        <f t="shared" ref="J6:J33" si="1">H6-D6</f>
        <v>2.4299999999999997</v>
      </c>
      <c r="K6" s="33">
        <f t="shared" ref="K6:K33" si="2">H6-E6</f>
        <v>0.16999999999999993</v>
      </c>
      <c r="L6" s="33">
        <f t="shared" ref="L6:L33" si="3">D6-C6</f>
        <v>-1.7700000000000005</v>
      </c>
      <c r="M6" s="33">
        <v>99.9</v>
      </c>
      <c r="N6" s="33">
        <v>1858.08</v>
      </c>
      <c r="O6" s="34" t="s">
        <v>312</v>
      </c>
      <c r="P6" s="34"/>
      <c r="Q6" s="34"/>
      <c r="R6" s="34"/>
      <c r="S6" s="34"/>
      <c r="T6" s="34"/>
      <c r="U6" s="34"/>
      <c r="V6" s="116">
        <v>385038</v>
      </c>
      <c r="W6" s="116">
        <v>965756</v>
      </c>
      <c r="X6" s="117">
        <v>2368976</v>
      </c>
      <c r="Y6" s="117">
        <v>267340</v>
      </c>
      <c r="Z6" s="34" t="s">
        <v>243</v>
      </c>
      <c r="AA6" s="33">
        <v>54.1</v>
      </c>
      <c r="AB6" s="34" t="s">
        <v>243</v>
      </c>
      <c r="AC6" s="34" t="s">
        <v>243</v>
      </c>
      <c r="AD6" s="34" t="s">
        <v>243</v>
      </c>
      <c r="AE6" s="33">
        <v>6.7</v>
      </c>
      <c r="AF6" s="33">
        <v>310</v>
      </c>
      <c r="AG6" s="33">
        <v>58.6</v>
      </c>
      <c r="AH6" s="34" t="s">
        <v>243</v>
      </c>
      <c r="AI6" s="86" t="s">
        <v>312</v>
      </c>
      <c r="AJ6" s="86">
        <v>85.2</v>
      </c>
      <c r="AK6" s="86">
        <v>85.3</v>
      </c>
      <c r="AL6" s="34" t="s">
        <v>243</v>
      </c>
      <c r="AM6" s="123"/>
      <c r="AN6" s="123">
        <v>8.1702281449953365</v>
      </c>
      <c r="AO6" s="123"/>
      <c r="AP6" s="33">
        <v>15.14</v>
      </c>
      <c r="AQ6" s="34" t="s">
        <v>243</v>
      </c>
      <c r="AR6" s="34" t="s">
        <v>243</v>
      </c>
      <c r="AS6" s="34" t="s">
        <v>243</v>
      </c>
      <c r="AT6" s="34" t="s">
        <v>243</v>
      </c>
      <c r="AU6" s="34" t="s">
        <v>243</v>
      </c>
      <c r="AV6" s="34" t="s">
        <v>243</v>
      </c>
      <c r="AW6" s="34" t="s">
        <v>243</v>
      </c>
      <c r="AX6" s="34" t="s">
        <v>243</v>
      </c>
      <c r="AY6" s="34" t="s">
        <v>243</v>
      </c>
      <c r="AZ6" s="34" t="s">
        <v>243</v>
      </c>
      <c r="BA6" s="34" t="s">
        <v>243</v>
      </c>
      <c r="BB6" s="34" t="s">
        <v>243</v>
      </c>
      <c r="BC6" s="34" t="s">
        <v>243</v>
      </c>
      <c r="BD6" s="34" t="s">
        <v>243</v>
      </c>
      <c r="BE6" s="34" t="s">
        <v>243</v>
      </c>
      <c r="BF6" s="34" t="s">
        <v>243</v>
      </c>
      <c r="BG6" s="34" t="s">
        <v>243</v>
      </c>
      <c r="BH6" s="34" t="s">
        <v>243</v>
      </c>
      <c r="BI6" s="34" t="s">
        <v>243</v>
      </c>
      <c r="BJ6" s="34" t="s">
        <v>243</v>
      </c>
      <c r="BK6" s="45" t="s">
        <v>243</v>
      </c>
      <c r="BL6" s="45" t="s">
        <v>243</v>
      </c>
      <c r="BM6" s="65">
        <v>101.08920000000001</v>
      </c>
      <c r="BN6" s="65">
        <v>100.9372</v>
      </c>
      <c r="BO6" s="65">
        <v>9.6</v>
      </c>
      <c r="BP6" s="65">
        <v>-0.8</v>
      </c>
      <c r="BQ6" s="65">
        <v>0.8</v>
      </c>
      <c r="BR6" s="65">
        <v>9.8000000000000007</v>
      </c>
      <c r="BS6" s="65">
        <v>14.3</v>
      </c>
      <c r="BT6" s="45" t="s">
        <v>243</v>
      </c>
      <c r="BU6" s="65">
        <v>6.2</v>
      </c>
      <c r="BV6" s="65">
        <v>0</v>
      </c>
      <c r="BW6" s="65">
        <v>-0.4</v>
      </c>
      <c r="BX6" s="65">
        <v>6.1</v>
      </c>
      <c r="BY6" s="65">
        <v>-2.6</v>
      </c>
      <c r="BZ6" s="65">
        <v>111.7</v>
      </c>
      <c r="CA6" s="65">
        <v>-0.4</v>
      </c>
      <c r="CB6" s="65">
        <v>6.1</v>
      </c>
      <c r="CC6" s="65">
        <v>6.1</v>
      </c>
      <c r="CD6" s="65">
        <v>-3.3</v>
      </c>
      <c r="CE6" s="65">
        <v>-10.1</v>
      </c>
      <c r="CF6" s="65">
        <v>23.8</v>
      </c>
      <c r="CG6" s="65">
        <v>48.7</v>
      </c>
      <c r="CH6" s="65">
        <v>35.9</v>
      </c>
      <c r="CI6" s="65">
        <v>-9.6</v>
      </c>
      <c r="CJ6" s="65">
        <v>-3.6</v>
      </c>
      <c r="CK6" s="65">
        <v>17</v>
      </c>
      <c r="CL6" s="65">
        <v>17.399999999999999</v>
      </c>
      <c r="CM6" s="65">
        <v>1072.5385000000001</v>
      </c>
      <c r="CN6" s="65">
        <v>2586.2600000000002</v>
      </c>
      <c r="CO6" s="65">
        <v>330.56599999999997</v>
      </c>
      <c r="CP6" s="65">
        <v>10.936</v>
      </c>
      <c r="CQ6" s="65">
        <v>8.42</v>
      </c>
      <c r="CR6" s="65">
        <v>81.3</v>
      </c>
      <c r="CS6" s="65"/>
      <c r="CT6" s="65">
        <v>112.6</v>
      </c>
      <c r="CU6" s="65">
        <v>101</v>
      </c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>
        <v>100.9372</v>
      </c>
      <c r="DO6" s="65">
        <v>101.08920000000001</v>
      </c>
      <c r="DP6" s="65">
        <v>99.848399999999998</v>
      </c>
      <c r="DQ6" s="65">
        <v>99.832899999999995</v>
      </c>
      <c r="DR6" s="13" t="s">
        <v>243</v>
      </c>
      <c r="DS6" t="s">
        <v>243</v>
      </c>
      <c r="DT6" s="103" t="s">
        <v>243</v>
      </c>
      <c r="DU6">
        <v>93.005256652832031</v>
      </c>
      <c r="DV6" t="s">
        <v>243</v>
      </c>
      <c r="DW6">
        <v>1642</v>
      </c>
      <c r="DX6">
        <v>104150</v>
      </c>
      <c r="DY6" t="s">
        <v>243</v>
      </c>
    </row>
    <row r="7" spans="1:129" x14ac:dyDescent="0.25">
      <c r="A7" s="1">
        <v>32933</v>
      </c>
      <c r="B7" s="33"/>
      <c r="C7" s="88">
        <v>7.72</v>
      </c>
      <c r="D7" s="33">
        <v>6</v>
      </c>
      <c r="E7" s="72">
        <v>8.43</v>
      </c>
      <c r="F7" s="33">
        <v>8.9700000000000006</v>
      </c>
      <c r="G7" s="33">
        <v>8.98</v>
      </c>
      <c r="H7" s="33">
        <v>8.67</v>
      </c>
      <c r="I7" s="33">
        <f>H7-C7</f>
        <v>0.95000000000000018</v>
      </c>
      <c r="J7" s="33">
        <f>H7-D7</f>
        <v>2.67</v>
      </c>
      <c r="K7" s="33">
        <f t="shared" si="2"/>
        <v>0.24000000000000021</v>
      </c>
      <c r="L7" s="33">
        <f>D7-C7</f>
        <v>-1.7199999999999998</v>
      </c>
      <c r="M7" s="33">
        <v>99.7</v>
      </c>
      <c r="N7" s="33">
        <v>1787.87</v>
      </c>
      <c r="O7" s="34" t="s">
        <v>312</v>
      </c>
      <c r="P7" s="34"/>
      <c r="Q7" s="34"/>
      <c r="R7" s="34"/>
      <c r="S7" s="34"/>
      <c r="T7" s="34"/>
      <c r="U7" s="34"/>
      <c r="V7" s="116">
        <v>389301</v>
      </c>
      <c r="W7" s="116">
        <v>965508</v>
      </c>
      <c r="X7" s="117">
        <v>2371264</v>
      </c>
      <c r="Y7" s="117">
        <v>273498</v>
      </c>
      <c r="Z7" s="34" t="s">
        <v>243</v>
      </c>
      <c r="AA7" s="33">
        <v>55.1</v>
      </c>
      <c r="AB7" s="34" t="s">
        <v>243</v>
      </c>
      <c r="AC7" s="34" t="s">
        <v>243</v>
      </c>
      <c r="AD7" s="34" t="s">
        <v>243</v>
      </c>
      <c r="AE7" s="33">
        <v>6.6</v>
      </c>
      <c r="AF7" s="33">
        <v>308</v>
      </c>
      <c r="AG7" s="33">
        <v>58.8</v>
      </c>
      <c r="AH7" s="34" t="s">
        <v>243</v>
      </c>
      <c r="AI7" s="86" t="s">
        <v>312</v>
      </c>
      <c r="AJ7" s="86">
        <v>85.4</v>
      </c>
      <c r="AK7" s="86">
        <v>85.5</v>
      </c>
      <c r="AL7" s="34" t="s">
        <v>243</v>
      </c>
      <c r="AM7" s="123"/>
      <c r="AN7" s="123">
        <v>7.9489127099164554</v>
      </c>
      <c r="AO7" s="123"/>
      <c r="AP7" s="33">
        <v>14.38</v>
      </c>
      <c r="AQ7" s="34" t="s">
        <v>243</v>
      </c>
      <c r="AR7" s="34" t="s">
        <v>243</v>
      </c>
      <c r="AS7" s="34" t="s">
        <v>243</v>
      </c>
      <c r="AT7" s="34" t="s">
        <v>243</v>
      </c>
      <c r="AU7" s="34" t="s">
        <v>243</v>
      </c>
      <c r="AV7" s="34" t="s">
        <v>243</v>
      </c>
      <c r="AW7" s="34" t="s">
        <v>243</v>
      </c>
      <c r="AX7" s="34" t="s">
        <v>243</v>
      </c>
      <c r="AY7" s="34" t="s">
        <v>243</v>
      </c>
      <c r="AZ7" s="34" t="s">
        <v>243</v>
      </c>
      <c r="BA7" s="34" t="s">
        <v>243</v>
      </c>
      <c r="BB7" s="34" t="s">
        <v>243</v>
      </c>
      <c r="BC7" s="34" t="s">
        <v>243</v>
      </c>
      <c r="BD7" s="34" t="s">
        <v>243</v>
      </c>
      <c r="BE7" s="34" t="s">
        <v>243</v>
      </c>
      <c r="BF7" s="34" t="s">
        <v>243</v>
      </c>
      <c r="BG7" s="34" t="s">
        <v>243</v>
      </c>
      <c r="BH7" s="34" t="s">
        <v>243</v>
      </c>
      <c r="BI7" s="34" t="s">
        <v>243</v>
      </c>
      <c r="BJ7" s="34" t="s">
        <v>243</v>
      </c>
      <c r="BK7" s="45" t="s">
        <v>243</v>
      </c>
      <c r="BL7" s="45" t="s">
        <v>243</v>
      </c>
      <c r="BM7" s="65">
        <v>101.2217</v>
      </c>
      <c r="BN7" s="65">
        <v>101.05110000000001</v>
      </c>
      <c r="BO7" s="65">
        <v>11.6</v>
      </c>
      <c r="BP7" s="65">
        <v>-0.3</v>
      </c>
      <c r="BQ7" s="65">
        <v>-5.2</v>
      </c>
      <c r="BR7" s="65">
        <v>10.9</v>
      </c>
      <c r="BS7" s="65">
        <v>11.7</v>
      </c>
      <c r="BT7" s="45" t="s">
        <v>243</v>
      </c>
      <c r="BU7" s="65">
        <v>9.1999999999999993</v>
      </c>
      <c r="BV7" s="65">
        <v>0</v>
      </c>
      <c r="BW7" s="65">
        <v>-1.7</v>
      </c>
      <c r="BX7" s="65">
        <v>6</v>
      </c>
      <c r="BY7" s="65">
        <v>-3.1</v>
      </c>
      <c r="BZ7" s="65">
        <v>113.3</v>
      </c>
      <c r="CA7" s="65">
        <v>-1.7</v>
      </c>
      <c r="CB7" s="65">
        <v>5.8</v>
      </c>
      <c r="CC7" s="65">
        <v>3.6</v>
      </c>
      <c r="CD7" s="65">
        <v>-8.1</v>
      </c>
      <c r="CE7" s="65">
        <v>-14</v>
      </c>
      <c r="CF7" s="65">
        <v>24.5</v>
      </c>
      <c r="CG7" s="65">
        <v>55.4</v>
      </c>
      <c r="CH7" s="65">
        <v>35</v>
      </c>
      <c r="CI7" s="65">
        <v>-15</v>
      </c>
      <c r="CJ7" s="65">
        <v>-2.1</v>
      </c>
      <c r="CK7" s="65">
        <v>19.3</v>
      </c>
      <c r="CL7" s="65">
        <v>16.899999999999999</v>
      </c>
      <c r="CM7" s="65">
        <v>1092.6522729999999</v>
      </c>
      <c r="CN7" s="65">
        <v>2635.59</v>
      </c>
      <c r="CO7" s="65">
        <v>338.46499999999997</v>
      </c>
      <c r="CP7" s="65">
        <v>11.619</v>
      </c>
      <c r="CQ7" s="65">
        <v>8.59</v>
      </c>
      <c r="CR7" s="65">
        <v>81.3</v>
      </c>
      <c r="CS7" s="65"/>
      <c r="CT7" s="65">
        <v>112.9</v>
      </c>
      <c r="CU7" s="65">
        <v>98.7</v>
      </c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>
        <v>101.05110000000001</v>
      </c>
      <c r="DO7" s="65">
        <v>101.2217</v>
      </c>
      <c r="DP7" s="65">
        <v>99.847499999999997</v>
      </c>
      <c r="DQ7" s="65">
        <v>99.831999999999994</v>
      </c>
      <c r="DR7" s="13" t="s">
        <v>243</v>
      </c>
      <c r="DS7" t="s">
        <v>243</v>
      </c>
      <c r="DT7" s="103" t="s">
        <v>243</v>
      </c>
      <c r="DU7">
        <v>109.69105529785156</v>
      </c>
      <c r="DV7" t="s">
        <v>243</v>
      </c>
      <c r="DW7">
        <v>1603</v>
      </c>
      <c r="DX7">
        <v>88300</v>
      </c>
      <c r="DY7" t="s">
        <v>243</v>
      </c>
    </row>
    <row r="8" spans="1:129" x14ac:dyDescent="0.25">
      <c r="A8" s="1">
        <v>32964</v>
      </c>
      <c r="B8" s="33"/>
      <c r="C8" s="88">
        <v>7.79</v>
      </c>
      <c r="D8" s="33">
        <v>6</v>
      </c>
      <c r="E8" s="72">
        <v>8.2200000000000006</v>
      </c>
      <c r="F8" s="33">
        <v>8.8699999999999992</v>
      </c>
      <c r="G8" s="33">
        <v>8.93</v>
      </c>
      <c r="H8" s="33">
        <v>8.6999999999999993</v>
      </c>
      <c r="I8" s="33">
        <f t="shared" si="0"/>
        <v>0.90999999999999925</v>
      </c>
      <c r="J8" s="33">
        <f t="shared" si="1"/>
        <v>2.6999999999999993</v>
      </c>
      <c r="K8" s="33">
        <f t="shared" si="2"/>
        <v>0.47999999999999865</v>
      </c>
      <c r="L8" s="33">
        <f t="shared" si="3"/>
        <v>-1.79</v>
      </c>
      <c r="M8" s="33">
        <v>99.6</v>
      </c>
      <c r="N8" s="33">
        <v>1931.3</v>
      </c>
      <c r="O8" s="34" t="s">
        <v>312</v>
      </c>
      <c r="P8" s="34"/>
      <c r="Q8" s="34"/>
      <c r="R8" s="34"/>
      <c r="S8" s="34"/>
      <c r="T8" s="34"/>
      <c r="U8" s="34"/>
      <c r="V8" s="116">
        <v>388962</v>
      </c>
      <c r="W8" s="116">
        <v>966414</v>
      </c>
      <c r="X8" s="117">
        <v>2378067</v>
      </c>
      <c r="Y8" s="117">
        <v>277573</v>
      </c>
      <c r="Z8" s="34" t="s">
        <v>243</v>
      </c>
      <c r="AA8" s="33">
        <v>53.6</v>
      </c>
      <c r="AB8" s="34" t="s">
        <v>243</v>
      </c>
      <c r="AC8" s="34" t="s">
        <v>243</v>
      </c>
      <c r="AD8" s="34" t="s">
        <v>243</v>
      </c>
      <c r="AE8" s="33">
        <v>6.6</v>
      </c>
      <c r="AF8" s="33">
        <v>310</v>
      </c>
      <c r="AG8" s="33">
        <v>59</v>
      </c>
      <c r="AH8" s="34" t="s">
        <v>243</v>
      </c>
      <c r="AI8" s="86" t="s">
        <v>312</v>
      </c>
      <c r="AJ8" s="86">
        <v>84.7</v>
      </c>
      <c r="AK8" s="86">
        <v>85.7</v>
      </c>
      <c r="AL8" s="34" t="s">
        <v>243</v>
      </c>
      <c r="AM8" s="123"/>
      <c r="AN8" s="123">
        <v>7.3849100342682821</v>
      </c>
      <c r="AO8" s="123"/>
      <c r="AP8" s="33">
        <v>12.99</v>
      </c>
      <c r="AQ8" s="34" t="s">
        <v>243</v>
      </c>
      <c r="AR8" s="34" t="s">
        <v>243</v>
      </c>
      <c r="AS8" s="34" t="s">
        <v>243</v>
      </c>
      <c r="AT8" s="34" t="s">
        <v>243</v>
      </c>
      <c r="AU8" s="34" t="s">
        <v>243</v>
      </c>
      <c r="AV8" s="34" t="s">
        <v>243</v>
      </c>
      <c r="AW8" s="34" t="s">
        <v>243</v>
      </c>
      <c r="AX8" s="34" t="s">
        <v>243</v>
      </c>
      <c r="AY8" s="34" t="s">
        <v>243</v>
      </c>
      <c r="AZ8" s="34" t="s">
        <v>243</v>
      </c>
      <c r="BA8" s="34" t="s">
        <v>243</v>
      </c>
      <c r="BB8" s="34" t="s">
        <v>243</v>
      </c>
      <c r="BC8" s="34" t="s">
        <v>243</v>
      </c>
      <c r="BD8" s="34" t="s">
        <v>243</v>
      </c>
      <c r="BE8" s="34" t="s">
        <v>243</v>
      </c>
      <c r="BF8" s="34" t="s">
        <v>243</v>
      </c>
      <c r="BG8" s="34" t="s">
        <v>243</v>
      </c>
      <c r="BH8" s="34" t="s">
        <v>243</v>
      </c>
      <c r="BI8" s="34" t="s">
        <v>243</v>
      </c>
      <c r="BJ8" s="34" t="s">
        <v>243</v>
      </c>
      <c r="BK8" s="45" t="s">
        <v>243</v>
      </c>
      <c r="BL8" s="45" t="s">
        <v>243</v>
      </c>
      <c r="BM8" s="65">
        <v>101.3648</v>
      </c>
      <c r="BN8" s="65">
        <v>101.17400000000001</v>
      </c>
      <c r="BO8" s="65">
        <v>11.6</v>
      </c>
      <c r="BP8" s="65">
        <v>-1.6</v>
      </c>
      <c r="BQ8" s="65">
        <v>-4.2</v>
      </c>
      <c r="BR8" s="65">
        <v>13.4</v>
      </c>
      <c r="BS8" s="65">
        <v>15.7</v>
      </c>
      <c r="BT8" s="45" t="s">
        <v>243</v>
      </c>
      <c r="BU8" s="65">
        <v>9.6999999999999993</v>
      </c>
      <c r="BV8" s="65">
        <v>0</v>
      </c>
      <c r="BW8" s="65">
        <v>-0.5</v>
      </c>
      <c r="BX8" s="65">
        <v>10.6</v>
      </c>
      <c r="BY8" s="65">
        <v>-1.6</v>
      </c>
      <c r="BZ8" s="65">
        <v>114.6</v>
      </c>
      <c r="CA8" s="65">
        <v>-0.5</v>
      </c>
      <c r="CB8" s="65">
        <v>5.2</v>
      </c>
      <c r="CC8" s="65">
        <v>5.4</v>
      </c>
      <c r="CD8" s="65">
        <v>-3</v>
      </c>
      <c r="CE8" s="65">
        <v>-10.6</v>
      </c>
      <c r="CF8" s="65">
        <v>19.899999999999999</v>
      </c>
      <c r="CG8" s="65">
        <v>55.7</v>
      </c>
      <c r="CH8" s="65">
        <v>31.9</v>
      </c>
      <c r="CI8" s="65">
        <v>-12</v>
      </c>
      <c r="CJ8" s="65">
        <v>-1.9</v>
      </c>
      <c r="CK8" s="65">
        <v>21.6</v>
      </c>
      <c r="CL8" s="65">
        <v>18.899999999999999</v>
      </c>
      <c r="CM8" s="65">
        <v>1115.888095</v>
      </c>
      <c r="CN8" s="65">
        <v>2700.45</v>
      </c>
      <c r="CO8" s="65">
        <v>338.471429</v>
      </c>
      <c r="CP8" s="65">
        <v>12.109</v>
      </c>
      <c r="CQ8" s="65">
        <v>8.65</v>
      </c>
      <c r="CR8" s="65">
        <v>83.9</v>
      </c>
      <c r="CS8" s="65"/>
      <c r="CT8" s="65">
        <v>109.4</v>
      </c>
      <c r="CU8" s="65">
        <v>96.3</v>
      </c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>
        <v>101.17400000000001</v>
      </c>
      <c r="DO8" s="65">
        <v>101.3648</v>
      </c>
      <c r="DP8" s="65">
        <v>99.778999999999996</v>
      </c>
      <c r="DQ8" s="65">
        <v>99.756500000000003</v>
      </c>
      <c r="DR8" s="13" t="s">
        <v>243</v>
      </c>
      <c r="DS8" t="s">
        <v>243</v>
      </c>
      <c r="DT8" s="103" t="s">
        <v>243</v>
      </c>
      <c r="DU8">
        <v>78.421287536621094</v>
      </c>
      <c r="DV8" t="s">
        <v>243</v>
      </c>
      <c r="DW8">
        <v>1528</v>
      </c>
      <c r="DX8">
        <v>59125</v>
      </c>
      <c r="DY8" t="s">
        <v>243</v>
      </c>
    </row>
    <row r="9" spans="1:129" x14ac:dyDescent="0.25">
      <c r="A9" s="1">
        <v>32994</v>
      </c>
      <c r="B9" s="33"/>
      <c r="C9" s="88">
        <v>7.72</v>
      </c>
      <c r="D9" s="33">
        <v>6</v>
      </c>
      <c r="E9" s="72">
        <v>8.2900000000000009</v>
      </c>
      <c r="F9" s="33">
        <v>8.9499999999999993</v>
      </c>
      <c r="G9" s="33">
        <v>8.9700000000000006</v>
      </c>
      <c r="H9" s="33">
        <v>8.74</v>
      </c>
      <c r="I9" s="33">
        <f t="shared" si="0"/>
        <v>1.0200000000000005</v>
      </c>
      <c r="J9" s="33">
        <f t="shared" si="1"/>
        <v>2.74</v>
      </c>
      <c r="K9" s="33">
        <f t="shared" si="2"/>
        <v>0.44999999999999929</v>
      </c>
      <c r="L9" s="33">
        <f t="shared" si="3"/>
        <v>-1.7199999999999998</v>
      </c>
      <c r="M9" s="33">
        <v>99.2</v>
      </c>
      <c r="N9" s="33">
        <v>1813.25</v>
      </c>
      <c r="O9" s="34" t="s">
        <v>312</v>
      </c>
      <c r="P9" s="34"/>
      <c r="Q9" s="34"/>
      <c r="R9" s="34"/>
      <c r="S9" s="34"/>
      <c r="T9" s="34"/>
      <c r="U9" s="34"/>
      <c r="V9" s="116">
        <v>388165</v>
      </c>
      <c r="W9" s="116">
        <v>972359</v>
      </c>
      <c r="X9" s="117">
        <v>2386578</v>
      </c>
      <c r="Y9" s="117">
        <v>283584</v>
      </c>
      <c r="Z9" s="34" t="s">
        <v>243</v>
      </c>
      <c r="AA9" s="33">
        <v>55.6</v>
      </c>
      <c r="AB9" s="34" t="s">
        <v>243</v>
      </c>
      <c r="AC9" s="34" t="s">
        <v>243</v>
      </c>
      <c r="AD9" s="34" t="s">
        <v>243</v>
      </c>
      <c r="AE9" s="33">
        <v>6.5</v>
      </c>
      <c r="AF9" s="33">
        <v>313</v>
      </c>
      <c r="AG9" s="33">
        <v>59.1</v>
      </c>
      <c r="AH9" s="34" t="s">
        <v>243</v>
      </c>
      <c r="AI9" s="86" t="s">
        <v>312</v>
      </c>
      <c r="AJ9" s="86">
        <v>84.1</v>
      </c>
      <c r="AK9" s="86">
        <v>85.7</v>
      </c>
      <c r="AL9" s="34" t="s">
        <v>243</v>
      </c>
      <c r="AM9" s="123"/>
      <c r="AN9" s="123">
        <v>7.2537060488878806</v>
      </c>
      <c r="AO9" s="123"/>
      <c r="AP9" s="33">
        <v>12.61</v>
      </c>
      <c r="AQ9" s="34" t="s">
        <v>243</v>
      </c>
      <c r="AR9" s="34" t="s">
        <v>243</v>
      </c>
      <c r="AS9" s="34" t="s">
        <v>243</v>
      </c>
      <c r="AT9" s="34" t="s">
        <v>243</v>
      </c>
      <c r="AU9" s="34" t="s">
        <v>243</v>
      </c>
      <c r="AV9" s="34" t="s">
        <v>243</v>
      </c>
      <c r="AW9" s="34" t="s">
        <v>243</v>
      </c>
      <c r="AX9" s="34" t="s">
        <v>243</v>
      </c>
      <c r="AY9" s="34" t="s">
        <v>243</v>
      </c>
      <c r="AZ9" s="34" t="s">
        <v>243</v>
      </c>
      <c r="BA9" s="34" t="s">
        <v>243</v>
      </c>
      <c r="BB9" s="34" t="s">
        <v>243</v>
      </c>
      <c r="BC9" s="34" t="s">
        <v>243</v>
      </c>
      <c r="BD9" s="34" t="s">
        <v>243</v>
      </c>
      <c r="BE9" s="34" t="s">
        <v>243</v>
      </c>
      <c r="BF9" s="34" t="s">
        <v>243</v>
      </c>
      <c r="BG9" s="34" t="s">
        <v>243</v>
      </c>
      <c r="BH9" s="34" t="s">
        <v>243</v>
      </c>
      <c r="BI9" s="34" t="s">
        <v>243</v>
      </c>
      <c r="BJ9" s="34" t="s">
        <v>243</v>
      </c>
      <c r="BK9" s="45" t="s">
        <v>243</v>
      </c>
      <c r="BL9" s="45" t="s">
        <v>243</v>
      </c>
      <c r="BM9" s="65">
        <v>101.499</v>
      </c>
      <c r="BN9" s="65">
        <v>101.2893</v>
      </c>
      <c r="BO9" s="65">
        <v>11.4</v>
      </c>
      <c r="BP9" s="65">
        <v>-2.6</v>
      </c>
      <c r="BQ9" s="65">
        <v>-5.2</v>
      </c>
      <c r="BR9" s="65">
        <v>9.6</v>
      </c>
      <c r="BS9" s="65">
        <v>13.8</v>
      </c>
      <c r="BT9" s="45" t="s">
        <v>243</v>
      </c>
      <c r="BU9" s="65">
        <v>8.8000000000000007</v>
      </c>
      <c r="BV9" s="65">
        <v>0</v>
      </c>
      <c r="BW9" s="65">
        <v>-0.8</v>
      </c>
      <c r="BX9" s="65">
        <v>9.6</v>
      </c>
      <c r="BY9" s="65">
        <v>-2.7</v>
      </c>
      <c r="BZ9" s="65">
        <v>113.8</v>
      </c>
      <c r="CA9" s="65">
        <v>-0.8</v>
      </c>
      <c r="CB9" s="65">
        <v>6.3</v>
      </c>
      <c r="CC9" s="65">
        <v>6.3</v>
      </c>
      <c r="CD9" s="65">
        <v>-2.9</v>
      </c>
      <c r="CE9" s="65">
        <v>-11.4</v>
      </c>
      <c r="CF9" s="65">
        <v>20.9</v>
      </c>
      <c r="CG9" s="65">
        <v>56.4</v>
      </c>
      <c r="CH9" s="65">
        <v>30.9</v>
      </c>
      <c r="CI9" s="65">
        <v>-10.7</v>
      </c>
      <c r="CJ9" s="65">
        <v>-4.4000000000000004</v>
      </c>
      <c r="CK9" s="65">
        <v>20.100000000000001</v>
      </c>
      <c r="CL9" s="65">
        <v>17.8</v>
      </c>
      <c r="CM9" s="65">
        <v>1110.41913</v>
      </c>
      <c r="CN9" s="65">
        <v>2668.92</v>
      </c>
      <c r="CO9" s="65">
        <v>350.43826100000001</v>
      </c>
      <c r="CP9" s="65">
        <v>12.776999999999999</v>
      </c>
      <c r="CQ9" s="65">
        <v>9.08</v>
      </c>
      <c r="CR9" s="65">
        <v>79.3</v>
      </c>
      <c r="CS9" s="65"/>
      <c r="CT9" s="65">
        <v>109.2</v>
      </c>
      <c r="CU9" s="65">
        <v>93</v>
      </c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>
        <v>101.2893</v>
      </c>
      <c r="DO9" s="65">
        <v>101.499</v>
      </c>
      <c r="DP9" s="65">
        <v>99.623099999999994</v>
      </c>
      <c r="DQ9" s="65">
        <v>99.585099999999997</v>
      </c>
      <c r="DR9" s="13" t="s">
        <v>243</v>
      </c>
      <c r="DS9" t="s">
        <v>243</v>
      </c>
      <c r="DT9" s="103" t="s">
        <v>243</v>
      </c>
      <c r="DU9">
        <v>51.542171478271484</v>
      </c>
      <c r="DV9" t="s">
        <v>243</v>
      </c>
      <c r="DW9">
        <v>1355</v>
      </c>
      <c r="DX9">
        <v>55150</v>
      </c>
      <c r="DY9" t="s">
        <v>243</v>
      </c>
    </row>
    <row r="10" spans="1:129" x14ac:dyDescent="0.25">
      <c r="A10" s="1">
        <v>33025</v>
      </c>
      <c r="B10" s="33"/>
      <c r="C10" s="88">
        <v>7.83</v>
      </c>
      <c r="D10" s="33">
        <v>6</v>
      </c>
      <c r="E10" s="72">
        <v>8.27</v>
      </c>
      <c r="F10" s="33">
        <v>8.9499999999999993</v>
      </c>
      <c r="G10" s="33">
        <v>9</v>
      </c>
      <c r="H10" s="33">
        <v>8.82</v>
      </c>
      <c r="I10" s="33">
        <f t="shared" si="0"/>
        <v>0.99000000000000021</v>
      </c>
      <c r="J10" s="33">
        <f t="shared" si="1"/>
        <v>2.8200000000000003</v>
      </c>
      <c r="K10" s="33">
        <f t="shared" si="2"/>
        <v>0.55000000000000071</v>
      </c>
      <c r="L10" s="33">
        <f t="shared" si="3"/>
        <v>-1.83</v>
      </c>
      <c r="M10" s="33">
        <v>98.3</v>
      </c>
      <c r="N10" s="33">
        <v>1856.95</v>
      </c>
      <c r="O10" s="34" t="s">
        <v>312</v>
      </c>
      <c r="P10" s="34"/>
      <c r="Q10" s="34"/>
      <c r="R10" s="34"/>
      <c r="S10" s="34"/>
      <c r="T10" s="34"/>
      <c r="U10" s="34"/>
      <c r="V10" s="116">
        <v>472081</v>
      </c>
      <c r="W10" s="116">
        <v>1006819</v>
      </c>
      <c r="X10" s="117">
        <v>2494707</v>
      </c>
      <c r="Y10" s="117">
        <v>291794</v>
      </c>
      <c r="Z10" s="34" t="s">
        <v>243</v>
      </c>
      <c r="AA10" s="33">
        <v>55.1</v>
      </c>
      <c r="AB10" s="34" t="s">
        <v>243</v>
      </c>
      <c r="AC10" s="34" t="s">
        <v>243</v>
      </c>
      <c r="AD10" s="34" t="s">
        <v>243</v>
      </c>
      <c r="AE10" s="33">
        <v>6.5</v>
      </c>
      <c r="AF10" s="33">
        <v>313</v>
      </c>
      <c r="AG10" s="33">
        <v>59.3</v>
      </c>
      <c r="AH10" s="34" t="s">
        <v>243</v>
      </c>
      <c r="AI10" s="86" t="s">
        <v>312</v>
      </c>
      <c r="AJ10" s="86">
        <v>83.6</v>
      </c>
      <c r="AK10" s="86">
        <v>85.7</v>
      </c>
      <c r="AL10" s="34" t="s">
        <v>243</v>
      </c>
      <c r="AM10" s="123"/>
      <c r="AN10" s="123">
        <v>6.8910207464434858</v>
      </c>
      <c r="AO10" s="123"/>
      <c r="AP10" s="33">
        <v>11.88</v>
      </c>
      <c r="AQ10" s="34" t="s">
        <v>243</v>
      </c>
      <c r="AR10" s="34" t="s">
        <v>243</v>
      </c>
      <c r="AS10" s="34" t="s">
        <v>243</v>
      </c>
      <c r="AT10" s="34" t="s">
        <v>243</v>
      </c>
      <c r="AU10" s="34" t="s">
        <v>243</v>
      </c>
      <c r="AV10" s="34" t="s">
        <v>243</v>
      </c>
      <c r="AW10" s="34" t="s">
        <v>243</v>
      </c>
      <c r="AX10" s="34" t="s">
        <v>243</v>
      </c>
      <c r="AY10" s="34" t="s">
        <v>243</v>
      </c>
      <c r="AZ10" s="34" t="s">
        <v>243</v>
      </c>
      <c r="BA10" s="34" t="s">
        <v>243</v>
      </c>
      <c r="BB10" s="34" t="s">
        <v>243</v>
      </c>
      <c r="BC10" s="34" t="s">
        <v>243</v>
      </c>
      <c r="BD10" s="34" t="s">
        <v>243</v>
      </c>
      <c r="BE10" s="34" t="s">
        <v>243</v>
      </c>
      <c r="BF10" s="34" t="s">
        <v>243</v>
      </c>
      <c r="BG10" s="34" t="s">
        <v>243</v>
      </c>
      <c r="BH10" s="34" t="s">
        <v>243</v>
      </c>
      <c r="BI10" s="34" t="s">
        <v>243</v>
      </c>
      <c r="BJ10" s="34" t="s">
        <v>243</v>
      </c>
      <c r="BK10" s="45" t="s">
        <v>243</v>
      </c>
      <c r="BL10" s="45" t="s">
        <v>243</v>
      </c>
      <c r="BM10" s="65">
        <v>101.6032</v>
      </c>
      <c r="BN10" s="65">
        <v>101.3788</v>
      </c>
      <c r="BO10" s="65">
        <v>10.5</v>
      </c>
      <c r="BP10" s="65">
        <v>-3.2</v>
      </c>
      <c r="BQ10" s="65">
        <v>-4.2</v>
      </c>
      <c r="BR10" s="65">
        <v>10.6</v>
      </c>
      <c r="BS10" s="65">
        <v>14</v>
      </c>
      <c r="BT10" s="45" t="s">
        <v>243</v>
      </c>
      <c r="BU10" s="65">
        <v>8.4</v>
      </c>
      <c r="BV10" s="65">
        <v>0</v>
      </c>
      <c r="BW10" s="65">
        <v>-0.7</v>
      </c>
      <c r="BX10" s="65">
        <v>17.7</v>
      </c>
      <c r="BY10" s="65">
        <v>-1.2</v>
      </c>
      <c r="BZ10" s="65">
        <v>114.1</v>
      </c>
      <c r="CA10" s="65">
        <v>-0.7</v>
      </c>
      <c r="CB10" s="65">
        <v>5.7</v>
      </c>
      <c r="CC10" s="65">
        <v>5.6</v>
      </c>
      <c r="CD10" s="65">
        <v>-2.1</v>
      </c>
      <c r="CE10" s="65">
        <v>-11</v>
      </c>
      <c r="CF10" s="65">
        <v>23</v>
      </c>
      <c r="CG10" s="65">
        <v>55.6</v>
      </c>
      <c r="CH10" s="65">
        <v>31.8</v>
      </c>
      <c r="CI10" s="65">
        <v>-15.6</v>
      </c>
      <c r="CJ10" s="65">
        <v>-3.3</v>
      </c>
      <c r="CK10" s="65">
        <v>17.2</v>
      </c>
      <c r="CL10" s="65">
        <v>15.9</v>
      </c>
      <c r="CM10" s="65">
        <v>1107.330952</v>
      </c>
      <c r="CN10" s="65">
        <v>2900.97</v>
      </c>
      <c r="CO10" s="65">
        <v>360.38666699999999</v>
      </c>
      <c r="CP10" s="65">
        <v>11.69</v>
      </c>
      <c r="CQ10" s="65">
        <v>8.44</v>
      </c>
      <c r="CR10" s="65">
        <v>76.599999999999994</v>
      </c>
      <c r="CS10" s="65"/>
      <c r="CT10" s="65">
        <v>109.6</v>
      </c>
      <c r="CU10" s="65">
        <v>95.8</v>
      </c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>
        <v>101.3788</v>
      </c>
      <c r="DO10" s="65">
        <v>101.6032</v>
      </c>
      <c r="DP10" s="65">
        <v>99.362099999999998</v>
      </c>
      <c r="DQ10" s="65">
        <v>99.298000000000002</v>
      </c>
      <c r="DR10" s="13" t="s">
        <v>243</v>
      </c>
      <c r="DS10" t="s">
        <v>243</v>
      </c>
      <c r="DT10" s="103" t="s">
        <v>243</v>
      </c>
      <c r="DU10">
        <v>82.678779602050781</v>
      </c>
      <c r="DV10" t="s">
        <v>243</v>
      </c>
      <c r="DW10">
        <v>1301</v>
      </c>
      <c r="DX10">
        <v>76425</v>
      </c>
      <c r="DY10" t="s">
        <v>243</v>
      </c>
    </row>
    <row r="11" spans="1:129" x14ac:dyDescent="0.25">
      <c r="A11" s="1">
        <v>33055</v>
      </c>
      <c r="B11" s="33"/>
      <c r="C11" s="88">
        <v>8.02</v>
      </c>
      <c r="D11" s="33">
        <v>6</v>
      </c>
      <c r="E11" s="72">
        <v>8.1999999999999993</v>
      </c>
      <c r="F11" s="33">
        <v>8.73</v>
      </c>
      <c r="G11" s="33">
        <v>8.76</v>
      </c>
      <c r="H11" s="33">
        <v>8.58</v>
      </c>
      <c r="I11" s="33">
        <f t="shared" si="0"/>
        <v>0.5600000000000005</v>
      </c>
      <c r="J11" s="33">
        <f t="shared" si="1"/>
        <v>2.58</v>
      </c>
      <c r="K11" s="33">
        <f t="shared" si="2"/>
        <v>0.38000000000000078</v>
      </c>
      <c r="L11" s="33">
        <f t="shared" si="3"/>
        <v>-2.0199999999999996</v>
      </c>
      <c r="M11" s="33">
        <v>97.9</v>
      </c>
      <c r="N11" s="33">
        <v>1915.3</v>
      </c>
      <c r="O11" s="34" t="s">
        <v>312</v>
      </c>
      <c r="P11" s="34"/>
      <c r="Q11" s="34"/>
      <c r="R11" s="34"/>
      <c r="S11" s="34"/>
      <c r="T11" s="34"/>
      <c r="U11" s="34"/>
      <c r="V11" s="116">
        <v>469528</v>
      </c>
      <c r="W11" s="116">
        <v>1014117</v>
      </c>
      <c r="X11" s="117">
        <v>2506891</v>
      </c>
      <c r="Y11" s="117">
        <v>297396</v>
      </c>
      <c r="Z11" s="34" t="s">
        <v>243</v>
      </c>
      <c r="AA11" s="33">
        <v>56.4</v>
      </c>
      <c r="AB11" s="34" t="s">
        <v>243</v>
      </c>
      <c r="AC11" s="34" t="s">
        <v>243</v>
      </c>
      <c r="AD11" s="34" t="s">
        <v>243</v>
      </c>
      <c r="AE11" s="33">
        <v>6.4</v>
      </c>
      <c r="AF11" s="33">
        <v>316</v>
      </c>
      <c r="AG11" s="33">
        <v>59.5</v>
      </c>
      <c r="AH11" s="34" t="s">
        <v>243</v>
      </c>
      <c r="AI11" s="86" t="s">
        <v>312</v>
      </c>
      <c r="AJ11" s="86">
        <v>83.6</v>
      </c>
      <c r="AK11" s="86">
        <v>85.8</v>
      </c>
      <c r="AL11" s="34" t="s">
        <v>243</v>
      </c>
      <c r="AM11" s="123"/>
      <c r="AN11" s="123">
        <v>7.3613278003550588</v>
      </c>
      <c r="AO11" s="123"/>
      <c r="AP11" s="33">
        <v>12.95</v>
      </c>
      <c r="AQ11" s="34" t="s">
        <v>243</v>
      </c>
      <c r="AR11" s="34" t="s">
        <v>243</v>
      </c>
      <c r="AS11" s="34" t="s">
        <v>243</v>
      </c>
      <c r="AT11" s="34" t="s">
        <v>243</v>
      </c>
      <c r="AU11" s="34" t="s">
        <v>243</v>
      </c>
      <c r="AV11" s="34" t="s">
        <v>243</v>
      </c>
      <c r="AW11" s="34" t="s">
        <v>243</v>
      </c>
      <c r="AX11" s="34" t="s">
        <v>243</v>
      </c>
      <c r="AY11" s="34" t="s">
        <v>243</v>
      </c>
      <c r="AZ11" s="34" t="s">
        <v>243</v>
      </c>
      <c r="BA11" s="34" t="s">
        <v>243</v>
      </c>
      <c r="BB11" s="34" t="s">
        <v>243</v>
      </c>
      <c r="BC11" s="34" t="s">
        <v>243</v>
      </c>
      <c r="BD11" s="34" t="s">
        <v>243</v>
      </c>
      <c r="BE11" s="34" t="s">
        <v>243</v>
      </c>
      <c r="BF11" s="34" t="s">
        <v>243</v>
      </c>
      <c r="BG11" s="34" t="s">
        <v>243</v>
      </c>
      <c r="BH11" s="34" t="s">
        <v>243</v>
      </c>
      <c r="BI11" s="34" t="s">
        <v>243</v>
      </c>
      <c r="BJ11" s="34" t="s">
        <v>243</v>
      </c>
      <c r="BK11" s="45" t="s">
        <v>243</v>
      </c>
      <c r="BL11" s="45" t="s">
        <v>243</v>
      </c>
      <c r="BM11" s="65">
        <v>101.66330000000001</v>
      </c>
      <c r="BN11" s="65">
        <v>101.43049999999999</v>
      </c>
      <c r="BO11" s="65">
        <v>14.4</v>
      </c>
      <c r="BP11" s="65">
        <v>-4.4000000000000004</v>
      </c>
      <c r="BQ11" s="65">
        <v>-6.2</v>
      </c>
      <c r="BR11" s="65">
        <v>12.8</v>
      </c>
      <c r="BS11" s="65">
        <v>12.7</v>
      </c>
      <c r="BT11" s="45" t="s">
        <v>243</v>
      </c>
      <c r="BU11" s="65">
        <v>11.2</v>
      </c>
      <c r="BV11" s="65">
        <v>0</v>
      </c>
      <c r="BW11" s="65">
        <v>-0.5</v>
      </c>
      <c r="BX11" s="65">
        <v>10.5</v>
      </c>
      <c r="BY11" s="65">
        <v>-3.5</v>
      </c>
      <c r="BZ11" s="65">
        <v>115.2</v>
      </c>
      <c r="CA11" s="65">
        <v>-0.5</v>
      </c>
      <c r="CB11" s="65">
        <v>6</v>
      </c>
      <c r="CC11" s="65">
        <v>6.1</v>
      </c>
      <c r="CD11" s="65">
        <v>-0.5</v>
      </c>
      <c r="CE11" s="65">
        <v>-9.8000000000000007</v>
      </c>
      <c r="CF11" s="65">
        <v>20.5</v>
      </c>
      <c r="CG11" s="65">
        <v>53.6</v>
      </c>
      <c r="CH11" s="65">
        <v>33.799999999999997</v>
      </c>
      <c r="CI11" s="65">
        <v>-13.2</v>
      </c>
      <c r="CJ11" s="65">
        <v>-4.4000000000000004</v>
      </c>
      <c r="CK11" s="65">
        <v>23.5</v>
      </c>
      <c r="CL11" s="65">
        <v>20.2</v>
      </c>
      <c r="CM11" s="65">
        <v>1120.054091</v>
      </c>
      <c r="CN11" s="65">
        <v>2899.26</v>
      </c>
      <c r="CO11" s="65">
        <v>360.03681799999998</v>
      </c>
      <c r="CP11" s="65">
        <v>11.388999999999999</v>
      </c>
      <c r="CQ11" s="65">
        <v>8.43</v>
      </c>
      <c r="CR11" s="65">
        <v>77.3</v>
      </c>
      <c r="CS11" s="65"/>
      <c r="CT11" s="65">
        <v>109.6</v>
      </c>
      <c r="CU11" s="65">
        <v>97.5</v>
      </c>
      <c r="CV11" s="65"/>
      <c r="CW11" s="65"/>
      <c r="CX11" s="65"/>
      <c r="CY11" s="65">
        <v>2.1800000000000002</v>
      </c>
      <c r="CZ11" s="65"/>
      <c r="DA11" s="65">
        <v>1.51</v>
      </c>
      <c r="DB11" s="65">
        <v>11.75</v>
      </c>
      <c r="DC11" s="65"/>
      <c r="DD11" s="65"/>
      <c r="DE11" s="65"/>
      <c r="DF11" s="65"/>
      <c r="DG11" s="65"/>
      <c r="DH11" s="65"/>
      <c r="DI11" s="65">
        <v>161.876</v>
      </c>
      <c r="DJ11" s="65"/>
      <c r="DK11" s="65"/>
      <c r="DL11" s="65"/>
      <c r="DM11" s="65"/>
      <c r="DN11" s="65">
        <v>101.43049999999999</v>
      </c>
      <c r="DO11" s="65">
        <v>101.66330000000001</v>
      </c>
      <c r="DP11" s="65">
        <v>99.001199999999997</v>
      </c>
      <c r="DQ11" s="65">
        <v>98.900999999999996</v>
      </c>
      <c r="DR11" s="13" t="s">
        <v>243</v>
      </c>
      <c r="DS11" t="s">
        <v>243</v>
      </c>
      <c r="DT11" s="103" t="s">
        <v>243</v>
      </c>
      <c r="DU11">
        <v>52.089851379394531</v>
      </c>
      <c r="DV11" t="s">
        <v>243</v>
      </c>
      <c r="DW11">
        <v>1082</v>
      </c>
      <c r="DX11">
        <v>55725</v>
      </c>
      <c r="DY11" t="s">
        <v>243</v>
      </c>
    </row>
    <row r="12" spans="1:129" x14ac:dyDescent="0.25">
      <c r="A12" s="1">
        <v>33086</v>
      </c>
      <c r="B12" s="33"/>
      <c r="C12" s="88">
        <v>8.0299999999999994</v>
      </c>
      <c r="D12" s="33">
        <v>6</v>
      </c>
      <c r="E12" s="72">
        <v>8.4</v>
      </c>
      <c r="F12" s="33">
        <v>8.94</v>
      </c>
      <c r="G12" s="33">
        <v>9.01</v>
      </c>
      <c r="H12" s="33">
        <v>8.9</v>
      </c>
      <c r="I12" s="33">
        <f t="shared" si="0"/>
        <v>0.87000000000000099</v>
      </c>
      <c r="J12" s="33">
        <f t="shared" si="1"/>
        <v>2.9000000000000004</v>
      </c>
      <c r="K12" s="33">
        <f t="shared" si="2"/>
        <v>0.5</v>
      </c>
      <c r="L12" s="33">
        <f t="shared" si="3"/>
        <v>-2.0299999999999994</v>
      </c>
      <c r="M12" s="33">
        <v>98.5</v>
      </c>
      <c r="N12" s="33">
        <v>1892.89</v>
      </c>
      <c r="O12" s="34" t="s">
        <v>312</v>
      </c>
      <c r="P12" s="34"/>
      <c r="Q12" s="34"/>
      <c r="R12" s="34"/>
      <c r="S12" s="34"/>
      <c r="T12" s="34"/>
      <c r="U12" s="34"/>
      <c r="V12" s="116">
        <v>479209</v>
      </c>
      <c r="W12" s="116">
        <v>1022099</v>
      </c>
      <c r="X12" s="117">
        <v>2521801</v>
      </c>
      <c r="Y12" s="117">
        <v>301989</v>
      </c>
      <c r="Z12" s="34" t="s">
        <v>243</v>
      </c>
      <c r="AA12" s="33">
        <v>58.3</v>
      </c>
      <c r="AB12" s="34" t="s">
        <v>243</v>
      </c>
      <c r="AC12" s="34" t="s">
        <v>243</v>
      </c>
      <c r="AD12" s="34" t="s">
        <v>243</v>
      </c>
      <c r="AE12" s="33">
        <v>6.3</v>
      </c>
      <c r="AF12" s="33">
        <v>310</v>
      </c>
      <c r="AG12" s="33">
        <v>59.6</v>
      </c>
      <c r="AH12" s="34" t="s">
        <v>243</v>
      </c>
      <c r="AI12" s="86" t="s">
        <v>312</v>
      </c>
      <c r="AJ12" s="86">
        <v>84.8</v>
      </c>
      <c r="AK12" s="86">
        <v>85.8</v>
      </c>
      <c r="AL12" s="34" t="s">
        <v>243</v>
      </c>
      <c r="AM12" s="123"/>
      <c r="AN12" s="123">
        <v>11.507708357289751</v>
      </c>
      <c r="AO12" s="123"/>
      <c r="AP12" s="33">
        <v>19.2</v>
      </c>
      <c r="AQ12" s="34" t="s">
        <v>243</v>
      </c>
      <c r="AR12" s="34" t="s">
        <v>243</v>
      </c>
      <c r="AS12" s="34" t="s">
        <v>243</v>
      </c>
      <c r="AT12" s="34" t="s">
        <v>243</v>
      </c>
      <c r="AU12" s="34" t="s">
        <v>243</v>
      </c>
      <c r="AV12" s="34" t="s">
        <v>243</v>
      </c>
      <c r="AW12" s="34" t="s">
        <v>243</v>
      </c>
      <c r="AX12" s="34" t="s">
        <v>243</v>
      </c>
      <c r="AY12" s="34" t="s">
        <v>243</v>
      </c>
      <c r="AZ12" s="34" t="s">
        <v>243</v>
      </c>
      <c r="BA12" s="34" t="s">
        <v>243</v>
      </c>
      <c r="BB12" s="34" t="s">
        <v>243</v>
      </c>
      <c r="BC12" s="34" t="s">
        <v>243</v>
      </c>
      <c r="BD12" s="34" t="s">
        <v>243</v>
      </c>
      <c r="BE12" s="34" t="s">
        <v>243</v>
      </c>
      <c r="BF12" s="34" t="s">
        <v>243</v>
      </c>
      <c r="BG12" s="34" t="s">
        <v>243</v>
      </c>
      <c r="BH12" s="34" t="s">
        <v>243</v>
      </c>
      <c r="BI12" s="34" t="s">
        <v>243</v>
      </c>
      <c r="BJ12" s="34" t="s">
        <v>243</v>
      </c>
      <c r="BK12" s="45" t="s">
        <v>243</v>
      </c>
      <c r="BL12" s="45" t="s">
        <v>243</v>
      </c>
      <c r="BM12" s="65">
        <v>101.6504</v>
      </c>
      <c r="BN12" s="65">
        <v>101.4194</v>
      </c>
      <c r="BO12" s="65">
        <v>13</v>
      </c>
      <c r="BP12" s="65">
        <v>-7</v>
      </c>
      <c r="BQ12" s="65">
        <v>-9.1999999999999993</v>
      </c>
      <c r="BR12" s="65">
        <v>9.9</v>
      </c>
      <c r="BS12" s="65">
        <v>15.2</v>
      </c>
      <c r="BT12" s="45" t="s">
        <v>243</v>
      </c>
      <c r="BU12" s="65">
        <v>10.7</v>
      </c>
      <c r="BV12" s="65">
        <v>0</v>
      </c>
      <c r="BW12" s="65">
        <v>-0.6</v>
      </c>
      <c r="BX12" s="65">
        <v>17.8</v>
      </c>
      <c r="BY12" s="65">
        <v>-0.9</v>
      </c>
      <c r="BZ12" s="65">
        <v>115.8</v>
      </c>
      <c r="CA12" s="65">
        <v>-0.6</v>
      </c>
      <c r="CB12" s="65">
        <v>6</v>
      </c>
      <c r="CC12" s="65">
        <v>5.8</v>
      </c>
      <c r="CD12" s="65">
        <v>-2.7</v>
      </c>
      <c r="CE12" s="65">
        <v>-10.7</v>
      </c>
      <c r="CF12" s="65">
        <v>20</v>
      </c>
      <c r="CG12" s="65">
        <v>55.4</v>
      </c>
      <c r="CH12" s="65">
        <v>37</v>
      </c>
      <c r="CI12" s="65">
        <v>-13.7</v>
      </c>
      <c r="CJ12" s="65">
        <v>-3.6</v>
      </c>
      <c r="CK12" s="65">
        <v>25.2</v>
      </c>
      <c r="CL12" s="65">
        <v>19.3</v>
      </c>
      <c r="CM12" s="65">
        <v>992.52347799999995</v>
      </c>
      <c r="CN12" s="65">
        <v>2899.26</v>
      </c>
      <c r="CO12" s="65">
        <v>330.74652200000003</v>
      </c>
      <c r="CP12" s="65">
        <v>11.365</v>
      </c>
      <c r="CQ12" s="65">
        <v>8.2899999999999991</v>
      </c>
      <c r="CR12" s="65">
        <v>62.9</v>
      </c>
      <c r="CS12" s="65"/>
      <c r="CT12" s="65">
        <v>105.2</v>
      </c>
      <c r="CU12" s="65">
        <v>95.4</v>
      </c>
      <c r="CV12" s="65"/>
      <c r="CW12" s="65"/>
      <c r="CX12" s="65"/>
      <c r="CY12" s="65">
        <v>2.09</v>
      </c>
      <c r="CZ12" s="65"/>
      <c r="DA12" s="65">
        <v>1.68</v>
      </c>
      <c r="DB12" s="65">
        <v>11.84</v>
      </c>
      <c r="DC12" s="65"/>
      <c r="DD12" s="65"/>
      <c r="DE12" s="65"/>
      <c r="DF12" s="65"/>
      <c r="DG12" s="65"/>
      <c r="DH12" s="65"/>
      <c r="DI12" s="65">
        <v>161.614</v>
      </c>
      <c r="DJ12" s="65"/>
      <c r="DK12" s="65"/>
      <c r="DL12" s="65"/>
      <c r="DM12" s="65"/>
      <c r="DN12" s="65">
        <v>101.4194</v>
      </c>
      <c r="DO12" s="65">
        <v>101.6504</v>
      </c>
      <c r="DP12" s="65">
        <v>98.568799999999996</v>
      </c>
      <c r="DQ12" s="65">
        <v>98.425399999999996</v>
      </c>
      <c r="DR12" s="13" t="s">
        <v>243</v>
      </c>
      <c r="DS12" t="s">
        <v>243</v>
      </c>
      <c r="DT12" s="103" t="s">
        <v>243</v>
      </c>
      <c r="DU12">
        <v>45.300537109375</v>
      </c>
      <c r="DV12" t="s">
        <v>243</v>
      </c>
      <c r="DW12">
        <v>1175</v>
      </c>
      <c r="DX12">
        <v>94275</v>
      </c>
      <c r="DY12" t="s">
        <v>243</v>
      </c>
    </row>
    <row r="13" spans="1:129" x14ac:dyDescent="0.25">
      <c r="A13" s="1">
        <v>33117</v>
      </c>
      <c r="B13" s="33"/>
      <c r="C13" s="88">
        <v>8.0299999999999994</v>
      </c>
      <c r="D13" s="33">
        <v>6</v>
      </c>
      <c r="E13" s="72">
        <v>8.41</v>
      </c>
      <c r="F13" s="33">
        <v>9.07</v>
      </c>
      <c r="G13" s="33">
        <v>9.17</v>
      </c>
      <c r="H13" s="33">
        <v>9.09</v>
      </c>
      <c r="I13" s="33">
        <f t="shared" si="0"/>
        <v>1.0600000000000005</v>
      </c>
      <c r="J13" s="33">
        <f t="shared" si="1"/>
        <v>3.09</v>
      </c>
      <c r="K13" s="33">
        <f t="shared" si="2"/>
        <v>0.67999999999999972</v>
      </c>
      <c r="L13" s="33">
        <f t="shared" si="3"/>
        <v>-2.0299999999999994</v>
      </c>
      <c r="M13" s="33">
        <v>98.3</v>
      </c>
      <c r="N13" s="33">
        <v>1629.22</v>
      </c>
      <c r="O13" s="34" t="s">
        <v>312</v>
      </c>
      <c r="P13" s="34"/>
      <c r="Q13" s="34"/>
      <c r="R13" s="34"/>
      <c r="S13" s="34"/>
      <c r="T13" s="34"/>
      <c r="U13" s="34"/>
      <c r="V13" s="116">
        <v>495175</v>
      </c>
      <c r="W13" s="116">
        <v>1028301</v>
      </c>
      <c r="X13" s="117">
        <v>2539282</v>
      </c>
      <c r="Y13" s="117">
        <v>307152</v>
      </c>
      <c r="Z13" s="34" t="s">
        <v>243</v>
      </c>
      <c r="AA13" s="33">
        <v>58.2</v>
      </c>
      <c r="AB13" s="34" t="s">
        <v>243</v>
      </c>
      <c r="AC13" s="34" t="s">
        <v>243</v>
      </c>
      <c r="AD13" s="34" t="s">
        <v>243</v>
      </c>
      <c r="AE13" s="33">
        <v>6.2</v>
      </c>
      <c r="AF13" s="33">
        <v>310</v>
      </c>
      <c r="AG13" s="33">
        <v>59.8</v>
      </c>
      <c r="AH13" s="34" t="s">
        <v>243</v>
      </c>
      <c r="AI13" s="86" t="s">
        <v>312</v>
      </c>
      <c r="AJ13" s="86">
        <v>87</v>
      </c>
      <c r="AK13" s="86">
        <v>86</v>
      </c>
      <c r="AL13" s="34" t="s">
        <v>243</v>
      </c>
      <c r="AM13" s="123"/>
      <c r="AN13" s="123">
        <v>15.373118087558874</v>
      </c>
      <c r="AO13" s="123"/>
      <c r="AP13" s="33">
        <v>24.82</v>
      </c>
      <c r="AQ13" s="34" t="s">
        <v>243</v>
      </c>
      <c r="AR13" s="34" t="s">
        <v>243</v>
      </c>
      <c r="AS13" s="34" t="s">
        <v>243</v>
      </c>
      <c r="AT13" s="34" t="s">
        <v>243</v>
      </c>
      <c r="AU13" s="34" t="s">
        <v>243</v>
      </c>
      <c r="AV13" s="34" t="s">
        <v>243</v>
      </c>
      <c r="AW13" s="34" t="s">
        <v>243</v>
      </c>
      <c r="AX13" s="34" t="s">
        <v>243</v>
      </c>
      <c r="AY13" s="34" t="s">
        <v>243</v>
      </c>
      <c r="AZ13" s="34" t="s">
        <v>243</v>
      </c>
      <c r="BA13" s="34" t="s">
        <v>243</v>
      </c>
      <c r="BB13" s="34" t="s">
        <v>243</v>
      </c>
      <c r="BC13" s="34" t="s">
        <v>243</v>
      </c>
      <c r="BD13" s="34" t="s">
        <v>243</v>
      </c>
      <c r="BE13" s="34" t="s">
        <v>243</v>
      </c>
      <c r="BF13" s="34" t="s">
        <v>243</v>
      </c>
      <c r="BG13" s="34" t="s">
        <v>243</v>
      </c>
      <c r="BH13" s="34" t="s">
        <v>243</v>
      </c>
      <c r="BI13" s="34" t="s">
        <v>243</v>
      </c>
      <c r="BJ13" s="34" t="s">
        <v>243</v>
      </c>
      <c r="BK13" s="45" t="s">
        <v>243</v>
      </c>
      <c r="BL13" s="45" t="s">
        <v>243</v>
      </c>
      <c r="BM13" s="65">
        <v>101.5412</v>
      </c>
      <c r="BN13" s="65">
        <v>101.32550000000001</v>
      </c>
      <c r="BO13" s="65">
        <v>13.6</v>
      </c>
      <c r="BP13" s="65">
        <v>-11.3</v>
      </c>
      <c r="BQ13" s="65">
        <v>-9.1999999999999993</v>
      </c>
      <c r="BR13" s="65">
        <v>16.600000000000001</v>
      </c>
      <c r="BS13" s="65">
        <v>19.399999999999999</v>
      </c>
      <c r="BT13" s="45" t="s">
        <v>243</v>
      </c>
      <c r="BU13" s="65">
        <v>13.1</v>
      </c>
      <c r="BV13" s="65">
        <v>0</v>
      </c>
      <c r="BW13" s="65">
        <v>-3.3</v>
      </c>
      <c r="BX13" s="65">
        <v>18.8</v>
      </c>
      <c r="BY13" s="65">
        <v>0.7</v>
      </c>
      <c r="BZ13" s="65">
        <v>116.3</v>
      </c>
      <c r="CA13" s="65">
        <v>-3.3</v>
      </c>
      <c r="CB13" s="65">
        <v>4.2</v>
      </c>
      <c r="CC13" s="65">
        <v>3.3</v>
      </c>
      <c r="CD13" s="65">
        <v>-11.4</v>
      </c>
      <c r="CE13" s="65">
        <v>-16.399999999999999</v>
      </c>
      <c r="CF13" s="65">
        <v>31.1</v>
      </c>
      <c r="CG13" s="65">
        <v>61.6</v>
      </c>
      <c r="CH13" s="65">
        <v>39</v>
      </c>
      <c r="CI13" s="65">
        <v>-19.899999999999999</v>
      </c>
      <c r="CJ13" s="65">
        <v>-4.3</v>
      </c>
      <c r="CK13" s="65">
        <v>22.9</v>
      </c>
      <c r="CL13" s="65">
        <v>18.399999999999999</v>
      </c>
      <c r="CM13" s="65">
        <v>913.04</v>
      </c>
      <c r="CN13" s="65">
        <v>2614.36</v>
      </c>
      <c r="CO13" s="65">
        <v>315.7645</v>
      </c>
      <c r="CP13" s="65">
        <v>11.734999999999999</v>
      </c>
      <c r="CQ13" s="65">
        <v>8.86</v>
      </c>
      <c r="CR13" s="65">
        <v>58.8</v>
      </c>
      <c r="CS13" s="65"/>
      <c r="CT13" s="65">
        <v>98.8</v>
      </c>
      <c r="CU13" s="65">
        <v>93.4</v>
      </c>
      <c r="CV13" s="65"/>
      <c r="CW13" s="65"/>
      <c r="CX13" s="65"/>
      <c r="CY13" s="65">
        <v>1.9</v>
      </c>
      <c r="CZ13" s="65"/>
      <c r="DA13" s="65">
        <v>1.53</v>
      </c>
      <c r="DB13" s="65">
        <v>12.09</v>
      </c>
      <c r="DC13" s="65"/>
      <c r="DD13" s="65"/>
      <c r="DE13" s="65"/>
      <c r="DF13" s="65"/>
      <c r="DG13" s="65"/>
      <c r="DH13" s="65"/>
      <c r="DI13" s="65">
        <v>122.47499999999999</v>
      </c>
      <c r="DJ13" s="65"/>
      <c r="DK13" s="65"/>
      <c r="DL13" s="65"/>
      <c r="DM13" s="65"/>
      <c r="DN13" s="65">
        <v>101.32550000000001</v>
      </c>
      <c r="DO13" s="65">
        <v>101.5412</v>
      </c>
      <c r="DP13" s="65">
        <v>98.131299999999996</v>
      </c>
      <c r="DQ13" s="65">
        <v>97.944100000000006</v>
      </c>
      <c r="DR13" s="13" t="s">
        <v>243</v>
      </c>
      <c r="DS13" t="s">
        <v>243</v>
      </c>
      <c r="DT13" s="103" t="s">
        <v>243</v>
      </c>
      <c r="DU13">
        <v>128.50285339355469</v>
      </c>
      <c r="DV13" t="s">
        <v>243</v>
      </c>
      <c r="DW13">
        <v>1203</v>
      </c>
      <c r="DX13">
        <v>132550</v>
      </c>
      <c r="DY13" t="s">
        <v>243</v>
      </c>
    </row>
    <row r="14" spans="1:129" x14ac:dyDescent="0.25">
      <c r="A14" s="1">
        <v>33147</v>
      </c>
      <c r="B14" s="33"/>
      <c r="C14" s="88">
        <v>8.0400000000000009</v>
      </c>
      <c r="D14" s="33">
        <v>6</v>
      </c>
      <c r="E14" s="72">
        <v>8.5400000000000009</v>
      </c>
      <c r="F14" s="33">
        <v>9.09</v>
      </c>
      <c r="G14" s="33">
        <v>9.15</v>
      </c>
      <c r="H14" s="33">
        <v>9.09</v>
      </c>
      <c r="I14" s="33">
        <f t="shared" si="0"/>
        <v>1.0499999999999989</v>
      </c>
      <c r="J14" s="33">
        <f t="shared" si="1"/>
        <v>3.09</v>
      </c>
      <c r="K14" s="33">
        <f t="shared" si="2"/>
        <v>0.54999999999999893</v>
      </c>
      <c r="L14" s="33">
        <f t="shared" si="3"/>
        <v>-2.0400000000000009</v>
      </c>
      <c r="M14" s="33">
        <v>98.7</v>
      </c>
      <c r="N14" s="33">
        <v>1420.73</v>
      </c>
      <c r="O14" s="34" t="s">
        <v>312</v>
      </c>
      <c r="P14" s="34"/>
      <c r="Q14" s="34"/>
      <c r="R14" s="34"/>
      <c r="S14" s="34"/>
      <c r="T14" s="34"/>
      <c r="U14" s="34"/>
      <c r="V14" s="116">
        <v>498142</v>
      </c>
      <c r="W14" s="116">
        <v>1027958</v>
      </c>
      <c r="X14" s="117">
        <v>2548320</v>
      </c>
      <c r="Y14" s="117">
        <v>316130</v>
      </c>
      <c r="Z14" s="34" t="s">
        <v>243</v>
      </c>
      <c r="AA14" s="33">
        <v>58.6</v>
      </c>
      <c r="AB14" s="34" t="s">
        <v>243</v>
      </c>
      <c r="AC14" s="34" t="s">
        <v>243</v>
      </c>
      <c r="AD14" s="34" t="s">
        <v>243</v>
      </c>
      <c r="AE14" s="33">
        <v>6.1</v>
      </c>
      <c r="AF14" s="33">
        <v>309</v>
      </c>
      <c r="AG14" s="33">
        <v>60</v>
      </c>
      <c r="AH14" s="34" t="s">
        <v>243</v>
      </c>
      <c r="AI14" s="86" t="s">
        <v>312</v>
      </c>
      <c r="AJ14" s="86">
        <v>88.2</v>
      </c>
      <c r="AK14" s="86">
        <v>86</v>
      </c>
      <c r="AL14" s="34" t="s">
        <v>243</v>
      </c>
      <c r="AM14" s="123"/>
      <c r="AN14" s="123">
        <v>15.784681878879347</v>
      </c>
      <c r="AO14" s="123"/>
      <c r="AP14" s="33">
        <v>25.25</v>
      </c>
      <c r="AQ14" s="34" t="s">
        <v>243</v>
      </c>
      <c r="AR14" s="34" t="s">
        <v>243</v>
      </c>
      <c r="AS14" s="34" t="s">
        <v>243</v>
      </c>
      <c r="AT14" s="34" t="s">
        <v>243</v>
      </c>
      <c r="AU14" s="34" t="s">
        <v>243</v>
      </c>
      <c r="AV14" s="34" t="s">
        <v>243</v>
      </c>
      <c r="AW14" s="34" t="s">
        <v>243</v>
      </c>
      <c r="AX14" s="34" t="s">
        <v>243</v>
      </c>
      <c r="AY14" s="34" t="s">
        <v>243</v>
      </c>
      <c r="AZ14" s="34" t="s">
        <v>243</v>
      </c>
      <c r="BA14" s="34" t="s">
        <v>243</v>
      </c>
      <c r="BB14" s="34" t="s">
        <v>243</v>
      </c>
      <c r="BC14" s="34" t="s">
        <v>243</v>
      </c>
      <c r="BD14" s="34" t="s">
        <v>243</v>
      </c>
      <c r="BE14" s="34" t="s">
        <v>243</v>
      </c>
      <c r="BF14" s="34" t="s">
        <v>243</v>
      </c>
      <c r="BG14" s="34" t="s">
        <v>243</v>
      </c>
      <c r="BH14" s="34" t="s">
        <v>243</v>
      </c>
      <c r="BI14" s="34" t="s">
        <v>243</v>
      </c>
      <c r="BJ14" s="34" t="s">
        <v>243</v>
      </c>
      <c r="BK14" s="45" t="s">
        <v>243</v>
      </c>
      <c r="BL14" s="45" t="s">
        <v>243</v>
      </c>
      <c r="BM14" s="65">
        <v>101.34139999999999</v>
      </c>
      <c r="BN14" s="65">
        <v>101.15389999999999</v>
      </c>
      <c r="BO14" s="65">
        <v>14.4</v>
      </c>
      <c r="BP14" s="65">
        <v>-13.4</v>
      </c>
      <c r="BQ14" s="65">
        <v>-7.2</v>
      </c>
      <c r="BR14" s="65">
        <v>13.5</v>
      </c>
      <c r="BS14" s="65">
        <v>21.2</v>
      </c>
      <c r="BT14" s="45" t="s">
        <v>243</v>
      </c>
      <c r="BU14" s="65">
        <v>11.7</v>
      </c>
      <c r="BV14" s="65">
        <v>0</v>
      </c>
      <c r="BW14" s="65">
        <v>-4.3</v>
      </c>
      <c r="BX14" s="65">
        <v>22.2</v>
      </c>
      <c r="BY14" s="65">
        <v>-1.3</v>
      </c>
      <c r="BZ14" s="65">
        <v>114.6</v>
      </c>
      <c r="CA14" s="65">
        <v>-4.3</v>
      </c>
      <c r="CB14" s="65">
        <v>2.2999999999999998</v>
      </c>
      <c r="CC14" s="65">
        <v>1.8</v>
      </c>
      <c r="CD14" s="65">
        <v>-11.5</v>
      </c>
      <c r="CE14" s="65">
        <v>-16</v>
      </c>
      <c r="CF14" s="65">
        <v>32.5</v>
      </c>
      <c r="CG14" s="65">
        <v>62.7</v>
      </c>
      <c r="CH14" s="65">
        <v>38.799999999999997</v>
      </c>
      <c r="CI14" s="65">
        <v>-21.7</v>
      </c>
      <c r="CJ14" s="65">
        <v>-5.5</v>
      </c>
      <c r="CK14" s="65">
        <v>17.899999999999999</v>
      </c>
      <c r="CL14" s="65">
        <v>17.5</v>
      </c>
      <c r="CM14" s="65">
        <v>892.445652</v>
      </c>
      <c r="CN14" s="65">
        <v>2515.84</v>
      </c>
      <c r="CO14" s="65">
        <v>307.12478299999998</v>
      </c>
      <c r="CP14" s="65">
        <v>11.914999999999999</v>
      </c>
      <c r="CQ14" s="65">
        <v>8.7100000000000009</v>
      </c>
      <c r="CR14" s="65">
        <v>50.9</v>
      </c>
      <c r="CS14" s="65"/>
      <c r="CT14" s="65">
        <v>95.8</v>
      </c>
      <c r="CU14" s="65">
        <v>93.7</v>
      </c>
      <c r="CV14" s="65"/>
      <c r="CW14" s="65"/>
      <c r="CX14" s="65"/>
      <c r="CY14" s="65">
        <v>2</v>
      </c>
      <c r="CZ14" s="65"/>
      <c r="DA14" s="65">
        <v>1.58</v>
      </c>
      <c r="DB14" s="65">
        <v>12.42</v>
      </c>
      <c r="DC14" s="65"/>
      <c r="DD14" s="65"/>
      <c r="DE14" s="65"/>
      <c r="DF14" s="65"/>
      <c r="DG14" s="65"/>
      <c r="DH14" s="65"/>
      <c r="DI14" s="65">
        <v>176.84800000000001</v>
      </c>
      <c r="DJ14" s="65"/>
      <c r="DK14" s="65"/>
      <c r="DL14" s="65"/>
      <c r="DM14" s="65"/>
      <c r="DN14" s="65">
        <v>101.15389999999999</v>
      </c>
      <c r="DO14" s="65">
        <v>101.34139999999999</v>
      </c>
      <c r="DP14" s="65">
        <v>97.751300000000001</v>
      </c>
      <c r="DQ14" s="65">
        <v>97.526200000000003</v>
      </c>
      <c r="DR14" s="13" t="s">
        <v>243</v>
      </c>
      <c r="DS14" t="s">
        <v>243</v>
      </c>
      <c r="DT14" s="103" t="s">
        <v>243</v>
      </c>
      <c r="DU14">
        <v>128.33419799804688</v>
      </c>
      <c r="DV14" t="s">
        <v>243</v>
      </c>
      <c r="DW14">
        <v>1167</v>
      </c>
      <c r="DX14">
        <v>186925</v>
      </c>
      <c r="DY14" t="s">
        <v>243</v>
      </c>
    </row>
    <row r="15" spans="1:129" x14ac:dyDescent="0.25">
      <c r="A15" s="1">
        <v>33178</v>
      </c>
      <c r="B15" s="33"/>
      <c r="C15" s="88">
        <v>8.120000000000001</v>
      </c>
      <c r="D15" s="33">
        <v>6</v>
      </c>
      <c r="E15" s="72">
        <v>8.81</v>
      </c>
      <c r="F15" s="33">
        <v>9.0500000000000007</v>
      </c>
      <c r="G15" s="33">
        <v>9.07</v>
      </c>
      <c r="H15" s="33">
        <v>8.9499999999999993</v>
      </c>
      <c r="I15" s="33">
        <f t="shared" si="0"/>
        <v>0.82999999999999829</v>
      </c>
      <c r="J15" s="33">
        <f t="shared" si="1"/>
        <v>2.9499999999999993</v>
      </c>
      <c r="K15" s="33">
        <f t="shared" si="2"/>
        <v>0.13999999999999879</v>
      </c>
      <c r="L15" s="33">
        <f t="shared" si="3"/>
        <v>-2.120000000000001</v>
      </c>
      <c r="M15" s="33">
        <v>99.3</v>
      </c>
      <c r="N15" s="33">
        <v>1417.26</v>
      </c>
      <c r="O15" s="34" t="s">
        <v>312</v>
      </c>
      <c r="P15" s="34"/>
      <c r="Q15" s="34"/>
      <c r="R15" s="34"/>
      <c r="S15" s="34"/>
      <c r="T15" s="34"/>
      <c r="U15" s="34"/>
      <c r="V15" s="116">
        <v>501233</v>
      </c>
      <c r="W15" s="116">
        <v>1033314</v>
      </c>
      <c r="X15" s="117">
        <v>2560619</v>
      </c>
      <c r="Y15" s="117">
        <v>324034</v>
      </c>
      <c r="Z15" s="34" t="s">
        <v>243</v>
      </c>
      <c r="AA15" s="33">
        <v>57.1</v>
      </c>
      <c r="AB15" s="34" t="s">
        <v>243</v>
      </c>
      <c r="AC15" s="34" t="s">
        <v>243</v>
      </c>
      <c r="AD15" s="34" t="s">
        <v>243</v>
      </c>
      <c r="AE15" s="33">
        <v>6</v>
      </c>
      <c r="AF15" s="33">
        <v>318</v>
      </c>
      <c r="AG15" s="33">
        <v>60.2</v>
      </c>
      <c r="AH15" s="34" t="s">
        <v>243</v>
      </c>
      <c r="AI15" s="86" t="s">
        <v>312</v>
      </c>
      <c r="AJ15" s="86">
        <v>87.2</v>
      </c>
      <c r="AK15" s="86">
        <v>85.9</v>
      </c>
      <c r="AL15" s="34" t="s">
        <v>243</v>
      </c>
      <c r="AM15" s="123"/>
      <c r="AN15" s="123">
        <v>14.34776111001397</v>
      </c>
      <c r="AO15" s="123"/>
      <c r="AP15" s="33">
        <v>22.43</v>
      </c>
      <c r="AQ15" s="34" t="s">
        <v>243</v>
      </c>
      <c r="AR15" s="34" t="s">
        <v>243</v>
      </c>
      <c r="AS15" s="34" t="s">
        <v>243</v>
      </c>
      <c r="AT15" s="34" t="s">
        <v>243</v>
      </c>
      <c r="AU15" s="34" t="s">
        <v>243</v>
      </c>
      <c r="AV15" s="34" t="s">
        <v>243</v>
      </c>
      <c r="AW15" s="34" t="s">
        <v>243</v>
      </c>
      <c r="AX15" s="34" t="s">
        <v>243</v>
      </c>
      <c r="AY15" s="34" t="s">
        <v>243</v>
      </c>
      <c r="AZ15" s="34" t="s">
        <v>243</v>
      </c>
      <c r="BA15" s="34" t="s">
        <v>243</v>
      </c>
      <c r="BB15" s="34" t="s">
        <v>243</v>
      </c>
      <c r="BC15" s="34" t="s">
        <v>243</v>
      </c>
      <c r="BD15" s="34" t="s">
        <v>243</v>
      </c>
      <c r="BE15" s="34" t="s">
        <v>243</v>
      </c>
      <c r="BF15" s="34" t="s">
        <v>243</v>
      </c>
      <c r="BG15" s="34" t="s">
        <v>243</v>
      </c>
      <c r="BH15" s="34" t="s">
        <v>243</v>
      </c>
      <c r="BI15" s="34" t="s">
        <v>243</v>
      </c>
      <c r="BJ15" s="34" t="s">
        <v>243</v>
      </c>
      <c r="BK15" s="45" t="s">
        <v>243</v>
      </c>
      <c r="BL15" s="45" t="s">
        <v>243</v>
      </c>
      <c r="BM15" s="65">
        <v>101.07250000000001</v>
      </c>
      <c r="BN15" s="65">
        <v>100.9229</v>
      </c>
      <c r="BO15" s="65">
        <v>12.7</v>
      </c>
      <c r="BP15" s="65">
        <v>-16.5</v>
      </c>
      <c r="BQ15" s="65">
        <v>-8.1999999999999993</v>
      </c>
      <c r="BR15" s="65">
        <v>14.1</v>
      </c>
      <c r="BS15" s="65">
        <v>17.399999999999999</v>
      </c>
      <c r="BT15" s="45" t="s">
        <v>243</v>
      </c>
      <c r="BU15" s="65">
        <v>11.7</v>
      </c>
      <c r="BV15" s="65">
        <v>0</v>
      </c>
      <c r="BW15" s="65">
        <v>-3.7</v>
      </c>
      <c r="BX15" s="65">
        <v>20.7</v>
      </c>
      <c r="BY15" s="65">
        <v>-1</v>
      </c>
      <c r="BZ15" s="65">
        <v>115.2</v>
      </c>
      <c r="CA15" s="65">
        <v>-3.7</v>
      </c>
      <c r="CB15" s="65">
        <v>3.5</v>
      </c>
      <c r="CC15" s="65">
        <v>3.8</v>
      </c>
      <c r="CD15" s="65">
        <v>-14.3</v>
      </c>
      <c r="CE15" s="65">
        <v>-18.8</v>
      </c>
      <c r="CF15" s="65">
        <v>30.7</v>
      </c>
      <c r="CG15" s="65">
        <v>61.6</v>
      </c>
      <c r="CH15" s="65">
        <v>37.6</v>
      </c>
      <c r="CI15" s="65">
        <v>-18.8</v>
      </c>
      <c r="CJ15" s="65">
        <v>-3.2</v>
      </c>
      <c r="CK15" s="65">
        <v>23.5</v>
      </c>
      <c r="CL15" s="65">
        <v>17.8</v>
      </c>
      <c r="CM15" s="65">
        <v>874.40681800000004</v>
      </c>
      <c r="CN15" s="65">
        <v>2454.9499999999998</v>
      </c>
      <c r="CO15" s="65">
        <v>315.324545</v>
      </c>
      <c r="CP15" s="65">
        <v>11.489000000000001</v>
      </c>
      <c r="CQ15" s="65">
        <v>8.57</v>
      </c>
      <c r="CR15" s="65">
        <v>52.8</v>
      </c>
      <c r="CS15" s="65"/>
      <c r="CT15" s="65">
        <v>93.3</v>
      </c>
      <c r="CU15" s="65">
        <v>89.3</v>
      </c>
      <c r="CV15" s="65"/>
      <c r="CW15" s="65"/>
      <c r="CX15" s="65"/>
      <c r="CY15" s="65">
        <v>1.76</v>
      </c>
      <c r="CZ15" s="65"/>
      <c r="DA15" s="65">
        <v>1.54</v>
      </c>
      <c r="DB15" s="65">
        <v>13.57</v>
      </c>
      <c r="DC15" s="65"/>
      <c r="DD15" s="65"/>
      <c r="DE15" s="65"/>
      <c r="DF15" s="65"/>
      <c r="DG15" s="65"/>
      <c r="DH15" s="65"/>
      <c r="DI15" s="65">
        <v>191.50800000000001</v>
      </c>
      <c r="DJ15" s="65"/>
      <c r="DK15" s="65"/>
      <c r="DL15" s="65"/>
      <c r="DM15" s="65"/>
      <c r="DN15" s="65">
        <v>100.9229</v>
      </c>
      <c r="DO15" s="65">
        <v>101.07250000000001</v>
      </c>
      <c r="DP15" s="65">
        <v>97.488600000000005</v>
      </c>
      <c r="DQ15" s="65">
        <v>97.237200000000001</v>
      </c>
      <c r="DR15" s="13" t="s">
        <v>243</v>
      </c>
      <c r="DS15" t="s">
        <v>243</v>
      </c>
      <c r="DT15" s="103" t="s">
        <v>243</v>
      </c>
      <c r="DU15">
        <v>100.46349334716797</v>
      </c>
      <c r="DV15" t="s">
        <v>243</v>
      </c>
      <c r="DW15">
        <v>1311</v>
      </c>
      <c r="DX15">
        <v>181975</v>
      </c>
      <c r="DY15" t="s">
        <v>243</v>
      </c>
    </row>
    <row r="16" spans="1:129" x14ac:dyDescent="0.25">
      <c r="A16" s="1">
        <v>33208</v>
      </c>
      <c r="B16" s="33"/>
      <c r="C16" s="88">
        <v>8.43</v>
      </c>
      <c r="D16" s="33">
        <v>6</v>
      </c>
      <c r="E16" s="72">
        <v>9.11</v>
      </c>
      <c r="F16" s="33">
        <v>9.02</v>
      </c>
      <c r="G16" s="33">
        <v>8.98</v>
      </c>
      <c r="H16" s="33">
        <v>8.85</v>
      </c>
      <c r="I16" s="33">
        <f t="shared" si="0"/>
        <v>0.41999999999999993</v>
      </c>
      <c r="J16" s="33">
        <f t="shared" si="1"/>
        <v>2.8499999999999996</v>
      </c>
      <c r="K16" s="33">
        <f t="shared" si="2"/>
        <v>-0.25999999999999979</v>
      </c>
      <c r="L16" s="33">
        <f t="shared" si="3"/>
        <v>-2.4299999999999997</v>
      </c>
      <c r="M16" s="33">
        <v>99.7</v>
      </c>
      <c r="N16" s="33">
        <v>1462.58</v>
      </c>
      <c r="O16" s="34" t="s">
        <v>312</v>
      </c>
      <c r="P16" s="34"/>
      <c r="Q16" s="34"/>
      <c r="R16" s="34"/>
      <c r="S16" s="34"/>
      <c r="T16" s="34"/>
      <c r="U16" s="34"/>
      <c r="V16" s="116">
        <v>518395</v>
      </c>
      <c r="W16" s="116">
        <v>1058884</v>
      </c>
      <c r="X16" s="117">
        <v>2573883</v>
      </c>
      <c r="Y16" s="117">
        <v>333479</v>
      </c>
      <c r="Z16" s="34" t="s">
        <v>243</v>
      </c>
      <c r="AA16" s="33">
        <v>56.6</v>
      </c>
      <c r="AB16" s="34" t="s">
        <v>243</v>
      </c>
      <c r="AC16" s="34" t="s">
        <v>243</v>
      </c>
      <c r="AD16" s="34" t="s">
        <v>243</v>
      </c>
      <c r="AE16" s="33">
        <v>5.9</v>
      </c>
      <c r="AF16" s="33">
        <v>318</v>
      </c>
      <c r="AG16" s="33">
        <v>60.3</v>
      </c>
      <c r="AH16" s="34" t="s">
        <v>243</v>
      </c>
      <c r="AI16" s="86" t="s">
        <v>312</v>
      </c>
      <c r="AJ16" s="86">
        <v>86.5</v>
      </c>
      <c r="AK16" s="86">
        <v>85.8</v>
      </c>
      <c r="AL16" s="34" t="s">
        <v>243</v>
      </c>
      <c r="AM16" s="123"/>
      <c r="AN16" s="123">
        <v>12.646196468855649</v>
      </c>
      <c r="AO16" s="123"/>
      <c r="AP16" s="33">
        <v>19.22</v>
      </c>
      <c r="AQ16" s="34" t="s">
        <v>243</v>
      </c>
      <c r="AR16" s="34" t="s">
        <v>243</v>
      </c>
      <c r="AS16" s="34" t="s">
        <v>243</v>
      </c>
      <c r="AT16" s="34" t="s">
        <v>243</v>
      </c>
      <c r="AU16" s="34" t="s">
        <v>243</v>
      </c>
      <c r="AV16" s="34" t="s">
        <v>243</v>
      </c>
      <c r="AW16" s="34" t="s">
        <v>243</v>
      </c>
      <c r="AX16" s="34" t="s">
        <v>243</v>
      </c>
      <c r="AY16" s="34" t="s">
        <v>243</v>
      </c>
      <c r="AZ16" s="34" t="s">
        <v>243</v>
      </c>
      <c r="BA16" s="34" t="s">
        <v>243</v>
      </c>
      <c r="BB16" s="34" t="s">
        <v>243</v>
      </c>
      <c r="BC16" s="34" t="s">
        <v>243</v>
      </c>
      <c r="BD16" s="34" t="s">
        <v>243</v>
      </c>
      <c r="BE16" s="34" t="s">
        <v>243</v>
      </c>
      <c r="BF16" s="34" t="s">
        <v>243</v>
      </c>
      <c r="BG16" s="34" t="s">
        <v>243</v>
      </c>
      <c r="BH16" s="34" t="s">
        <v>243</v>
      </c>
      <c r="BI16" s="34" t="s">
        <v>243</v>
      </c>
      <c r="BJ16" s="34" t="s">
        <v>243</v>
      </c>
      <c r="BK16" s="45" t="s">
        <v>243</v>
      </c>
      <c r="BL16" s="45" t="s">
        <v>243</v>
      </c>
      <c r="BM16" s="65">
        <v>100.75920000000001</v>
      </c>
      <c r="BN16" s="65">
        <v>100.6538</v>
      </c>
      <c r="BO16" s="65">
        <v>7.7</v>
      </c>
      <c r="BP16" s="65">
        <v>-23.7</v>
      </c>
      <c r="BQ16" s="65">
        <v>-6.2</v>
      </c>
      <c r="BR16" s="65">
        <v>14.1</v>
      </c>
      <c r="BS16" s="65">
        <v>15.9</v>
      </c>
      <c r="BT16" s="45" t="s">
        <v>243</v>
      </c>
      <c r="BU16" s="65">
        <v>9.4</v>
      </c>
      <c r="BV16" s="65">
        <v>0</v>
      </c>
      <c r="BW16" s="65">
        <v>-3.7</v>
      </c>
      <c r="BX16" s="65">
        <v>23.3</v>
      </c>
      <c r="BY16" s="65">
        <v>-5.8</v>
      </c>
      <c r="BZ16" s="65">
        <v>113.8</v>
      </c>
      <c r="CA16" s="65">
        <v>-3.7</v>
      </c>
      <c r="CB16" s="65">
        <v>4.0999999999999996</v>
      </c>
      <c r="CC16" s="65">
        <v>3.7</v>
      </c>
      <c r="CD16" s="65">
        <v>-8.9</v>
      </c>
      <c r="CE16" s="65">
        <v>-17</v>
      </c>
      <c r="CF16" s="65">
        <v>28.6</v>
      </c>
      <c r="CG16" s="65">
        <v>56.7</v>
      </c>
      <c r="CH16" s="65">
        <v>36.700000000000003</v>
      </c>
      <c r="CI16" s="65">
        <v>-25</v>
      </c>
      <c r="CJ16" s="65">
        <v>-5.5</v>
      </c>
      <c r="CK16" s="65">
        <v>23.3</v>
      </c>
      <c r="CL16" s="65">
        <v>18.3</v>
      </c>
      <c r="CM16" s="65">
        <v>887.47571400000004</v>
      </c>
      <c r="CN16" s="65">
        <v>2565.59</v>
      </c>
      <c r="CO16" s="65">
        <v>328.80428599999999</v>
      </c>
      <c r="CP16" s="65">
        <v>10.802</v>
      </c>
      <c r="CQ16" s="65">
        <v>8.2200000000000006</v>
      </c>
      <c r="CR16" s="65">
        <v>53.7</v>
      </c>
      <c r="CS16" s="65"/>
      <c r="CT16" s="65">
        <v>91.4</v>
      </c>
      <c r="CU16" s="65">
        <v>92.2</v>
      </c>
      <c r="CV16" s="65"/>
      <c r="CW16" s="65"/>
      <c r="CX16" s="65"/>
      <c r="CY16" s="65">
        <v>1.54</v>
      </c>
      <c r="CZ16" s="65"/>
      <c r="DA16" s="65">
        <v>1.49</v>
      </c>
      <c r="DB16" s="65">
        <v>11.95</v>
      </c>
      <c r="DC16" s="65"/>
      <c r="DD16" s="65"/>
      <c r="DE16" s="65"/>
      <c r="DF16" s="65"/>
      <c r="DG16" s="65"/>
      <c r="DH16" s="65"/>
      <c r="DI16" s="65">
        <v>206.22300000000001</v>
      </c>
      <c r="DJ16" s="65"/>
      <c r="DK16" s="65"/>
      <c r="DL16" s="65"/>
      <c r="DM16" s="65"/>
      <c r="DN16" s="65">
        <v>100.6538</v>
      </c>
      <c r="DO16" s="65">
        <v>100.75920000000001</v>
      </c>
      <c r="DP16" s="65">
        <v>97.384399999999999</v>
      </c>
      <c r="DQ16" s="65">
        <v>97.122500000000002</v>
      </c>
      <c r="DR16" s="104" t="s">
        <v>243</v>
      </c>
      <c r="DS16" s="122" t="s">
        <v>243</v>
      </c>
      <c r="DT16" s="103" t="s">
        <v>243</v>
      </c>
      <c r="DU16">
        <v>97.188140869140625</v>
      </c>
      <c r="DV16" t="s">
        <v>243</v>
      </c>
      <c r="DW16">
        <v>1365</v>
      </c>
      <c r="DX16">
        <v>164500</v>
      </c>
      <c r="DY16" t="s">
        <v>243</v>
      </c>
    </row>
    <row r="17" spans="1:130" x14ac:dyDescent="0.25">
      <c r="A17" s="1">
        <v>33239</v>
      </c>
      <c r="B17" s="33">
        <v>81.5</v>
      </c>
      <c r="C17" s="88">
        <v>8.5299999999999994</v>
      </c>
      <c r="D17" s="33">
        <v>6</v>
      </c>
      <c r="E17" s="72">
        <v>9.27</v>
      </c>
      <c r="F17" s="33">
        <v>9.15</v>
      </c>
      <c r="G17" s="33">
        <v>9.08</v>
      </c>
      <c r="H17" s="33">
        <v>8.94</v>
      </c>
      <c r="I17" s="33">
        <f t="shared" si="0"/>
        <v>0.41000000000000014</v>
      </c>
      <c r="J17" s="33">
        <f t="shared" si="1"/>
        <v>2.9399999999999995</v>
      </c>
      <c r="K17" s="33">
        <f t="shared" si="2"/>
        <v>-0.33000000000000007</v>
      </c>
      <c r="L17" s="33">
        <f t="shared" si="3"/>
        <v>-2.5299999999999994</v>
      </c>
      <c r="M17" s="33">
        <v>98.9</v>
      </c>
      <c r="N17" s="33">
        <v>1398.23</v>
      </c>
      <c r="O17" s="34" t="s">
        <v>312</v>
      </c>
      <c r="P17" s="34" t="s">
        <v>312</v>
      </c>
      <c r="Q17" s="34" t="str">
        <f t="shared" ref="Q17:Q80" si="4">IF(ISNUMBER(P17),IF(ISNUMBER(AH17),P17/AH17,"NA"),"")</f>
        <v/>
      </c>
      <c r="R17" s="71">
        <v>723.03976937747325</v>
      </c>
      <c r="S17" s="34">
        <f t="shared" ref="S17:S80" si="5">IF(ISNUMBER(R17),IF(ISNUMBER(AH17),R17/AH17*100,""),"")</f>
        <v>1164.3152485949649</v>
      </c>
      <c r="T17" s="71">
        <v>758.61071351736712</v>
      </c>
      <c r="U17" s="34">
        <f t="shared" ref="U17:U80" si="6">IF(ISNUMBER(T17),IF(ISNUMBER(AH17),T17/AH17*100,""),"")</f>
        <v>1221.5953518798183</v>
      </c>
      <c r="V17" s="116">
        <v>522043</v>
      </c>
      <c r="W17" s="116">
        <v>1056331</v>
      </c>
      <c r="X17" s="117">
        <v>2583655</v>
      </c>
      <c r="Y17" s="117">
        <v>339483</v>
      </c>
      <c r="Z17" s="33">
        <v>72.5</v>
      </c>
      <c r="AA17" s="33">
        <v>59.1</v>
      </c>
      <c r="AB17" s="33">
        <v>84.4</v>
      </c>
      <c r="AC17" s="33">
        <v>54.6</v>
      </c>
      <c r="AD17" s="33">
        <v>39312</v>
      </c>
      <c r="AE17" s="33">
        <v>5.7</v>
      </c>
      <c r="AF17" s="33">
        <v>322</v>
      </c>
      <c r="AG17" s="33">
        <v>60.5</v>
      </c>
      <c r="AH17" s="33">
        <v>62.1</v>
      </c>
      <c r="AI17" s="33">
        <v>78.8</v>
      </c>
      <c r="AJ17" s="33">
        <v>76.900000000000006</v>
      </c>
      <c r="AK17" s="33">
        <v>151.67048399999999</v>
      </c>
      <c r="AL17" s="33">
        <v>40.799999999999997</v>
      </c>
      <c r="AM17" s="123"/>
      <c r="AN17" s="123">
        <v>11.205218299785363</v>
      </c>
      <c r="AO17" s="123"/>
      <c r="AP17" s="33">
        <v>16.79</v>
      </c>
      <c r="AQ17" s="33">
        <f t="shared" ref="AQ17:AQ80" si="7">AP17/AI17</f>
        <v>0.21307106598984771</v>
      </c>
      <c r="AR17" s="33">
        <v>99.9</v>
      </c>
      <c r="AS17" s="33">
        <v>99.4</v>
      </c>
      <c r="AT17" s="33">
        <v>100.3</v>
      </c>
      <c r="AU17" s="33">
        <v>97.4</v>
      </c>
      <c r="AV17" s="65">
        <v>96.4</v>
      </c>
      <c r="AW17" s="33">
        <v>98.4</v>
      </c>
      <c r="AX17" s="33">
        <v>4.5999999999999996</v>
      </c>
      <c r="AY17" s="33">
        <v>-1</v>
      </c>
      <c r="AZ17" s="33">
        <v>2.8</v>
      </c>
      <c r="BA17" s="33">
        <v>3.3</v>
      </c>
      <c r="BB17" s="33">
        <v>103.6</v>
      </c>
      <c r="BC17" s="33">
        <v>103.5</v>
      </c>
      <c r="BD17" s="33">
        <v>103.7</v>
      </c>
      <c r="BE17" s="33">
        <v>0</v>
      </c>
      <c r="BF17" s="34" t="s">
        <v>243</v>
      </c>
      <c r="BG17" s="34" t="s">
        <v>243</v>
      </c>
      <c r="BH17" s="34" t="s">
        <v>243</v>
      </c>
      <c r="BI17" s="33">
        <v>59.5</v>
      </c>
      <c r="BJ17" s="34" t="s">
        <v>243</v>
      </c>
      <c r="BK17" s="45" t="s">
        <v>243</v>
      </c>
      <c r="BL17" s="45" t="s">
        <v>243</v>
      </c>
      <c r="BM17" s="33">
        <v>100.432</v>
      </c>
      <c r="BN17" s="33">
        <v>100.37260000000001</v>
      </c>
      <c r="BO17" s="33">
        <v>-7.9</v>
      </c>
      <c r="BP17" s="33">
        <v>-34.299999999999997</v>
      </c>
      <c r="BQ17" s="33">
        <v>-1.1000000000000001</v>
      </c>
      <c r="BR17" s="33">
        <v>4.8</v>
      </c>
      <c r="BS17" s="33">
        <v>17.7</v>
      </c>
      <c r="BT17" s="45" t="s">
        <v>243</v>
      </c>
      <c r="BU17" s="33">
        <v>-0.7</v>
      </c>
      <c r="BV17" s="33">
        <v>0</v>
      </c>
      <c r="BW17" s="33">
        <v>-5.8</v>
      </c>
      <c r="BX17" s="33">
        <v>14.7</v>
      </c>
      <c r="BY17" s="33">
        <v>-10.7</v>
      </c>
      <c r="BZ17" s="33">
        <v>106.8</v>
      </c>
      <c r="CA17" s="33">
        <v>-5.8</v>
      </c>
      <c r="CB17" s="33">
        <v>2.7</v>
      </c>
      <c r="CC17" s="33">
        <v>1.7</v>
      </c>
      <c r="CD17" s="33">
        <v>-14.3</v>
      </c>
      <c r="CE17" s="33">
        <v>-22.4</v>
      </c>
      <c r="CF17" s="33">
        <v>28.6</v>
      </c>
      <c r="CG17" s="33">
        <v>67.3</v>
      </c>
      <c r="CH17" s="33">
        <v>37.299999999999997</v>
      </c>
      <c r="CI17" s="33">
        <v>-24</v>
      </c>
      <c r="CJ17" s="33">
        <v>-5.0999999999999996</v>
      </c>
      <c r="CK17" s="33">
        <v>19.600000000000001</v>
      </c>
      <c r="CL17" s="33">
        <v>16.5</v>
      </c>
      <c r="CM17" s="33">
        <v>850.446957</v>
      </c>
      <c r="CN17" s="33">
        <v>2633.66</v>
      </c>
      <c r="CO17" s="33">
        <v>325.691304</v>
      </c>
      <c r="CP17" s="33">
        <v>10.946</v>
      </c>
      <c r="CQ17" s="33">
        <v>8.08</v>
      </c>
      <c r="CR17" s="33">
        <v>55.2</v>
      </c>
      <c r="CS17" s="65"/>
      <c r="CT17" s="33">
        <v>92.5</v>
      </c>
      <c r="CU17" s="33">
        <v>92.7</v>
      </c>
      <c r="CV17" s="33"/>
      <c r="CW17" s="33"/>
      <c r="CX17" s="33"/>
      <c r="CY17" s="33">
        <v>1.76</v>
      </c>
      <c r="CZ17" s="33"/>
      <c r="DA17" s="33">
        <v>1.67</v>
      </c>
      <c r="DB17" s="33">
        <v>14.5</v>
      </c>
      <c r="DC17" s="33"/>
      <c r="DD17" s="33"/>
      <c r="DE17" s="33"/>
      <c r="DF17" s="33"/>
      <c r="DG17" s="33"/>
      <c r="DH17" s="33"/>
      <c r="DI17" s="33">
        <v>180.62</v>
      </c>
      <c r="DJ17" s="33"/>
      <c r="DK17" s="33"/>
      <c r="DL17" s="33"/>
      <c r="DM17" s="33"/>
      <c r="DN17" s="33">
        <v>100.37260000000001</v>
      </c>
      <c r="DO17" s="33">
        <v>100.432</v>
      </c>
      <c r="DP17" s="33">
        <v>97.438400000000001</v>
      </c>
      <c r="DQ17" s="33">
        <v>97.181899999999999</v>
      </c>
      <c r="DR17" s="104">
        <v>1503587</v>
      </c>
      <c r="DS17" s="122" t="s">
        <v>243</v>
      </c>
      <c r="DT17" s="103" t="s">
        <v>243</v>
      </c>
      <c r="DU17">
        <v>83.721221923828125</v>
      </c>
      <c r="DV17" t="s">
        <v>243</v>
      </c>
      <c r="DW17">
        <v>1446</v>
      </c>
      <c r="DX17">
        <v>178650</v>
      </c>
      <c r="DY17" s="102"/>
      <c r="DZ17" s="102"/>
    </row>
    <row r="18" spans="1:130" x14ac:dyDescent="0.25">
      <c r="A18" s="1">
        <v>33270</v>
      </c>
      <c r="B18" s="33">
        <v>79.8</v>
      </c>
      <c r="C18" s="88">
        <v>8.69</v>
      </c>
      <c r="D18" s="33">
        <v>6.5</v>
      </c>
      <c r="E18" s="72">
        <v>9.01</v>
      </c>
      <c r="F18" s="33">
        <v>8.6999999999999993</v>
      </c>
      <c r="G18" s="33">
        <v>8.58</v>
      </c>
      <c r="H18" s="33">
        <v>8.42</v>
      </c>
      <c r="I18" s="33">
        <f t="shared" si="0"/>
        <v>-0.26999999999999957</v>
      </c>
      <c r="J18" s="33">
        <f t="shared" si="1"/>
        <v>1.92</v>
      </c>
      <c r="K18" s="33">
        <f t="shared" si="2"/>
        <v>-0.58999999999999986</v>
      </c>
      <c r="L18" s="33">
        <f t="shared" si="3"/>
        <v>-2.1899999999999995</v>
      </c>
      <c r="M18" s="33">
        <v>99.2</v>
      </c>
      <c r="N18" s="33">
        <v>1426.51</v>
      </c>
      <c r="O18" s="34" t="s">
        <v>312</v>
      </c>
      <c r="P18" s="34" t="s">
        <v>312</v>
      </c>
      <c r="Q18" s="34" t="str">
        <f t="shared" si="4"/>
        <v/>
      </c>
      <c r="R18" s="71">
        <v>731.71662801038246</v>
      </c>
      <c r="S18" s="34">
        <f t="shared" si="5"/>
        <v>1172.6228012986899</v>
      </c>
      <c r="T18" s="71">
        <v>761.94463804939971</v>
      </c>
      <c r="U18" s="34">
        <f t="shared" si="6"/>
        <v>1221.0651250791661</v>
      </c>
      <c r="V18" s="116">
        <v>523573</v>
      </c>
      <c r="W18" s="116">
        <v>1065570</v>
      </c>
      <c r="X18" s="117">
        <v>2601663</v>
      </c>
      <c r="Y18" s="117">
        <v>345873</v>
      </c>
      <c r="Z18" s="33">
        <v>71.5</v>
      </c>
      <c r="AA18" s="33">
        <v>56.6</v>
      </c>
      <c r="AB18" s="33">
        <v>83.7</v>
      </c>
      <c r="AC18" s="33">
        <v>50.7</v>
      </c>
      <c r="AD18" s="33">
        <v>39188</v>
      </c>
      <c r="AE18" s="33">
        <v>5.7</v>
      </c>
      <c r="AF18" s="33">
        <v>318</v>
      </c>
      <c r="AG18" s="33">
        <v>60.6</v>
      </c>
      <c r="AH18" s="33">
        <v>62.4</v>
      </c>
      <c r="AI18" s="33">
        <v>78.2</v>
      </c>
      <c r="AJ18" s="33">
        <v>76.8</v>
      </c>
      <c r="AK18" s="33">
        <v>151.67048399999999</v>
      </c>
      <c r="AL18" s="33">
        <v>41</v>
      </c>
      <c r="AM18" s="123"/>
      <c r="AN18" s="123">
        <v>9.3342552442248721</v>
      </c>
      <c r="AO18" s="123"/>
      <c r="AP18" s="33">
        <v>13.23</v>
      </c>
      <c r="AQ18" s="33">
        <f t="shared" si="7"/>
        <v>0.16918158567774935</v>
      </c>
      <c r="AR18" s="33">
        <v>99.9</v>
      </c>
      <c r="AS18" s="33">
        <v>98.8</v>
      </c>
      <c r="AT18" s="33">
        <v>101.1</v>
      </c>
      <c r="AU18" s="33">
        <v>97.1</v>
      </c>
      <c r="AV18" s="65">
        <v>95.3</v>
      </c>
      <c r="AW18" s="33">
        <v>99</v>
      </c>
      <c r="AX18" s="33">
        <v>3.8</v>
      </c>
      <c r="AY18" s="33">
        <v>-2.1</v>
      </c>
      <c r="AZ18" s="33">
        <v>6.2</v>
      </c>
      <c r="BA18" s="33">
        <v>5</v>
      </c>
      <c r="BB18" s="33">
        <v>102.4</v>
      </c>
      <c r="BC18" s="33">
        <v>102</v>
      </c>
      <c r="BD18" s="33">
        <v>102.8</v>
      </c>
      <c r="BE18" s="33">
        <v>0</v>
      </c>
      <c r="BF18" s="34" t="s">
        <v>243</v>
      </c>
      <c r="BG18" s="34" t="s">
        <v>243</v>
      </c>
      <c r="BH18" s="34" t="s">
        <v>243</v>
      </c>
      <c r="BI18" s="33">
        <v>67.3</v>
      </c>
      <c r="BJ18" s="34" t="s">
        <v>243</v>
      </c>
      <c r="BK18" s="45" t="s">
        <v>243</v>
      </c>
      <c r="BL18" s="45" t="s">
        <v>243</v>
      </c>
      <c r="BM18" s="33">
        <v>100.14</v>
      </c>
      <c r="BN18" s="33">
        <v>100.1217</v>
      </c>
      <c r="BO18" s="33">
        <v>-9</v>
      </c>
      <c r="BP18" s="33">
        <v>-35</v>
      </c>
      <c r="BQ18" s="33">
        <v>3.1</v>
      </c>
      <c r="BR18" s="33">
        <v>5.5</v>
      </c>
      <c r="BS18" s="33">
        <v>17.2</v>
      </c>
      <c r="BT18" s="45" t="s">
        <v>243</v>
      </c>
      <c r="BU18" s="33">
        <v>-2.2000000000000002</v>
      </c>
      <c r="BV18" s="33">
        <v>0</v>
      </c>
      <c r="BW18" s="33">
        <v>-6.7</v>
      </c>
      <c r="BX18" s="33">
        <v>8.5</v>
      </c>
      <c r="BY18" s="33">
        <v>-10.5</v>
      </c>
      <c r="BZ18" s="33">
        <v>104.6</v>
      </c>
      <c r="CA18" s="33">
        <v>-6.7</v>
      </c>
      <c r="CB18" s="33">
        <v>2.2000000000000002</v>
      </c>
      <c r="CC18" s="33">
        <v>0.6</v>
      </c>
      <c r="CD18" s="33">
        <v>-18.600000000000001</v>
      </c>
      <c r="CE18" s="33">
        <v>-25.3</v>
      </c>
      <c r="CF18" s="33">
        <v>27.5</v>
      </c>
      <c r="CG18" s="33">
        <v>70.099999999999994</v>
      </c>
      <c r="CH18" s="33">
        <v>39.9</v>
      </c>
      <c r="CI18" s="33">
        <v>-21.9</v>
      </c>
      <c r="CJ18" s="33">
        <v>-4.2</v>
      </c>
      <c r="CK18" s="33">
        <v>20.6</v>
      </c>
      <c r="CL18" s="33">
        <v>18.100000000000001</v>
      </c>
      <c r="CM18" s="33">
        <v>925.197</v>
      </c>
      <c r="CN18" s="33">
        <v>2730.69</v>
      </c>
      <c r="CO18" s="33">
        <v>362.6035</v>
      </c>
      <c r="CP18" s="33">
        <v>10.225</v>
      </c>
      <c r="CQ18" s="33">
        <v>7.91</v>
      </c>
      <c r="CR18" s="33">
        <v>62</v>
      </c>
      <c r="CS18" s="65"/>
      <c r="CT18" s="33">
        <v>87.5</v>
      </c>
      <c r="CU18" s="33">
        <v>87.9</v>
      </c>
      <c r="CV18" s="33"/>
      <c r="CW18" s="33"/>
      <c r="CX18" s="33"/>
      <c r="CY18" s="33">
        <v>1.75</v>
      </c>
      <c r="CZ18" s="33"/>
      <c r="DA18" s="33">
        <v>1.61</v>
      </c>
      <c r="DB18" s="33">
        <v>12.92</v>
      </c>
      <c r="DC18" s="33"/>
      <c r="DD18" s="33"/>
      <c r="DE18" s="33"/>
      <c r="DF18" s="33"/>
      <c r="DG18" s="33"/>
      <c r="DH18" s="33"/>
      <c r="DI18" s="33">
        <v>96.373000000000005</v>
      </c>
      <c r="DJ18" s="33"/>
      <c r="DK18" s="33"/>
      <c r="DL18" s="33"/>
      <c r="DM18" s="33"/>
      <c r="DN18" s="33">
        <v>100.1217</v>
      </c>
      <c r="DO18" s="33">
        <v>100.14</v>
      </c>
      <c r="DP18" s="33">
        <v>97.635400000000004</v>
      </c>
      <c r="DQ18" s="33">
        <v>97.398600000000002</v>
      </c>
      <c r="DR18" s="104">
        <v>1608500</v>
      </c>
      <c r="DS18" s="122" t="s">
        <v>243</v>
      </c>
      <c r="DT18" s="103" t="s">
        <v>243</v>
      </c>
      <c r="DU18">
        <v>98.123626708984375</v>
      </c>
      <c r="DV18" t="s">
        <v>243</v>
      </c>
      <c r="DW18">
        <v>1482</v>
      </c>
      <c r="DX18">
        <v>188925</v>
      </c>
      <c r="DY18" s="102">
        <f t="shared" ref="DY18:DY49" si="8">DY19-(B18-B17)</f>
        <v>64</v>
      </c>
    </row>
    <row r="19" spans="1:130" x14ac:dyDescent="0.25">
      <c r="A19" s="1">
        <v>33298</v>
      </c>
      <c r="B19" s="33">
        <v>79.8</v>
      </c>
      <c r="C19" s="88">
        <v>8.76</v>
      </c>
      <c r="D19" s="33">
        <v>6.5</v>
      </c>
      <c r="E19" s="72">
        <v>9.02</v>
      </c>
      <c r="F19" s="33">
        <v>8.6</v>
      </c>
      <c r="G19" s="33">
        <v>8.5299999999999994</v>
      </c>
      <c r="H19" s="33">
        <v>8.41</v>
      </c>
      <c r="I19" s="33">
        <f t="shared" si="0"/>
        <v>-0.34999999999999964</v>
      </c>
      <c r="J19" s="33">
        <f t="shared" si="1"/>
        <v>1.9100000000000001</v>
      </c>
      <c r="K19" s="33">
        <f t="shared" si="2"/>
        <v>-0.60999999999999943</v>
      </c>
      <c r="L19" s="33">
        <f t="shared" si="3"/>
        <v>-2.2599999999999998</v>
      </c>
      <c r="M19" s="33">
        <v>97.5</v>
      </c>
      <c r="N19" s="33">
        <v>1516.74</v>
      </c>
      <c r="O19" s="34" t="s">
        <v>312</v>
      </c>
      <c r="P19" s="34" t="s">
        <v>312</v>
      </c>
      <c r="Q19" s="34" t="str">
        <f t="shared" si="4"/>
        <v/>
      </c>
      <c r="R19" s="71">
        <v>734.29108057179508</v>
      </c>
      <c r="S19" s="34">
        <f t="shared" si="5"/>
        <v>1171.118150832209</v>
      </c>
      <c r="T19" s="71">
        <v>764.8975426349142</v>
      </c>
      <c r="U19" s="34">
        <f t="shared" si="6"/>
        <v>1219.9322849041691</v>
      </c>
      <c r="V19" s="116">
        <v>535336</v>
      </c>
      <c r="W19" s="116">
        <v>1059848</v>
      </c>
      <c r="X19" s="117">
        <v>2601696</v>
      </c>
      <c r="Y19" s="117">
        <v>352747</v>
      </c>
      <c r="Z19" s="33">
        <v>71.099999999999994</v>
      </c>
      <c r="AA19" s="33">
        <v>57.6</v>
      </c>
      <c r="AB19" s="33">
        <v>83.5</v>
      </c>
      <c r="AC19" s="33">
        <v>53.1</v>
      </c>
      <c r="AD19" s="33">
        <v>39064</v>
      </c>
      <c r="AE19" s="33">
        <v>5.6</v>
      </c>
      <c r="AF19" s="33">
        <v>323</v>
      </c>
      <c r="AG19" s="33">
        <v>60.6</v>
      </c>
      <c r="AH19" s="33">
        <v>62.7</v>
      </c>
      <c r="AI19" s="33">
        <v>78.599999999999994</v>
      </c>
      <c r="AJ19" s="33">
        <v>76.8</v>
      </c>
      <c r="AK19" s="33">
        <v>151.31444999999999</v>
      </c>
      <c r="AL19" s="33">
        <v>41.5</v>
      </c>
      <c r="AM19" s="123"/>
      <c r="AN19" s="123">
        <v>10.20582727004105</v>
      </c>
      <c r="AO19" s="123"/>
      <c r="AP19" s="33">
        <v>14.55</v>
      </c>
      <c r="AQ19" s="33">
        <f t="shared" si="7"/>
        <v>0.18511450381679392</v>
      </c>
      <c r="AR19" s="33">
        <v>98.7</v>
      </c>
      <c r="AS19" s="33">
        <v>98.7</v>
      </c>
      <c r="AT19" s="33">
        <v>98.7</v>
      </c>
      <c r="AU19" s="33">
        <v>94.9</v>
      </c>
      <c r="AV19" s="65">
        <v>95.5</v>
      </c>
      <c r="AW19" s="33">
        <v>94.3</v>
      </c>
      <c r="AX19" s="33">
        <v>5.0999999999999996</v>
      </c>
      <c r="AY19" s="33">
        <v>2.9</v>
      </c>
      <c r="AZ19" s="33">
        <v>-2.5</v>
      </c>
      <c r="BA19" s="33">
        <v>-1.4</v>
      </c>
      <c r="BB19" s="33">
        <v>103</v>
      </c>
      <c r="BC19" s="33">
        <v>101.5</v>
      </c>
      <c r="BD19" s="33">
        <v>104.6</v>
      </c>
      <c r="BE19" s="33">
        <v>0</v>
      </c>
      <c r="BF19" s="34" t="s">
        <v>243</v>
      </c>
      <c r="BG19" s="34" t="s">
        <v>243</v>
      </c>
      <c r="BH19" s="34" t="s">
        <v>243</v>
      </c>
      <c r="BI19" s="33">
        <v>9.8000000000000007</v>
      </c>
      <c r="BJ19" s="34" t="s">
        <v>243</v>
      </c>
      <c r="BK19" s="45" t="s">
        <v>243</v>
      </c>
      <c r="BL19" s="45" t="s">
        <v>243</v>
      </c>
      <c r="BM19" s="33">
        <v>99.924599999999998</v>
      </c>
      <c r="BN19" s="33">
        <v>99.936700000000002</v>
      </c>
      <c r="BO19" s="33">
        <v>-16.100000000000001</v>
      </c>
      <c r="BP19" s="33">
        <v>-42</v>
      </c>
      <c r="BQ19" s="33">
        <v>4.0999999999999996</v>
      </c>
      <c r="BR19" s="33">
        <v>3.3</v>
      </c>
      <c r="BS19" s="33">
        <v>13.7</v>
      </c>
      <c r="BT19" s="45" t="s">
        <v>243</v>
      </c>
      <c r="BU19" s="33">
        <v>-5.6</v>
      </c>
      <c r="BV19" s="33">
        <v>0</v>
      </c>
      <c r="BW19" s="33">
        <v>-10.199999999999999</v>
      </c>
      <c r="BX19" s="33">
        <v>11.2</v>
      </c>
      <c r="BY19" s="33">
        <v>-14.7</v>
      </c>
      <c r="BZ19" s="33">
        <v>100.8</v>
      </c>
      <c r="CA19" s="33">
        <v>-10.199999999999999</v>
      </c>
      <c r="CB19" s="33">
        <v>-1.5</v>
      </c>
      <c r="CC19" s="33">
        <v>-5.8</v>
      </c>
      <c r="CD19" s="33">
        <v>-25.7</v>
      </c>
      <c r="CE19" s="33">
        <v>-26.4</v>
      </c>
      <c r="CF19" s="33">
        <v>31.3</v>
      </c>
      <c r="CG19" s="33">
        <v>72.7</v>
      </c>
      <c r="CH19" s="33">
        <v>43.7</v>
      </c>
      <c r="CI19" s="33">
        <v>-17.899999999999999</v>
      </c>
      <c r="CJ19" s="33">
        <v>-7.3</v>
      </c>
      <c r="CK19" s="33">
        <v>16</v>
      </c>
      <c r="CL19" s="33">
        <v>16.899999999999999</v>
      </c>
      <c r="CM19" s="33">
        <v>973.74285699999996</v>
      </c>
      <c r="CN19" s="33">
        <v>2909.9</v>
      </c>
      <c r="CO19" s="33">
        <v>372.41904799999998</v>
      </c>
      <c r="CP19" s="33">
        <v>10.257999999999999</v>
      </c>
      <c r="CQ19" s="33">
        <v>8.1199999999999992</v>
      </c>
      <c r="CR19" s="33">
        <v>84.5</v>
      </c>
      <c r="CS19" s="65"/>
      <c r="CT19" s="33">
        <v>87.6</v>
      </c>
      <c r="CU19" s="33">
        <v>89.2</v>
      </c>
      <c r="CV19" s="33"/>
      <c r="CW19" s="33"/>
      <c r="CX19" s="33"/>
      <c r="CY19" s="33">
        <v>1.81</v>
      </c>
      <c r="CZ19" s="33"/>
      <c r="DA19" s="33">
        <v>1.56</v>
      </c>
      <c r="DB19" s="33">
        <v>13.28</v>
      </c>
      <c r="DC19" s="33"/>
      <c r="DD19" s="33"/>
      <c r="DE19" s="33"/>
      <c r="DF19" s="33"/>
      <c r="DG19" s="33"/>
      <c r="DH19" s="33"/>
      <c r="DI19" s="33">
        <v>153.06700000000001</v>
      </c>
      <c r="DJ19" s="33"/>
      <c r="DK19" s="33"/>
      <c r="DL19" s="33"/>
      <c r="DM19" s="33"/>
      <c r="DN19" s="33">
        <v>99.936700000000002</v>
      </c>
      <c r="DO19" s="33">
        <v>99.924599999999998</v>
      </c>
      <c r="DP19" s="33">
        <v>97.927999999999997</v>
      </c>
      <c r="DQ19" s="33">
        <v>97.720500000000001</v>
      </c>
      <c r="DR19" s="104">
        <v>1661337</v>
      </c>
      <c r="DS19" s="122" t="s">
        <v>243</v>
      </c>
      <c r="DT19" s="103" t="s">
        <v>243</v>
      </c>
      <c r="DU19">
        <v>105.46522521972656</v>
      </c>
      <c r="DV19" t="s">
        <v>243</v>
      </c>
      <c r="DW19">
        <v>1707</v>
      </c>
      <c r="DX19">
        <v>202775</v>
      </c>
      <c r="DY19" s="102">
        <f t="shared" si="8"/>
        <v>62.3</v>
      </c>
    </row>
    <row r="20" spans="1:130" x14ac:dyDescent="0.25">
      <c r="A20" s="1">
        <v>33329</v>
      </c>
      <c r="B20" s="33">
        <v>79.099999999999994</v>
      </c>
      <c r="C20" s="88">
        <v>8.85</v>
      </c>
      <c r="D20" s="33">
        <v>6.5</v>
      </c>
      <c r="E20" s="72">
        <v>9.120000000000001</v>
      </c>
      <c r="F20" s="33">
        <v>8.6300000000000008</v>
      </c>
      <c r="G20" s="33">
        <v>8.51</v>
      </c>
      <c r="H20" s="33">
        <v>8.39</v>
      </c>
      <c r="I20" s="33">
        <f t="shared" si="0"/>
        <v>-0.45999999999999908</v>
      </c>
      <c r="J20" s="33">
        <f t="shared" si="1"/>
        <v>1.8900000000000006</v>
      </c>
      <c r="K20" s="33">
        <f t="shared" si="2"/>
        <v>-0.73000000000000043</v>
      </c>
      <c r="L20" s="33">
        <f t="shared" si="3"/>
        <v>-2.3499999999999996</v>
      </c>
      <c r="M20" s="33">
        <v>95.5</v>
      </c>
      <c r="N20" s="33">
        <v>1522.8</v>
      </c>
      <c r="O20" s="34" t="s">
        <v>312</v>
      </c>
      <c r="P20" s="34" t="s">
        <v>312</v>
      </c>
      <c r="Q20" s="34" t="str">
        <f t="shared" si="4"/>
        <v/>
      </c>
      <c r="R20" s="71">
        <v>734.29108057179508</v>
      </c>
      <c r="S20" s="34">
        <f t="shared" si="5"/>
        <v>1167.3944047246343</v>
      </c>
      <c r="T20" s="71">
        <v>765.46907255469125</v>
      </c>
      <c r="U20" s="34">
        <f t="shared" si="6"/>
        <v>1216.9619595464089</v>
      </c>
      <c r="V20" s="116">
        <v>537646</v>
      </c>
      <c r="W20" s="116">
        <v>1064370</v>
      </c>
      <c r="X20" s="117">
        <v>2615487</v>
      </c>
      <c r="Y20" s="117">
        <v>353804</v>
      </c>
      <c r="Z20" s="33">
        <v>70.8</v>
      </c>
      <c r="AA20" s="33">
        <v>56</v>
      </c>
      <c r="AB20" s="33">
        <v>82.5</v>
      </c>
      <c r="AC20" s="33">
        <v>50.5</v>
      </c>
      <c r="AD20" s="33">
        <v>39056</v>
      </c>
      <c r="AE20" s="33">
        <v>5.6</v>
      </c>
      <c r="AF20" s="33">
        <v>325</v>
      </c>
      <c r="AG20" s="33">
        <v>60.9</v>
      </c>
      <c r="AH20" s="33">
        <v>62.9</v>
      </c>
      <c r="AI20" s="33">
        <v>79.400000000000006</v>
      </c>
      <c r="AJ20" s="33">
        <v>77.2</v>
      </c>
      <c r="AK20" s="33">
        <v>152.56056899999999</v>
      </c>
      <c r="AL20" s="33">
        <v>43.1</v>
      </c>
      <c r="AM20" s="123"/>
      <c r="AN20" s="123">
        <v>11.107999846398272</v>
      </c>
      <c r="AO20" s="123"/>
      <c r="AP20" s="33">
        <v>15.16</v>
      </c>
      <c r="AQ20" s="33">
        <f t="shared" si="7"/>
        <v>0.19093198992443325</v>
      </c>
      <c r="AR20" s="33">
        <v>98.7</v>
      </c>
      <c r="AS20" s="33">
        <v>99.5</v>
      </c>
      <c r="AT20" s="33">
        <v>97.9</v>
      </c>
      <c r="AU20" s="33">
        <v>95.4</v>
      </c>
      <c r="AV20" s="65">
        <v>97.2</v>
      </c>
      <c r="AW20" s="33">
        <v>93.7</v>
      </c>
      <c r="AX20" s="33">
        <v>4.0999999999999996</v>
      </c>
      <c r="AY20" s="33">
        <v>4.8</v>
      </c>
      <c r="AZ20" s="33">
        <v>-4.3</v>
      </c>
      <c r="BA20" s="33">
        <v>3.5</v>
      </c>
      <c r="BB20" s="33">
        <v>104.2</v>
      </c>
      <c r="BC20" s="33">
        <v>101.1</v>
      </c>
      <c r="BD20" s="33">
        <v>107.5</v>
      </c>
      <c r="BE20" s="33">
        <v>0</v>
      </c>
      <c r="BF20" s="34" t="s">
        <v>243</v>
      </c>
      <c r="BG20" s="34" t="s">
        <v>243</v>
      </c>
      <c r="BH20" s="34" t="s">
        <v>243</v>
      </c>
      <c r="BI20" s="33">
        <v>3.9</v>
      </c>
      <c r="BJ20" s="34" t="s">
        <v>243</v>
      </c>
      <c r="BK20" s="45" t="s">
        <v>243</v>
      </c>
      <c r="BL20" s="45" t="s">
        <v>243</v>
      </c>
      <c r="BM20" s="33">
        <v>99.799599999999998</v>
      </c>
      <c r="BN20" s="33">
        <v>99.829400000000007</v>
      </c>
      <c r="BO20" s="33">
        <v>-18</v>
      </c>
      <c r="BP20" s="33">
        <v>-41.6</v>
      </c>
      <c r="BQ20" s="33">
        <v>6.1</v>
      </c>
      <c r="BR20" s="33">
        <v>3.9</v>
      </c>
      <c r="BS20" s="33">
        <v>12.8</v>
      </c>
      <c r="BT20" s="45" t="s">
        <v>243</v>
      </c>
      <c r="BU20" s="33">
        <v>-6.7</v>
      </c>
      <c r="BV20" s="33">
        <v>0</v>
      </c>
      <c r="BW20" s="33">
        <v>-8</v>
      </c>
      <c r="BX20" s="33">
        <v>10.199999999999999</v>
      </c>
      <c r="BY20" s="33">
        <v>-17.3</v>
      </c>
      <c r="BZ20" s="33">
        <v>101.1</v>
      </c>
      <c r="CA20" s="33">
        <v>-8</v>
      </c>
      <c r="CB20" s="33">
        <v>0.1</v>
      </c>
      <c r="CC20" s="33">
        <v>-0.2</v>
      </c>
      <c r="CD20" s="33">
        <v>-23.3</v>
      </c>
      <c r="CE20" s="33">
        <v>-24.2</v>
      </c>
      <c r="CF20" s="33">
        <v>32.299999999999997</v>
      </c>
      <c r="CG20" s="33">
        <v>62.7</v>
      </c>
      <c r="CH20" s="33">
        <v>46.5</v>
      </c>
      <c r="CI20" s="33">
        <v>-20</v>
      </c>
      <c r="CJ20" s="33">
        <v>-7.8</v>
      </c>
      <c r="CK20" s="33">
        <v>16.600000000000001</v>
      </c>
      <c r="CL20" s="33">
        <v>16.7</v>
      </c>
      <c r="CM20" s="33">
        <v>1000.921818</v>
      </c>
      <c r="CN20" s="33">
        <v>2881.19</v>
      </c>
      <c r="CO20" s="33">
        <v>379.67909100000003</v>
      </c>
      <c r="CP20" s="33">
        <v>10.138999999999999</v>
      </c>
      <c r="CQ20" s="33">
        <v>8.07</v>
      </c>
      <c r="CR20" s="33">
        <v>74.7</v>
      </c>
      <c r="CS20" s="65"/>
      <c r="CT20" s="33">
        <v>89</v>
      </c>
      <c r="CU20" s="33">
        <v>89.9</v>
      </c>
      <c r="CV20" s="33"/>
      <c r="CW20" s="33"/>
      <c r="CX20" s="33"/>
      <c r="CY20" s="33">
        <v>1.72</v>
      </c>
      <c r="CZ20" s="33"/>
      <c r="DA20" s="33">
        <v>1.96</v>
      </c>
      <c r="DB20" s="33">
        <v>12.25</v>
      </c>
      <c r="DC20" s="33"/>
      <c r="DD20" s="33"/>
      <c r="DE20" s="33"/>
      <c r="DF20" s="33"/>
      <c r="DG20" s="33"/>
      <c r="DH20" s="33"/>
      <c r="DI20" s="33">
        <v>139.874</v>
      </c>
      <c r="DJ20" s="33"/>
      <c r="DK20" s="33"/>
      <c r="DL20" s="33"/>
      <c r="DM20" s="33"/>
      <c r="DN20" s="33">
        <v>99.829400000000007</v>
      </c>
      <c r="DO20" s="33">
        <v>99.799599999999998</v>
      </c>
      <c r="DP20" s="33">
        <v>98.261300000000006</v>
      </c>
      <c r="DQ20" s="33">
        <v>98.087100000000007</v>
      </c>
      <c r="DR20" s="104">
        <v>1736153</v>
      </c>
      <c r="DS20" s="122" t="s">
        <v>243</v>
      </c>
      <c r="DT20" s="103" t="s">
        <v>243</v>
      </c>
      <c r="DU20">
        <v>98.64007568359375</v>
      </c>
      <c r="DV20" t="s">
        <v>243</v>
      </c>
      <c r="DW20">
        <v>1609</v>
      </c>
      <c r="DX20">
        <v>213925</v>
      </c>
      <c r="DY20" s="102">
        <f t="shared" si="8"/>
        <v>62.3</v>
      </c>
    </row>
    <row r="21" spans="1:130" x14ac:dyDescent="0.25">
      <c r="A21" s="1">
        <v>33359</v>
      </c>
      <c r="B21" s="33">
        <v>78.2</v>
      </c>
      <c r="C21" s="88">
        <v>8.58</v>
      </c>
      <c r="D21" s="33">
        <v>6.5</v>
      </c>
      <c r="E21" s="72">
        <v>9</v>
      </c>
      <c r="F21" s="33">
        <v>8.65</v>
      </c>
      <c r="G21" s="33">
        <v>8.5</v>
      </c>
      <c r="H21" s="33">
        <v>8.39</v>
      </c>
      <c r="I21" s="33">
        <f t="shared" si="0"/>
        <v>-0.1899999999999995</v>
      </c>
      <c r="J21" s="33">
        <f t="shared" si="1"/>
        <v>1.8900000000000006</v>
      </c>
      <c r="K21" s="33">
        <f t="shared" si="2"/>
        <v>-0.60999999999999943</v>
      </c>
      <c r="L21" s="33">
        <f t="shared" si="3"/>
        <v>-2.08</v>
      </c>
      <c r="M21" s="33">
        <v>95.6</v>
      </c>
      <c r="N21" s="33">
        <v>1605.79</v>
      </c>
      <c r="O21" s="34" t="s">
        <v>312</v>
      </c>
      <c r="P21" s="34" t="s">
        <v>312</v>
      </c>
      <c r="Q21" s="34" t="str">
        <f t="shared" si="4"/>
        <v/>
      </c>
      <c r="R21" s="71">
        <v>742.10978835090009</v>
      </c>
      <c r="S21" s="34">
        <f t="shared" si="5"/>
        <v>1177.9520450014286</v>
      </c>
      <c r="T21" s="71">
        <v>768.70774210009438</v>
      </c>
      <c r="U21" s="34">
        <f t="shared" si="6"/>
        <v>1220.1710192064991</v>
      </c>
      <c r="V21" s="116">
        <v>544088</v>
      </c>
      <c r="W21" s="116">
        <v>1070969</v>
      </c>
      <c r="X21" s="117">
        <v>2630099</v>
      </c>
      <c r="Y21" s="117">
        <v>356860</v>
      </c>
      <c r="Z21" s="33">
        <v>70.099999999999994</v>
      </c>
      <c r="AA21" s="33">
        <v>55.7</v>
      </c>
      <c r="AB21" s="33">
        <v>82.1</v>
      </c>
      <c r="AC21" s="33">
        <v>50.8</v>
      </c>
      <c r="AD21" s="33">
        <v>39020</v>
      </c>
      <c r="AE21" s="33">
        <v>5.6</v>
      </c>
      <c r="AF21" s="33">
        <v>326</v>
      </c>
      <c r="AG21" s="33">
        <v>60.9</v>
      </c>
      <c r="AH21" s="33">
        <v>63</v>
      </c>
      <c r="AI21" s="33">
        <v>79.3</v>
      </c>
      <c r="AJ21" s="33">
        <v>77.099999999999994</v>
      </c>
      <c r="AK21" s="33">
        <v>152.738586</v>
      </c>
      <c r="AL21" s="33">
        <v>43.3</v>
      </c>
      <c r="AM21" s="123"/>
      <c r="AN21" s="123">
        <v>11.402428757989552</v>
      </c>
      <c r="AO21" s="123"/>
      <c r="AP21" s="33">
        <v>15.23</v>
      </c>
      <c r="AQ21" s="33">
        <f t="shared" si="7"/>
        <v>0.19205548549810847</v>
      </c>
      <c r="AR21" s="33">
        <v>97.5</v>
      </c>
      <c r="AS21" s="33">
        <v>99.5</v>
      </c>
      <c r="AT21" s="33">
        <v>95.5</v>
      </c>
      <c r="AU21" s="33">
        <v>94.8</v>
      </c>
      <c r="AV21" s="65">
        <v>97.6</v>
      </c>
      <c r="AW21" s="33">
        <v>92.1</v>
      </c>
      <c r="AX21" s="33">
        <v>3</v>
      </c>
      <c r="AY21" s="33">
        <v>7.6</v>
      </c>
      <c r="AZ21" s="33">
        <v>-4.5999999999999996</v>
      </c>
      <c r="BA21" s="33">
        <v>4.8</v>
      </c>
      <c r="BB21" s="33">
        <v>101.4</v>
      </c>
      <c r="BC21" s="33">
        <v>100.3</v>
      </c>
      <c r="BD21" s="33">
        <v>102.4</v>
      </c>
      <c r="BE21" s="33">
        <v>0</v>
      </c>
      <c r="BF21" s="34" t="s">
        <v>243</v>
      </c>
      <c r="BG21" s="34" t="s">
        <v>243</v>
      </c>
      <c r="BH21" s="34" t="s">
        <v>243</v>
      </c>
      <c r="BI21" s="33">
        <v>1.3</v>
      </c>
      <c r="BJ21" s="34" t="s">
        <v>243</v>
      </c>
      <c r="BK21" s="45" t="s">
        <v>243</v>
      </c>
      <c r="BL21" s="45" t="s">
        <v>243</v>
      </c>
      <c r="BM21" s="33">
        <v>99.743300000000005</v>
      </c>
      <c r="BN21" s="33">
        <v>99.780900000000003</v>
      </c>
      <c r="BO21" s="33">
        <v>-20.6</v>
      </c>
      <c r="BP21" s="33">
        <v>-41.1</v>
      </c>
      <c r="BQ21" s="33">
        <v>8.1999999999999993</v>
      </c>
      <c r="BR21" s="33">
        <v>6.5</v>
      </c>
      <c r="BS21" s="33">
        <v>13.5</v>
      </c>
      <c r="BT21" s="45" t="s">
        <v>243</v>
      </c>
      <c r="BU21" s="33">
        <v>-7.4</v>
      </c>
      <c r="BV21" s="33">
        <v>0</v>
      </c>
      <c r="BW21" s="33">
        <v>-6.9</v>
      </c>
      <c r="BX21" s="33">
        <v>2.5</v>
      </c>
      <c r="BY21" s="33">
        <v>-17.899999999999999</v>
      </c>
      <c r="BZ21" s="33">
        <v>100.9</v>
      </c>
      <c r="CA21" s="33">
        <v>-6.9</v>
      </c>
      <c r="CB21" s="33">
        <v>1.1000000000000001</v>
      </c>
      <c r="CC21" s="33">
        <v>1.1000000000000001</v>
      </c>
      <c r="CD21" s="33">
        <v>-26.6</v>
      </c>
      <c r="CE21" s="33">
        <v>-23.8</v>
      </c>
      <c r="CF21" s="33">
        <v>34.799999999999997</v>
      </c>
      <c r="CG21" s="33">
        <v>66.099999999999994</v>
      </c>
      <c r="CH21" s="33">
        <v>47</v>
      </c>
      <c r="CI21" s="33">
        <v>-19</v>
      </c>
      <c r="CJ21" s="33">
        <v>-5.9</v>
      </c>
      <c r="CK21" s="33">
        <v>17.100000000000001</v>
      </c>
      <c r="CL21" s="33">
        <v>15.7</v>
      </c>
      <c r="CM21" s="33">
        <v>1018.562609</v>
      </c>
      <c r="CN21" s="33">
        <v>2930.2</v>
      </c>
      <c r="CO21" s="33">
        <v>377.97086999999999</v>
      </c>
      <c r="CP21" s="33">
        <v>10.189</v>
      </c>
      <c r="CQ21" s="33">
        <v>8.01</v>
      </c>
      <c r="CR21" s="33">
        <v>71.5</v>
      </c>
      <c r="CS21" s="65"/>
      <c r="CT21" s="33">
        <v>89.3</v>
      </c>
      <c r="CU21" s="33">
        <v>90.3</v>
      </c>
      <c r="CV21" s="33"/>
      <c r="CW21" s="33"/>
      <c r="CX21" s="33"/>
      <c r="CY21" s="33">
        <v>1.69</v>
      </c>
      <c r="CZ21" s="33"/>
      <c r="DA21" s="33">
        <v>1.93</v>
      </c>
      <c r="DB21" s="33">
        <v>13.89</v>
      </c>
      <c r="DC21" s="33"/>
      <c r="DD21" s="33"/>
      <c r="DE21" s="33"/>
      <c r="DF21" s="33"/>
      <c r="DG21" s="33"/>
      <c r="DH21" s="33"/>
      <c r="DI21" s="33">
        <v>206.37899999999999</v>
      </c>
      <c r="DJ21" s="33"/>
      <c r="DK21" s="33"/>
      <c r="DL21" s="33"/>
      <c r="DM21" s="33"/>
      <c r="DN21" s="33">
        <v>99.780900000000003</v>
      </c>
      <c r="DO21" s="33">
        <v>99.743300000000005</v>
      </c>
      <c r="DP21" s="33">
        <v>98.596400000000003</v>
      </c>
      <c r="DQ21" s="33">
        <v>98.455699999999993</v>
      </c>
      <c r="DR21" s="104">
        <v>1682910</v>
      </c>
      <c r="DS21" s="122" t="s">
        <v>243</v>
      </c>
      <c r="DT21" s="103" t="s">
        <v>243</v>
      </c>
      <c r="DU21">
        <v>94.920875549316406</v>
      </c>
      <c r="DV21" t="s">
        <v>243</v>
      </c>
      <c r="DW21">
        <v>1624</v>
      </c>
      <c r="DX21">
        <v>233075</v>
      </c>
      <c r="DY21" s="102">
        <f t="shared" si="8"/>
        <v>61.599999999999994</v>
      </c>
    </row>
    <row r="22" spans="1:130" x14ac:dyDescent="0.25">
      <c r="A22" s="1">
        <v>33390</v>
      </c>
      <c r="B22" s="33">
        <v>80.599999999999994</v>
      </c>
      <c r="C22" s="88">
        <v>8.7900000000000009</v>
      </c>
      <c r="D22" s="33">
        <v>6.5</v>
      </c>
      <c r="E22" s="72">
        <v>8.99</v>
      </c>
      <c r="F22" s="33">
        <v>8.61</v>
      </c>
      <c r="G22" s="33">
        <v>8.48</v>
      </c>
      <c r="H22" s="33">
        <v>8.39</v>
      </c>
      <c r="I22" s="33">
        <f t="shared" si="0"/>
        <v>-0.40000000000000036</v>
      </c>
      <c r="J22" s="33">
        <f t="shared" si="1"/>
        <v>1.8900000000000006</v>
      </c>
      <c r="K22" s="33">
        <f t="shared" si="2"/>
        <v>-0.59999999999999964</v>
      </c>
      <c r="L22" s="33">
        <f t="shared" si="3"/>
        <v>-2.2900000000000009</v>
      </c>
      <c r="M22" s="33">
        <v>95.2</v>
      </c>
      <c r="N22" s="33">
        <v>1694.11</v>
      </c>
      <c r="O22" s="34" t="s">
        <v>312</v>
      </c>
      <c r="P22" s="34" t="s">
        <v>312</v>
      </c>
      <c r="Q22" s="34" t="str">
        <f t="shared" si="4"/>
        <v/>
      </c>
      <c r="R22" s="71">
        <v>745.63774186098397</v>
      </c>
      <c r="S22" s="34">
        <f t="shared" si="5"/>
        <v>1177.9427201595324</v>
      </c>
      <c r="T22" s="71">
        <v>771.37488172572057</v>
      </c>
      <c r="U22" s="34">
        <f t="shared" si="6"/>
        <v>1218.6017088873944</v>
      </c>
      <c r="V22" s="116">
        <v>550106</v>
      </c>
      <c r="W22" s="116">
        <v>1073039</v>
      </c>
      <c r="X22" s="117">
        <v>2639742</v>
      </c>
      <c r="Y22" s="117">
        <v>363860</v>
      </c>
      <c r="Z22" s="33">
        <v>72.3</v>
      </c>
      <c r="AA22" s="33">
        <v>56.6</v>
      </c>
      <c r="AB22" s="33">
        <v>85.9</v>
      </c>
      <c r="AC22" s="33">
        <v>51.6</v>
      </c>
      <c r="AD22" s="33">
        <v>38924</v>
      </c>
      <c r="AE22" s="33">
        <v>5.6</v>
      </c>
      <c r="AF22" s="33">
        <v>328</v>
      </c>
      <c r="AG22" s="33">
        <v>61.4</v>
      </c>
      <c r="AH22" s="33">
        <v>63.3</v>
      </c>
      <c r="AI22" s="33">
        <v>79.599999999999994</v>
      </c>
      <c r="AJ22" s="33">
        <v>77.2</v>
      </c>
      <c r="AK22" s="33">
        <v>152.91660300000001</v>
      </c>
      <c r="AL22" s="33">
        <v>43.3</v>
      </c>
      <c r="AM22" s="123"/>
      <c r="AN22" s="123">
        <v>11.273442007333562</v>
      </c>
      <c r="AO22" s="123"/>
      <c r="AP22" s="33">
        <v>14.95</v>
      </c>
      <c r="AQ22" s="33">
        <f t="shared" si="7"/>
        <v>0.18781407035175879</v>
      </c>
      <c r="AR22" s="33">
        <v>97.5</v>
      </c>
      <c r="AS22" s="33">
        <v>98.3</v>
      </c>
      <c r="AT22" s="33">
        <v>96.6</v>
      </c>
      <c r="AU22" s="33">
        <v>94.4</v>
      </c>
      <c r="AV22" s="65">
        <v>96.1</v>
      </c>
      <c r="AW22" s="33">
        <v>92.7</v>
      </c>
      <c r="AX22" s="33">
        <v>0.7</v>
      </c>
      <c r="AY22" s="33">
        <v>3.9</v>
      </c>
      <c r="AZ22" s="33">
        <v>-6.4</v>
      </c>
      <c r="BA22" s="33">
        <v>5.3</v>
      </c>
      <c r="BB22" s="33">
        <v>101.8</v>
      </c>
      <c r="BC22" s="33">
        <v>99</v>
      </c>
      <c r="BD22" s="33">
        <v>104.6</v>
      </c>
      <c r="BE22" s="33">
        <v>0</v>
      </c>
      <c r="BF22" s="34" t="s">
        <v>243</v>
      </c>
      <c r="BG22" s="34" t="s">
        <v>243</v>
      </c>
      <c r="BH22" s="34" t="s">
        <v>243</v>
      </c>
      <c r="BI22" s="33">
        <v>4.3</v>
      </c>
      <c r="BJ22" s="34" t="s">
        <v>243</v>
      </c>
      <c r="BK22" s="45" t="s">
        <v>243</v>
      </c>
      <c r="BL22" s="45" t="s">
        <v>243</v>
      </c>
      <c r="BM22" s="33">
        <v>99.727800000000002</v>
      </c>
      <c r="BN22" s="33">
        <v>99.767600000000002</v>
      </c>
      <c r="BO22" s="33">
        <v>-20.2</v>
      </c>
      <c r="BP22" s="33">
        <v>-44.3</v>
      </c>
      <c r="BQ22" s="33">
        <v>6.8</v>
      </c>
      <c r="BR22" s="33">
        <v>5.6</v>
      </c>
      <c r="BS22" s="33">
        <v>11.8</v>
      </c>
      <c r="BT22" s="45" t="s">
        <v>243</v>
      </c>
      <c r="BU22" s="33">
        <v>-7.1</v>
      </c>
      <c r="BV22" s="33">
        <v>0</v>
      </c>
      <c r="BW22" s="33">
        <v>-7.7</v>
      </c>
      <c r="BX22" s="33">
        <v>4</v>
      </c>
      <c r="BY22" s="33">
        <v>-17.899999999999999</v>
      </c>
      <c r="BZ22" s="33">
        <v>100.6</v>
      </c>
      <c r="CA22" s="33">
        <v>-7.7</v>
      </c>
      <c r="CB22" s="33">
        <v>-0.2</v>
      </c>
      <c r="CC22" s="33">
        <v>-1.2</v>
      </c>
      <c r="CD22" s="33">
        <v>-26.2</v>
      </c>
      <c r="CE22" s="33">
        <v>-23.9</v>
      </c>
      <c r="CF22" s="33">
        <v>35.200000000000003</v>
      </c>
      <c r="CG22" s="33">
        <v>65</v>
      </c>
      <c r="CH22" s="33">
        <v>46.1</v>
      </c>
      <c r="CI22" s="33">
        <v>-20.9</v>
      </c>
      <c r="CJ22" s="33">
        <v>-5.7</v>
      </c>
      <c r="CK22" s="33">
        <v>15.6</v>
      </c>
      <c r="CL22" s="33">
        <v>17.5</v>
      </c>
      <c r="CM22" s="33">
        <v>1034.729</v>
      </c>
      <c r="CN22" s="33">
        <v>3035.33</v>
      </c>
      <c r="CO22" s="33">
        <v>378.29300000000001</v>
      </c>
      <c r="CP22" s="33">
        <v>10.446</v>
      </c>
      <c r="CQ22" s="33">
        <v>8.14</v>
      </c>
      <c r="CR22" s="33">
        <v>75.900000000000006</v>
      </c>
      <c r="CS22" s="65"/>
      <c r="CT22" s="33">
        <v>90.1</v>
      </c>
      <c r="CU22" s="33">
        <v>84.9</v>
      </c>
      <c r="CV22" s="33"/>
      <c r="CW22" s="33"/>
      <c r="CX22" s="33"/>
      <c r="CY22" s="33">
        <v>1.67</v>
      </c>
      <c r="CZ22" s="33"/>
      <c r="DA22" s="33">
        <v>1.81</v>
      </c>
      <c r="DB22" s="33">
        <v>13.71</v>
      </c>
      <c r="DC22" s="33"/>
      <c r="DD22" s="33"/>
      <c r="DE22" s="33"/>
      <c r="DF22" s="33"/>
      <c r="DG22" s="33"/>
      <c r="DH22" s="33"/>
      <c r="DI22" s="33">
        <v>123.372</v>
      </c>
      <c r="DJ22" s="33"/>
      <c r="DK22" s="33"/>
      <c r="DL22" s="33"/>
      <c r="DM22" s="33"/>
      <c r="DN22" s="33">
        <v>99.767600000000002</v>
      </c>
      <c r="DO22" s="33">
        <v>99.727800000000002</v>
      </c>
      <c r="DP22" s="33">
        <v>98.902799999999999</v>
      </c>
      <c r="DQ22" s="33">
        <v>98.7928</v>
      </c>
      <c r="DR22" s="104">
        <v>1692308</v>
      </c>
      <c r="DS22" s="122" t="s">
        <v>243</v>
      </c>
      <c r="DT22" s="103" t="s">
        <v>243</v>
      </c>
      <c r="DU22">
        <v>122.41663360595703</v>
      </c>
      <c r="DV22" t="s">
        <v>243</v>
      </c>
      <c r="DW22">
        <v>1758</v>
      </c>
      <c r="DX22">
        <v>274925</v>
      </c>
      <c r="DY22" s="102">
        <f t="shared" si="8"/>
        <v>60.7</v>
      </c>
    </row>
    <row r="23" spans="1:130" x14ac:dyDescent="0.25">
      <c r="A23" s="1">
        <v>33420</v>
      </c>
      <c r="B23" s="33">
        <v>79</v>
      </c>
      <c r="C23" s="88">
        <v>8.83</v>
      </c>
      <c r="D23" s="33">
        <v>6.5</v>
      </c>
      <c r="E23" s="72">
        <v>9.1</v>
      </c>
      <c r="F23" s="33">
        <v>8.92</v>
      </c>
      <c r="G23" s="33">
        <v>8.77</v>
      </c>
      <c r="H23" s="33">
        <v>8.61</v>
      </c>
      <c r="I23" s="33">
        <f t="shared" si="0"/>
        <v>-0.22000000000000064</v>
      </c>
      <c r="J23" s="33">
        <f t="shared" si="1"/>
        <v>2.1099999999999994</v>
      </c>
      <c r="K23" s="33">
        <f t="shared" si="2"/>
        <v>-0.49000000000000021</v>
      </c>
      <c r="L23" s="33">
        <f t="shared" si="3"/>
        <v>-2.33</v>
      </c>
      <c r="M23" s="33">
        <v>96.2</v>
      </c>
      <c r="N23" s="33">
        <v>1625.2</v>
      </c>
      <c r="O23" s="34" t="s">
        <v>312</v>
      </c>
      <c r="P23" s="34" t="s">
        <v>312</v>
      </c>
      <c r="Q23" s="34" t="str">
        <f t="shared" si="4"/>
        <v/>
      </c>
      <c r="R23" s="71">
        <v>754.88670106309587</v>
      </c>
      <c r="S23" s="34">
        <f t="shared" si="5"/>
        <v>1186.9287752564401</v>
      </c>
      <c r="T23" s="71">
        <v>775.47084615078916</v>
      </c>
      <c r="U23" s="34">
        <f t="shared" si="6"/>
        <v>1219.2937832559578</v>
      </c>
      <c r="V23" s="116">
        <v>548615</v>
      </c>
      <c r="W23" s="116">
        <v>1080404</v>
      </c>
      <c r="X23" s="117">
        <v>2650528</v>
      </c>
      <c r="Y23" s="117">
        <v>374950</v>
      </c>
      <c r="Z23" s="33">
        <v>70.900000000000006</v>
      </c>
      <c r="AA23" s="33">
        <v>55.1</v>
      </c>
      <c r="AB23" s="33">
        <v>79.8</v>
      </c>
      <c r="AC23" s="33">
        <v>50.5</v>
      </c>
      <c r="AD23" s="33">
        <v>38790</v>
      </c>
      <c r="AE23" s="33">
        <v>5.7</v>
      </c>
      <c r="AF23" s="33">
        <v>327</v>
      </c>
      <c r="AG23" s="33">
        <v>61.9</v>
      </c>
      <c r="AH23" s="33">
        <v>63.6</v>
      </c>
      <c r="AI23" s="33">
        <v>79.7</v>
      </c>
      <c r="AJ23" s="33">
        <v>77.400000000000006</v>
      </c>
      <c r="AK23" s="33">
        <v>153.98470499999999</v>
      </c>
      <c r="AL23" s="33">
        <v>58.3</v>
      </c>
      <c r="AM23" s="123"/>
      <c r="AN23" s="123">
        <v>11.878358407727069</v>
      </c>
      <c r="AO23" s="123"/>
      <c r="AP23" s="33">
        <v>16.059999999999999</v>
      </c>
      <c r="AQ23" s="33">
        <f t="shared" si="7"/>
        <v>0.20150564617314928</v>
      </c>
      <c r="AR23" s="33">
        <v>96.8</v>
      </c>
      <c r="AS23" s="33">
        <v>98.2</v>
      </c>
      <c r="AT23" s="33">
        <v>95.4</v>
      </c>
      <c r="AU23" s="33">
        <v>94.1</v>
      </c>
      <c r="AV23" s="65">
        <v>96.4</v>
      </c>
      <c r="AW23" s="33">
        <v>91.8</v>
      </c>
      <c r="AX23" s="33">
        <v>1.5</v>
      </c>
      <c r="AY23" s="33">
        <v>-2.2999999999999998</v>
      </c>
      <c r="AZ23" s="33">
        <v>-9</v>
      </c>
      <c r="BA23" s="33">
        <v>3.9</v>
      </c>
      <c r="BB23" s="33">
        <v>99.9</v>
      </c>
      <c r="BC23" s="33">
        <v>99.1</v>
      </c>
      <c r="BD23" s="33">
        <v>100.7</v>
      </c>
      <c r="BE23" s="33">
        <v>0</v>
      </c>
      <c r="BF23" s="34" t="s">
        <v>243</v>
      </c>
      <c r="BG23" s="34" t="s">
        <v>243</v>
      </c>
      <c r="BH23" s="34" t="s">
        <v>243</v>
      </c>
      <c r="BI23" s="33">
        <v>0.4</v>
      </c>
      <c r="BJ23" s="34" t="s">
        <v>243</v>
      </c>
      <c r="BK23" s="45" t="s">
        <v>243</v>
      </c>
      <c r="BL23" s="45" t="s">
        <v>243</v>
      </c>
      <c r="BM23" s="33">
        <v>99.730400000000003</v>
      </c>
      <c r="BN23" s="33">
        <v>99.769800000000004</v>
      </c>
      <c r="BO23" s="33">
        <v>-21.9</v>
      </c>
      <c r="BP23" s="33">
        <v>-47.1</v>
      </c>
      <c r="BQ23" s="33">
        <v>9.1</v>
      </c>
      <c r="BR23" s="33">
        <v>4.5999999999999996</v>
      </c>
      <c r="BS23" s="33">
        <v>11.4</v>
      </c>
      <c r="BT23" s="45" t="s">
        <v>243</v>
      </c>
      <c r="BU23" s="33">
        <v>-8.8000000000000007</v>
      </c>
      <c r="BV23" s="33">
        <v>0</v>
      </c>
      <c r="BW23" s="33">
        <v>-13.8</v>
      </c>
      <c r="BX23" s="33">
        <v>2.7</v>
      </c>
      <c r="BY23" s="33">
        <v>-17.100000000000001</v>
      </c>
      <c r="BZ23" s="33">
        <v>96.3</v>
      </c>
      <c r="CA23" s="33">
        <v>-13.8</v>
      </c>
      <c r="CB23" s="33">
        <v>-9.3000000000000007</v>
      </c>
      <c r="CC23" s="33">
        <v>-8.8000000000000007</v>
      </c>
      <c r="CD23" s="33">
        <v>-38</v>
      </c>
      <c r="CE23" s="33">
        <v>-28.3</v>
      </c>
      <c r="CF23" s="33">
        <v>49.3</v>
      </c>
      <c r="CG23" s="33">
        <v>69.2</v>
      </c>
      <c r="CH23" s="33">
        <v>45.8</v>
      </c>
      <c r="CI23" s="33">
        <v>-26.5</v>
      </c>
      <c r="CJ23" s="33">
        <v>-8.8000000000000007</v>
      </c>
      <c r="CK23" s="33">
        <v>8.1</v>
      </c>
      <c r="CL23" s="33">
        <v>13.2</v>
      </c>
      <c r="CM23" s="33">
        <v>999.448261</v>
      </c>
      <c r="CN23" s="33">
        <v>2958.41</v>
      </c>
      <c r="CO23" s="33">
        <v>379.927391</v>
      </c>
      <c r="CP23" s="33">
        <v>10.487</v>
      </c>
      <c r="CQ23" s="33">
        <v>8.26</v>
      </c>
      <c r="CR23" s="33">
        <v>74.400000000000006</v>
      </c>
      <c r="CS23" s="65"/>
      <c r="CT23" s="33">
        <v>89.5</v>
      </c>
      <c r="CU23" s="33">
        <v>86.6</v>
      </c>
      <c r="CV23" s="33"/>
      <c r="CW23" s="33"/>
      <c r="CX23" s="33"/>
      <c r="CY23" s="33">
        <v>1.75</v>
      </c>
      <c r="CZ23" s="33"/>
      <c r="DA23" s="33">
        <v>2.19</v>
      </c>
      <c r="DB23" s="33">
        <v>13.91</v>
      </c>
      <c r="DC23" s="33"/>
      <c r="DD23" s="33"/>
      <c r="DE23" s="33"/>
      <c r="DF23" s="33"/>
      <c r="DG23" s="33"/>
      <c r="DH23" s="33"/>
      <c r="DI23" s="33">
        <v>242.4</v>
      </c>
      <c r="DJ23" s="33"/>
      <c r="DK23" s="33"/>
      <c r="DL23" s="33"/>
      <c r="DM23" s="33"/>
      <c r="DN23" s="33">
        <v>99.769800000000004</v>
      </c>
      <c r="DO23" s="33">
        <v>99.730400000000003</v>
      </c>
      <c r="DP23" s="33">
        <v>99.137799999999999</v>
      </c>
      <c r="DQ23" s="33">
        <v>99.051299999999998</v>
      </c>
      <c r="DR23" s="104">
        <v>1436143</v>
      </c>
      <c r="DS23" s="122" t="s">
        <v>243</v>
      </c>
      <c r="DT23" s="103" t="s">
        <v>243</v>
      </c>
      <c r="DU23">
        <v>80.28399658203125</v>
      </c>
      <c r="DV23" t="s">
        <v>243</v>
      </c>
      <c r="DW23">
        <v>1699</v>
      </c>
      <c r="DX23">
        <v>264875</v>
      </c>
      <c r="DY23" s="102">
        <f t="shared" si="8"/>
        <v>63.099999999999994</v>
      </c>
    </row>
    <row r="24" spans="1:130" x14ac:dyDescent="0.25">
      <c r="A24" s="1">
        <v>33451</v>
      </c>
      <c r="B24" s="33">
        <v>77.599999999999994</v>
      </c>
      <c r="C24" s="88">
        <v>8.93</v>
      </c>
      <c r="D24" s="33">
        <v>7.5</v>
      </c>
      <c r="E24" s="72">
        <v>9.25</v>
      </c>
      <c r="F24" s="33">
        <v>8.93</v>
      </c>
      <c r="G24" s="33">
        <v>8.76</v>
      </c>
      <c r="H24" s="33">
        <v>8.56</v>
      </c>
      <c r="I24" s="33">
        <f t="shared" si="0"/>
        <v>-0.36999999999999922</v>
      </c>
      <c r="J24" s="33">
        <f t="shared" si="1"/>
        <v>1.0600000000000005</v>
      </c>
      <c r="K24" s="33">
        <f t="shared" si="2"/>
        <v>-0.6899999999999995</v>
      </c>
      <c r="L24" s="33">
        <f t="shared" si="3"/>
        <v>-1.4299999999999997</v>
      </c>
      <c r="M24" s="33">
        <v>96.5</v>
      </c>
      <c r="N24" s="33">
        <v>1622.56</v>
      </c>
      <c r="O24" s="34" t="s">
        <v>312</v>
      </c>
      <c r="P24" s="34" t="s">
        <v>312</v>
      </c>
      <c r="Q24" s="34" t="str">
        <f t="shared" si="4"/>
        <v/>
      </c>
      <c r="R24" s="71">
        <v>762.70540884220088</v>
      </c>
      <c r="S24" s="34">
        <f t="shared" si="5"/>
        <v>1195.4630232636378</v>
      </c>
      <c r="T24" s="71">
        <v>780.32885046889385</v>
      </c>
      <c r="U24" s="34">
        <f t="shared" si="6"/>
        <v>1223.0859725217772</v>
      </c>
      <c r="V24" s="116">
        <v>550402</v>
      </c>
      <c r="W24" s="116">
        <v>1083755</v>
      </c>
      <c r="X24" s="117">
        <v>2665240</v>
      </c>
      <c r="Y24" s="117">
        <v>384774</v>
      </c>
      <c r="Z24" s="33">
        <v>69.5</v>
      </c>
      <c r="AA24" s="33">
        <v>58.2</v>
      </c>
      <c r="AB24" s="33">
        <v>80.599999999999994</v>
      </c>
      <c r="AC24" s="33">
        <v>55.6</v>
      </c>
      <c r="AD24" s="33">
        <v>38630</v>
      </c>
      <c r="AE24" s="33">
        <v>5.7</v>
      </c>
      <c r="AF24" s="33">
        <v>326</v>
      </c>
      <c r="AG24" s="33">
        <v>62.2</v>
      </c>
      <c r="AH24" s="33">
        <v>63.8</v>
      </c>
      <c r="AI24" s="33">
        <v>79.400000000000006</v>
      </c>
      <c r="AJ24" s="33">
        <v>77.3</v>
      </c>
      <c r="AK24" s="33">
        <v>153.80668800000001</v>
      </c>
      <c r="AL24" s="33">
        <v>44</v>
      </c>
      <c r="AM24" s="123"/>
      <c r="AN24" s="123">
        <v>11.826260344535283</v>
      </c>
      <c r="AO24" s="123"/>
      <c r="AP24" s="33">
        <v>15.96</v>
      </c>
      <c r="AQ24" s="33">
        <f t="shared" si="7"/>
        <v>0.20100755667506298</v>
      </c>
      <c r="AR24" s="33">
        <v>96.3</v>
      </c>
      <c r="AS24" s="33">
        <v>98.4</v>
      </c>
      <c r="AT24" s="33">
        <v>94.2</v>
      </c>
      <c r="AU24" s="33">
        <v>93.8</v>
      </c>
      <c r="AV24" s="65">
        <v>97.3</v>
      </c>
      <c r="AW24" s="33">
        <v>90.5</v>
      </c>
      <c r="AX24" s="33">
        <v>2.4</v>
      </c>
      <c r="AY24" s="33">
        <v>-3.4</v>
      </c>
      <c r="AZ24" s="33">
        <v>-6.5</v>
      </c>
      <c r="BA24" s="33">
        <v>2.2999999999999998</v>
      </c>
      <c r="BB24" s="33">
        <v>99.4</v>
      </c>
      <c r="BC24" s="33">
        <v>99</v>
      </c>
      <c r="BD24" s="33">
        <v>99.9</v>
      </c>
      <c r="BE24" s="33">
        <v>0</v>
      </c>
      <c r="BF24" s="34" t="s">
        <v>243</v>
      </c>
      <c r="BG24" s="34" t="s">
        <v>243</v>
      </c>
      <c r="BH24" s="34" t="s">
        <v>243</v>
      </c>
      <c r="BI24" s="33">
        <v>0.2</v>
      </c>
      <c r="BJ24" s="34" t="s">
        <v>243</v>
      </c>
      <c r="BK24" s="45" t="s">
        <v>243</v>
      </c>
      <c r="BL24" s="45" t="s">
        <v>243</v>
      </c>
      <c r="BM24" s="33">
        <v>99.750699999999995</v>
      </c>
      <c r="BN24" s="33">
        <v>99.787300000000002</v>
      </c>
      <c r="BO24" s="33">
        <v>-24.1</v>
      </c>
      <c r="BP24" s="33">
        <v>-41.9</v>
      </c>
      <c r="BQ24" s="33">
        <v>10.6</v>
      </c>
      <c r="BR24" s="33">
        <v>3.5</v>
      </c>
      <c r="BS24" s="33">
        <v>10.6</v>
      </c>
      <c r="BT24" s="45" t="s">
        <v>243</v>
      </c>
      <c r="BU24" s="33">
        <v>-10.4</v>
      </c>
      <c r="BV24" s="33">
        <v>0</v>
      </c>
      <c r="BW24" s="33">
        <v>-14.2</v>
      </c>
      <c r="BX24" s="33">
        <v>-4.0999999999999996</v>
      </c>
      <c r="BY24" s="33">
        <v>-14.7</v>
      </c>
      <c r="BZ24" s="33">
        <v>94.9</v>
      </c>
      <c r="CA24" s="33">
        <v>-14.2</v>
      </c>
      <c r="CB24" s="33">
        <v>-11.9</v>
      </c>
      <c r="CC24" s="33">
        <v>-7.5</v>
      </c>
      <c r="CD24" s="33">
        <v>-39.1</v>
      </c>
      <c r="CE24" s="33">
        <v>-27.8</v>
      </c>
      <c r="CF24" s="33">
        <v>52.9</v>
      </c>
      <c r="CG24" s="33">
        <v>68.5</v>
      </c>
      <c r="CH24" s="33">
        <v>45.7</v>
      </c>
      <c r="CI24" s="33">
        <v>-24.4</v>
      </c>
      <c r="CJ24" s="33">
        <v>-9.8000000000000007</v>
      </c>
      <c r="CK24" s="33">
        <v>8.1</v>
      </c>
      <c r="CL24" s="33">
        <v>11.5</v>
      </c>
      <c r="CM24" s="33">
        <v>1001.564545</v>
      </c>
      <c r="CN24" s="33">
        <v>3017.67</v>
      </c>
      <c r="CO24" s="33">
        <v>389.40318200000002</v>
      </c>
      <c r="CP24" s="33">
        <v>10.119999999999999</v>
      </c>
      <c r="CQ24" s="33">
        <v>8.1999999999999993</v>
      </c>
      <c r="CR24" s="33">
        <v>75.3</v>
      </c>
      <c r="CS24" s="65"/>
      <c r="CT24" s="33">
        <v>91.6</v>
      </c>
      <c r="CU24" s="33">
        <v>93.8</v>
      </c>
      <c r="CV24" s="33"/>
      <c r="CW24" s="33"/>
      <c r="CX24" s="33"/>
      <c r="CY24" s="33">
        <v>1.98</v>
      </c>
      <c r="CZ24" s="33"/>
      <c r="DA24" s="33">
        <v>1.85</v>
      </c>
      <c r="DB24" s="33">
        <v>13.3</v>
      </c>
      <c r="DC24" s="33"/>
      <c r="DD24" s="33"/>
      <c r="DE24" s="33"/>
      <c r="DF24" s="33"/>
      <c r="DG24" s="33"/>
      <c r="DH24" s="33"/>
      <c r="DI24" s="33">
        <v>152.226</v>
      </c>
      <c r="DJ24" s="33"/>
      <c r="DK24" s="33"/>
      <c r="DL24" s="33"/>
      <c r="DM24" s="33"/>
      <c r="DN24" s="33">
        <v>99.787300000000002</v>
      </c>
      <c r="DO24" s="33">
        <v>99.750699999999995</v>
      </c>
      <c r="DP24" s="33">
        <v>99.265900000000002</v>
      </c>
      <c r="DQ24" s="33">
        <v>99.1922</v>
      </c>
      <c r="DR24" s="104">
        <v>1298686</v>
      </c>
      <c r="DS24" s="122" t="s">
        <v>243</v>
      </c>
      <c r="DT24" s="103" t="s">
        <v>243</v>
      </c>
      <c r="DU24">
        <v>79.842155456542969</v>
      </c>
      <c r="DV24" t="s">
        <v>243</v>
      </c>
      <c r="DW24">
        <v>1460</v>
      </c>
      <c r="DX24">
        <v>266500</v>
      </c>
      <c r="DY24" s="102">
        <f t="shared" si="8"/>
        <v>61.5</v>
      </c>
    </row>
    <row r="25" spans="1:130" x14ac:dyDescent="0.25">
      <c r="A25" s="1">
        <v>33482</v>
      </c>
      <c r="B25" s="33">
        <v>77.2</v>
      </c>
      <c r="C25" s="88">
        <v>9.07</v>
      </c>
      <c r="D25" s="33">
        <v>7.5</v>
      </c>
      <c r="E25" s="72">
        <v>9.2200000000000006</v>
      </c>
      <c r="F25" s="33">
        <v>8.82</v>
      </c>
      <c r="G25" s="33">
        <v>8.64</v>
      </c>
      <c r="H25" s="33">
        <v>8.4499999999999993</v>
      </c>
      <c r="I25" s="33">
        <f t="shared" si="0"/>
        <v>-0.62000000000000099</v>
      </c>
      <c r="J25" s="33">
        <f t="shared" si="1"/>
        <v>0.94999999999999929</v>
      </c>
      <c r="K25" s="33">
        <f t="shared" si="2"/>
        <v>-0.77000000000000135</v>
      </c>
      <c r="L25" s="33">
        <f t="shared" si="3"/>
        <v>-1.5700000000000003</v>
      </c>
      <c r="M25" s="33">
        <v>97.1</v>
      </c>
      <c r="N25" s="33">
        <v>1650.46</v>
      </c>
      <c r="O25" s="34" t="s">
        <v>312</v>
      </c>
      <c r="P25" s="34" t="s">
        <v>312</v>
      </c>
      <c r="Q25" s="34" t="str">
        <f t="shared" si="4"/>
        <v/>
      </c>
      <c r="R25" s="71">
        <v>765.37521149848055</v>
      </c>
      <c r="S25" s="34">
        <f t="shared" si="5"/>
        <v>1197.7702840351808</v>
      </c>
      <c r="T25" s="71">
        <v>784.23430492070349</v>
      </c>
      <c r="U25" s="34">
        <f t="shared" si="6"/>
        <v>1227.2837322702715</v>
      </c>
      <c r="V25" s="116">
        <v>552996</v>
      </c>
      <c r="W25" s="116">
        <v>1081506</v>
      </c>
      <c r="X25" s="117">
        <v>2672023</v>
      </c>
      <c r="Y25" s="117">
        <v>392180</v>
      </c>
      <c r="Z25" s="33">
        <v>69.900000000000006</v>
      </c>
      <c r="AA25" s="33">
        <v>55.3</v>
      </c>
      <c r="AB25" s="33">
        <v>80.7</v>
      </c>
      <c r="AC25" s="33">
        <v>50.6</v>
      </c>
      <c r="AD25" s="33">
        <v>38580</v>
      </c>
      <c r="AE25" s="33">
        <v>5.7</v>
      </c>
      <c r="AF25" s="33">
        <v>327</v>
      </c>
      <c r="AG25" s="33">
        <v>62.3</v>
      </c>
      <c r="AH25" s="33">
        <v>63.9</v>
      </c>
      <c r="AI25" s="33">
        <v>78.7</v>
      </c>
      <c r="AJ25" s="33">
        <v>77.3</v>
      </c>
      <c r="AK25" s="33">
        <v>154.34073900000001</v>
      </c>
      <c r="AL25" s="33">
        <v>44.1</v>
      </c>
      <c r="AM25" s="123"/>
      <c r="AN25" s="123">
        <v>11.826260344535283</v>
      </c>
      <c r="AO25" s="123"/>
      <c r="AP25" s="33">
        <v>16.13</v>
      </c>
      <c r="AQ25" s="33">
        <f t="shared" si="7"/>
        <v>0.20495552731893263</v>
      </c>
      <c r="AR25" s="33">
        <v>96.1</v>
      </c>
      <c r="AS25" s="33">
        <v>98.3</v>
      </c>
      <c r="AT25" s="33">
        <v>94</v>
      </c>
      <c r="AU25" s="33">
        <v>93.5</v>
      </c>
      <c r="AV25" s="65">
        <v>96.5</v>
      </c>
      <c r="AW25" s="33">
        <v>90.5</v>
      </c>
      <c r="AX25" s="33">
        <v>4.8</v>
      </c>
      <c r="AY25" s="33">
        <v>-4</v>
      </c>
      <c r="AZ25" s="33">
        <v>-8.9</v>
      </c>
      <c r="BA25" s="33">
        <v>3.6</v>
      </c>
      <c r="BB25" s="33">
        <v>99.4</v>
      </c>
      <c r="BC25" s="33">
        <v>97.3</v>
      </c>
      <c r="BD25" s="33">
        <v>101.5</v>
      </c>
      <c r="BE25" s="33">
        <v>0</v>
      </c>
      <c r="BF25" s="34" t="s">
        <v>243</v>
      </c>
      <c r="BG25" s="34" t="s">
        <v>243</v>
      </c>
      <c r="BH25" s="34" t="s">
        <v>243</v>
      </c>
      <c r="BI25" s="33">
        <v>1</v>
      </c>
      <c r="BJ25" s="34" t="s">
        <v>243</v>
      </c>
      <c r="BK25" s="45" t="s">
        <v>243</v>
      </c>
      <c r="BL25" s="45" t="s">
        <v>243</v>
      </c>
      <c r="BM25" s="33">
        <v>99.779300000000006</v>
      </c>
      <c r="BN25" s="33">
        <v>99.811899999999994</v>
      </c>
      <c r="BO25" s="33">
        <v>-25.3</v>
      </c>
      <c r="BP25" s="33">
        <v>-42</v>
      </c>
      <c r="BQ25" s="33">
        <v>10.5</v>
      </c>
      <c r="BR25" s="33">
        <v>0.9</v>
      </c>
      <c r="BS25" s="33">
        <v>11.4</v>
      </c>
      <c r="BT25" s="45" t="s">
        <v>243</v>
      </c>
      <c r="BU25" s="33">
        <v>-11.7</v>
      </c>
      <c r="BV25" s="33">
        <v>0</v>
      </c>
      <c r="BW25" s="33">
        <v>-12.2</v>
      </c>
      <c r="BX25" s="33">
        <v>-7.3</v>
      </c>
      <c r="BY25" s="33">
        <v>-15.6</v>
      </c>
      <c r="BZ25" s="33">
        <v>95</v>
      </c>
      <c r="CA25" s="33">
        <v>-12.2</v>
      </c>
      <c r="CB25" s="33">
        <v>-10</v>
      </c>
      <c r="CC25" s="33">
        <v>-5.0999999999999996</v>
      </c>
      <c r="CD25" s="33">
        <v>-39.9</v>
      </c>
      <c r="CE25" s="33">
        <v>-26.4</v>
      </c>
      <c r="CF25" s="33">
        <v>50.6</v>
      </c>
      <c r="CG25" s="33">
        <v>62.8</v>
      </c>
      <c r="CH25" s="33">
        <v>29.4</v>
      </c>
      <c r="CI25" s="33">
        <v>-26.6</v>
      </c>
      <c r="CJ25" s="33">
        <v>-7.5</v>
      </c>
      <c r="CK25" s="33">
        <v>11.7</v>
      </c>
      <c r="CL25" s="33">
        <v>13</v>
      </c>
      <c r="CM25" s="33">
        <v>1011.490952</v>
      </c>
      <c r="CN25" s="33">
        <v>3043.6</v>
      </c>
      <c r="CO25" s="33">
        <v>387.59095200000002</v>
      </c>
      <c r="CP25" s="33">
        <v>9.8740000000000006</v>
      </c>
      <c r="CQ25" s="33">
        <v>7.82</v>
      </c>
      <c r="CR25" s="33">
        <v>76.400000000000006</v>
      </c>
      <c r="CS25" s="65"/>
      <c r="CT25" s="33">
        <v>93.9</v>
      </c>
      <c r="CU25" s="33">
        <v>91.5</v>
      </c>
      <c r="CV25" s="33"/>
      <c r="CW25" s="33"/>
      <c r="CX25" s="33"/>
      <c r="CY25" s="33">
        <v>1.84</v>
      </c>
      <c r="CZ25" s="33"/>
      <c r="DA25" s="33">
        <v>1.92</v>
      </c>
      <c r="DB25" s="33">
        <v>13.1</v>
      </c>
      <c r="DC25" s="33"/>
      <c r="DD25" s="33"/>
      <c r="DE25" s="33"/>
      <c r="DF25" s="33"/>
      <c r="DG25" s="33"/>
      <c r="DH25" s="33"/>
      <c r="DI25" s="33">
        <v>173.072</v>
      </c>
      <c r="DJ25" s="33"/>
      <c r="DK25" s="33"/>
      <c r="DL25" s="33"/>
      <c r="DM25" s="33"/>
      <c r="DN25" s="33">
        <v>99.811899999999994</v>
      </c>
      <c r="DO25" s="33">
        <v>99.779300000000006</v>
      </c>
      <c r="DP25" s="33">
        <v>99.293000000000006</v>
      </c>
      <c r="DQ25" s="33">
        <v>99.221900000000005</v>
      </c>
      <c r="DR25" s="104">
        <v>1214134</v>
      </c>
      <c r="DS25" s="122" t="s">
        <v>243</v>
      </c>
      <c r="DT25" s="103" t="s">
        <v>243</v>
      </c>
      <c r="DU25">
        <v>62.662559509277344</v>
      </c>
      <c r="DV25" t="s">
        <v>243</v>
      </c>
      <c r="DW25">
        <v>1548</v>
      </c>
      <c r="DX25">
        <v>307050</v>
      </c>
      <c r="DY25" s="102">
        <f t="shared" si="8"/>
        <v>60.099999999999994</v>
      </c>
    </row>
    <row r="26" spans="1:130" x14ac:dyDescent="0.25">
      <c r="A26" s="1">
        <v>33512</v>
      </c>
      <c r="B26" s="33">
        <v>78.8</v>
      </c>
      <c r="C26" s="88">
        <v>8.7799999999999994</v>
      </c>
      <c r="D26" s="33">
        <v>7.5</v>
      </c>
      <c r="E26" s="72">
        <v>9.33</v>
      </c>
      <c r="F26" s="33">
        <v>8.76</v>
      </c>
      <c r="G26" s="33">
        <v>8.5399999999999991</v>
      </c>
      <c r="H26" s="33">
        <v>8.36</v>
      </c>
      <c r="I26" s="33">
        <f t="shared" si="0"/>
        <v>-0.41999999999999993</v>
      </c>
      <c r="J26" s="33">
        <f t="shared" si="1"/>
        <v>0.85999999999999943</v>
      </c>
      <c r="K26" s="33">
        <f t="shared" si="2"/>
        <v>-0.97000000000000064</v>
      </c>
      <c r="L26" s="33">
        <f t="shared" si="3"/>
        <v>-1.2799999999999994</v>
      </c>
      <c r="M26" s="33">
        <v>96.9</v>
      </c>
      <c r="N26" s="33">
        <v>1609.62</v>
      </c>
      <c r="O26" s="34" t="s">
        <v>312</v>
      </c>
      <c r="P26" s="34" t="s">
        <v>312</v>
      </c>
      <c r="Q26" s="34" t="str">
        <f t="shared" si="4"/>
        <v/>
      </c>
      <c r="R26" s="71">
        <v>771.76366785457856</v>
      </c>
      <c r="S26" s="34">
        <f t="shared" si="5"/>
        <v>1185.5048661360656</v>
      </c>
      <c r="T26" s="71">
        <v>789.47332918532618</v>
      </c>
      <c r="U26" s="34">
        <f t="shared" si="6"/>
        <v>1212.7086469820681</v>
      </c>
      <c r="V26" s="116">
        <v>561700</v>
      </c>
      <c r="W26" s="116">
        <v>1081901</v>
      </c>
      <c r="X26" s="117">
        <v>2683318</v>
      </c>
      <c r="Y26" s="117">
        <v>399998</v>
      </c>
      <c r="Z26" s="33">
        <v>70.7</v>
      </c>
      <c r="AA26" s="33">
        <v>56.4</v>
      </c>
      <c r="AB26" s="33">
        <v>83.5</v>
      </c>
      <c r="AC26" s="33">
        <v>51.4</v>
      </c>
      <c r="AD26" s="33">
        <v>38635</v>
      </c>
      <c r="AE26" s="33">
        <v>5.7</v>
      </c>
      <c r="AF26" s="33">
        <v>327</v>
      </c>
      <c r="AG26" s="33">
        <v>63.5</v>
      </c>
      <c r="AH26" s="33">
        <v>65.099999999999994</v>
      </c>
      <c r="AI26" s="33">
        <v>78.8</v>
      </c>
      <c r="AJ26" s="33">
        <v>77.3</v>
      </c>
      <c r="AK26" s="33">
        <v>154.34073900000001</v>
      </c>
      <c r="AL26" s="33">
        <v>44.3</v>
      </c>
      <c r="AM26" s="123"/>
      <c r="AN26" s="123">
        <v>12.637044150661815</v>
      </c>
      <c r="AO26" s="123"/>
      <c r="AP26" s="33">
        <v>17.39</v>
      </c>
      <c r="AQ26" s="33">
        <f t="shared" si="7"/>
        <v>0.22068527918781727</v>
      </c>
      <c r="AR26" s="33">
        <v>96.5</v>
      </c>
      <c r="AS26" s="33">
        <v>98.9</v>
      </c>
      <c r="AT26" s="33">
        <v>94.2</v>
      </c>
      <c r="AU26" s="33">
        <v>93.5</v>
      </c>
      <c r="AV26" s="65">
        <v>97.2</v>
      </c>
      <c r="AW26" s="33">
        <v>90</v>
      </c>
      <c r="AX26" s="33">
        <v>3.6</v>
      </c>
      <c r="AY26" s="33">
        <v>2.4</v>
      </c>
      <c r="AZ26" s="33">
        <v>-4.5</v>
      </c>
      <c r="BA26" s="33">
        <v>5.7</v>
      </c>
      <c r="BB26" s="33">
        <v>100</v>
      </c>
      <c r="BC26" s="33">
        <v>100.2</v>
      </c>
      <c r="BD26" s="33">
        <v>99.7</v>
      </c>
      <c r="BE26" s="33">
        <v>0</v>
      </c>
      <c r="BF26" s="34" t="s">
        <v>243</v>
      </c>
      <c r="BG26" s="34" t="s">
        <v>243</v>
      </c>
      <c r="BH26" s="34" t="s">
        <v>243</v>
      </c>
      <c r="BI26" s="33">
        <v>4</v>
      </c>
      <c r="BJ26" s="34" t="s">
        <v>243</v>
      </c>
      <c r="BK26" s="45" t="s">
        <v>243</v>
      </c>
      <c r="BL26" s="45" t="s">
        <v>243</v>
      </c>
      <c r="BM26" s="33">
        <v>99.801100000000005</v>
      </c>
      <c r="BN26" s="33">
        <v>99.830600000000004</v>
      </c>
      <c r="BO26" s="33">
        <v>-26.4</v>
      </c>
      <c r="BP26" s="33">
        <v>-43</v>
      </c>
      <c r="BQ26" s="33">
        <v>11.1</v>
      </c>
      <c r="BR26" s="33">
        <v>4.4000000000000004</v>
      </c>
      <c r="BS26" s="33">
        <v>11.8</v>
      </c>
      <c r="BT26" s="45" t="s">
        <v>243</v>
      </c>
      <c r="BU26" s="33">
        <v>-11</v>
      </c>
      <c r="BV26" s="33">
        <v>0</v>
      </c>
      <c r="BW26" s="33">
        <v>-11.4</v>
      </c>
      <c r="BX26" s="33">
        <v>-3.8</v>
      </c>
      <c r="BY26" s="33">
        <v>-16.600000000000001</v>
      </c>
      <c r="BZ26" s="33">
        <v>95.9</v>
      </c>
      <c r="CA26" s="33">
        <v>-11.4</v>
      </c>
      <c r="CB26" s="33">
        <v>-9.9</v>
      </c>
      <c r="CC26" s="33">
        <v>-4.0999999999999996</v>
      </c>
      <c r="CD26" s="33">
        <v>-35.200000000000003</v>
      </c>
      <c r="CE26" s="33">
        <v>-24.1</v>
      </c>
      <c r="CF26" s="33">
        <v>47.3</v>
      </c>
      <c r="CG26" s="33">
        <v>57.1</v>
      </c>
      <c r="CH26" s="33">
        <v>29.8</v>
      </c>
      <c r="CI26" s="33">
        <v>-27.8</v>
      </c>
      <c r="CJ26" s="33">
        <v>-7.7</v>
      </c>
      <c r="CK26" s="33">
        <v>9.3000000000000007</v>
      </c>
      <c r="CL26" s="33">
        <v>13.4</v>
      </c>
      <c r="CM26" s="33">
        <v>998.48391300000003</v>
      </c>
      <c r="CN26" s="33">
        <v>3018.34</v>
      </c>
      <c r="CO26" s="33">
        <v>386.88347800000003</v>
      </c>
      <c r="CP26" s="33">
        <v>9.532</v>
      </c>
      <c r="CQ26" s="33">
        <v>7.45</v>
      </c>
      <c r="CR26" s="33">
        <v>70.5</v>
      </c>
      <c r="CS26" s="65"/>
      <c r="CT26" s="33">
        <v>93.5</v>
      </c>
      <c r="CU26" s="33">
        <v>90.4</v>
      </c>
      <c r="CV26" s="33"/>
      <c r="CW26" s="33"/>
      <c r="CX26" s="33"/>
      <c r="CY26" s="33">
        <v>1.73</v>
      </c>
      <c r="CZ26" s="33"/>
      <c r="DA26" s="33">
        <v>1.69</v>
      </c>
      <c r="DB26" s="33">
        <v>13.34</v>
      </c>
      <c r="DC26" s="33"/>
      <c r="DD26" s="33"/>
      <c r="DE26" s="33"/>
      <c r="DF26" s="33"/>
      <c r="DG26" s="33"/>
      <c r="DH26" s="33"/>
      <c r="DI26" s="33">
        <v>148.47999999999999</v>
      </c>
      <c r="DJ26" s="33"/>
      <c r="DK26" s="33"/>
      <c r="DL26" s="33"/>
      <c r="DM26" s="33"/>
      <c r="DN26" s="33">
        <v>99.830600000000004</v>
      </c>
      <c r="DO26" s="33">
        <v>99.801100000000005</v>
      </c>
      <c r="DP26" s="33">
        <v>99.248699999999999</v>
      </c>
      <c r="DQ26" s="33">
        <v>99.173199999999994</v>
      </c>
      <c r="DR26" s="104">
        <v>1150471</v>
      </c>
      <c r="DS26" s="122" t="s">
        <v>243</v>
      </c>
      <c r="DT26" s="103" t="s">
        <v>243</v>
      </c>
      <c r="DU26">
        <v>105.20462036132813</v>
      </c>
      <c r="DV26" t="s">
        <v>243</v>
      </c>
      <c r="DW26">
        <v>1528</v>
      </c>
      <c r="DX26">
        <v>308350</v>
      </c>
      <c r="DY26" s="102">
        <f t="shared" si="8"/>
        <v>59.7</v>
      </c>
    </row>
    <row r="27" spans="1:130" x14ac:dyDescent="0.25">
      <c r="A27" s="1">
        <v>33543</v>
      </c>
      <c r="B27" s="33">
        <v>79.7</v>
      </c>
      <c r="C27" s="88">
        <v>9.0400000000000009</v>
      </c>
      <c r="D27" s="33">
        <v>7.5</v>
      </c>
      <c r="E27" s="72">
        <v>9.370000000000001</v>
      </c>
      <c r="F27" s="33">
        <v>8.8000000000000007</v>
      </c>
      <c r="G27" s="33">
        <v>8.56</v>
      </c>
      <c r="H27" s="33">
        <v>8.34</v>
      </c>
      <c r="I27" s="33">
        <f t="shared" si="0"/>
        <v>-0.70000000000000107</v>
      </c>
      <c r="J27" s="33">
        <f t="shared" si="1"/>
        <v>0.83999999999999986</v>
      </c>
      <c r="K27" s="33">
        <f t="shared" si="2"/>
        <v>-1.0300000000000011</v>
      </c>
      <c r="L27" s="33">
        <f t="shared" si="3"/>
        <v>-1.5400000000000009</v>
      </c>
      <c r="M27" s="33">
        <v>98</v>
      </c>
      <c r="N27" s="33">
        <v>1573.55</v>
      </c>
      <c r="O27" s="34" t="s">
        <v>312</v>
      </c>
      <c r="P27" s="34" t="s">
        <v>312</v>
      </c>
      <c r="Q27" s="34" t="str">
        <f t="shared" si="4"/>
        <v/>
      </c>
      <c r="R27" s="71">
        <v>780.91727696182329</v>
      </c>
      <c r="S27" s="34">
        <f t="shared" si="5"/>
        <v>1194.0631146205249</v>
      </c>
      <c r="T27" s="71">
        <v>794.71235344994898</v>
      </c>
      <c r="U27" s="34">
        <f t="shared" si="6"/>
        <v>1215.1565037460991</v>
      </c>
      <c r="V27" s="116">
        <v>570545</v>
      </c>
      <c r="W27" s="116">
        <v>1091345</v>
      </c>
      <c r="X27" s="117">
        <v>2704447</v>
      </c>
      <c r="Y27" s="117">
        <v>405013</v>
      </c>
      <c r="Z27" s="33">
        <v>71.7</v>
      </c>
      <c r="AA27" s="33">
        <v>57.4</v>
      </c>
      <c r="AB27" s="33">
        <v>85.2</v>
      </c>
      <c r="AC27" s="33">
        <v>52.7</v>
      </c>
      <c r="AD27" s="33">
        <v>38650</v>
      </c>
      <c r="AE27" s="33">
        <v>5.6</v>
      </c>
      <c r="AF27" s="33">
        <v>329</v>
      </c>
      <c r="AG27" s="33">
        <v>63.7</v>
      </c>
      <c r="AH27" s="33">
        <v>65.400000000000006</v>
      </c>
      <c r="AI27" s="33">
        <v>78.599999999999994</v>
      </c>
      <c r="AJ27" s="33">
        <v>77.3</v>
      </c>
      <c r="AK27" s="33">
        <v>154.34073900000001</v>
      </c>
      <c r="AL27" s="33">
        <v>73.2</v>
      </c>
      <c r="AM27" s="123"/>
      <c r="AN27" s="123">
        <v>11.825716413362516</v>
      </c>
      <c r="AO27" s="123"/>
      <c r="AP27" s="33">
        <v>15.94</v>
      </c>
      <c r="AQ27" s="33">
        <f t="shared" si="7"/>
        <v>0.20279898218829517</v>
      </c>
      <c r="AR27" s="33">
        <v>96.5</v>
      </c>
      <c r="AS27" s="33">
        <v>99.2</v>
      </c>
      <c r="AT27" s="33">
        <v>93.9</v>
      </c>
      <c r="AU27" s="33">
        <v>93.9</v>
      </c>
      <c r="AV27" s="65">
        <v>97.8</v>
      </c>
      <c r="AW27" s="33">
        <v>90.2</v>
      </c>
      <c r="AX27" s="33">
        <v>7.5</v>
      </c>
      <c r="AY27" s="33">
        <v>5.6</v>
      </c>
      <c r="AZ27" s="33">
        <v>-3.8</v>
      </c>
      <c r="BA27" s="33">
        <v>6.7</v>
      </c>
      <c r="BB27" s="33">
        <v>98.6</v>
      </c>
      <c r="BC27" s="33">
        <v>98</v>
      </c>
      <c r="BD27" s="33">
        <v>99.2</v>
      </c>
      <c r="BE27" s="33">
        <v>0</v>
      </c>
      <c r="BF27" s="34" t="s">
        <v>243</v>
      </c>
      <c r="BG27" s="34" t="s">
        <v>243</v>
      </c>
      <c r="BH27" s="34" t="s">
        <v>243</v>
      </c>
      <c r="BI27" s="33">
        <v>11.3</v>
      </c>
      <c r="BJ27" s="34" t="s">
        <v>243</v>
      </c>
      <c r="BK27" s="45" t="s">
        <v>243</v>
      </c>
      <c r="BL27" s="45" t="s">
        <v>243</v>
      </c>
      <c r="BM27" s="33">
        <v>99.790599999999998</v>
      </c>
      <c r="BN27" s="33">
        <v>99.821600000000004</v>
      </c>
      <c r="BO27" s="33">
        <v>-28.5</v>
      </c>
      <c r="BP27" s="33">
        <v>-40.5</v>
      </c>
      <c r="BQ27" s="33">
        <v>13.3</v>
      </c>
      <c r="BR27" s="33">
        <v>6.2</v>
      </c>
      <c r="BS27" s="33">
        <v>14.2</v>
      </c>
      <c r="BT27" s="45" t="s">
        <v>243</v>
      </c>
      <c r="BU27" s="33">
        <v>-11.9</v>
      </c>
      <c r="BV27" s="33">
        <v>0</v>
      </c>
      <c r="BW27" s="33">
        <v>-12.2</v>
      </c>
      <c r="BX27" s="33">
        <v>-7.7</v>
      </c>
      <c r="BY27" s="33">
        <v>-15.7</v>
      </c>
      <c r="BZ27" s="33">
        <v>94.8</v>
      </c>
      <c r="CA27" s="33">
        <v>-12.2</v>
      </c>
      <c r="CB27" s="33">
        <v>-9.6999999999999993</v>
      </c>
      <c r="CC27" s="33">
        <v>-3.1</v>
      </c>
      <c r="CD27" s="33">
        <v>-34</v>
      </c>
      <c r="CE27" s="33">
        <v>-24.8</v>
      </c>
      <c r="CF27" s="33">
        <v>45.7</v>
      </c>
      <c r="CG27" s="33">
        <v>58.1</v>
      </c>
      <c r="CH27" s="33">
        <v>30.5</v>
      </c>
      <c r="CI27" s="33">
        <v>-26.3</v>
      </c>
      <c r="CJ27" s="33">
        <v>-11.1</v>
      </c>
      <c r="CK27" s="33">
        <v>10.4</v>
      </c>
      <c r="CL27" s="33">
        <v>11.7</v>
      </c>
      <c r="CM27" s="33">
        <v>1000.264762</v>
      </c>
      <c r="CN27" s="33">
        <v>3056.35</v>
      </c>
      <c r="CO27" s="33">
        <v>385.47381000000001</v>
      </c>
      <c r="CP27" s="33">
        <v>9.7650000000000006</v>
      </c>
      <c r="CQ27" s="33">
        <v>7.48</v>
      </c>
      <c r="CR27" s="33">
        <v>61.9</v>
      </c>
      <c r="CS27" s="65"/>
      <c r="CT27" s="33">
        <v>94.3</v>
      </c>
      <c r="CU27" s="33">
        <v>91.9</v>
      </c>
      <c r="CV27" s="33"/>
      <c r="CW27" s="33"/>
      <c r="CX27" s="33"/>
      <c r="CY27" s="33">
        <v>2.02</v>
      </c>
      <c r="CZ27" s="33"/>
      <c r="DA27" s="33">
        <v>1.87</v>
      </c>
      <c r="DB27" s="33">
        <v>13.66</v>
      </c>
      <c r="DC27" s="33"/>
      <c r="DD27" s="33"/>
      <c r="DE27" s="33"/>
      <c r="DF27" s="33"/>
      <c r="DG27" s="33"/>
      <c r="DH27" s="33"/>
      <c r="DI27" s="33">
        <v>248.846</v>
      </c>
      <c r="DJ27" s="33"/>
      <c r="DK27" s="33"/>
      <c r="DL27" s="33"/>
      <c r="DM27" s="33"/>
      <c r="DN27" s="33">
        <v>99.821600000000004</v>
      </c>
      <c r="DO27" s="33">
        <v>99.790599999999998</v>
      </c>
      <c r="DP27" s="33">
        <v>99.182400000000001</v>
      </c>
      <c r="DQ27" s="33">
        <v>99.100300000000004</v>
      </c>
      <c r="DR27" s="104">
        <v>1091011</v>
      </c>
      <c r="DS27" s="122" t="s">
        <v>243</v>
      </c>
      <c r="DT27" s="103" t="s">
        <v>243</v>
      </c>
      <c r="DU27">
        <v>80.815887451171875</v>
      </c>
      <c r="DV27" t="s">
        <v>243</v>
      </c>
      <c r="DW27">
        <v>1654</v>
      </c>
      <c r="DX27">
        <v>291625</v>
      </c>
      <c r="DY27" s="102">
        <f t="shared" si="8"/>
        <v>61.3</v>
      </c>
    </row>
    <row r="28" spans="1:130" x14ac:dyDescent="0.25">
      <c r="A28" s="1">
        <v>33573</v>
      </c>
      <c r="B28" s="33">
        <v>79.5</v>
      </c>
      <c r="C28" s="88">
        <v>9.23</v>
      </c>
      <c r="D28" s="33">
        <v>8</v>
      </c>
      <c r="E28" s="72">
        <v>9.51</v>
      </c>
      <c r="F28" s="33">
        <v>8.77</v>
      </c>
      <c r="G28" s="33">
        <v>8.4600000000000009</v>
      </c>
      <c r="H28" s="33">
        <v>8.24</v>
      </c>
      <c r="I28" s="33">
        <f t="shared" si="0"/>
        <v>-0.99000000000000021</v>
      </c>
      <c r="J28" s="33">
        <f t="shared" si="1"/>
        <v>0.24000000000000021</v>
      </c>
      <c r="K28" s="33">
        <f t="shared" si="2"/>
        <v>-1.2699999999999996</v>
      </c>
      <c r="L28" s="33">
        <f t="shared" si="3"/>
        <v>-1.2300000000000004</v>
      </c>
      <c r="M28" s="33">
        <v>99</v>
      </c>
      <c r="N28" s="33">
        <v>1545.44</v>
      </c>
      <c r="O28" s="34" t="s">
        <v>312</v>
      </c>
      <c r="P28" s="34" t="s">
        <v>312</v>
      </c>
      <c r="Q28" s="34" t="str">
        <f t="shared" si="4"/>
        <v/>
      </c>
      <c r="R28" s="71">
        <v>785.49408151544571</v>
      </c>
      <c r="S28" s="34">
        <f t="shared" si="5"/>
        <v>1201.0612867208649</v>
      </c>
      <c r="T28" s="71">
        <v>803.28530224660426</v>
      </c>
      <c r="U28" s="34">
        <f t="shared" si="6"/>
        <v>1228.2649881446548</v>
      </c>
      <c r="V28" s="116">
        <v>571101</v>
      </c>
      <c r="W28" s="116">
        <v>1099507</v>
      </c>
      <c r="X28" s="117">
        <v>2722085</v>
      </c>
      <c r="Y28" s="117">
        <v>410903</v>
      </c>
      <c r="Z28" s="33">
        <v>72.5</v>
      </c>
      <c r="AA28" s="33">
        <v>58</v>
      </c>
      <c r="AB28" s="33">
        <v>81.400000000000006</v>
      </c>
      <c r="AC28" s="33">
        <v>53.8</v>
      </c>
      <c r="AD28" s="33">
        <v>38630</v>
      </c>
      <c r="AE28" s="33">
        <v>5.7</v>
      </c>
      <c r="AF28" s="33">
        <v>340</v>
      </c>
      <c r="AG28" s="33">
        <v>63.7</v>
      </c>
      <c r="AH28" s="33">
        <v>65.400000000000006</v>
      </c>
      <c r="AI28" s="33">
        <v>77.7</v>
      </c>
      <c r="AJ28" s="33">
        <v>77.2</v>
      </c>
      <c r="AK28" s="33">
        <v>153.98470499999999</v>
      </c>
      <c r="AL28" s="33">
        <v>44.4</v>
      </c>
      <c r="AM28" s="123"/>
      <c r="AN28" s="123">
        <v>10.347501861692201</v>
      </c>
      <c r="AO28" s="123"/>
      <c r="AP28" s="33">
        <v>13.32</v>
      </c>
      <c r="AQ28" s="33">
        <f t="shared" si="7"/>
        <v>0.17142857142857143</v>
      </c>
      <c r="AR28" s="33">
        <v>95.5</v>
      </c>
      <c r="AS28" s="33">
        <v>97.9</v>
      </c>
      <c r="AT28" s="33">
        <v>93.1</v>
      </c>
      <c r="AU28" s="33">
        <v>92.6</v>
      </c>
      <c r="AV28" s="65">
        <v>95.9</v>
      </c>
      <c r="AW28" s="33">
        <v>89.4</v>
      </c>
      <c r="AX28" s="33">
        <v>5.4</v>
      </c>
      <c r="AY28" s="33">
        <v>2.6</v>
      </c>
      <c r="AZ28" s="33">
        <v>-7</v>
      </c>
      <c r="BA28" s="33">
        <v>4.4000000000000004</v>
      </c>
      <c r="BB28" s="33">
        <v>98.5</v>
      </c>
      <c r="BC28" s="33">
        <v>97.6</v>
      </c>
      <c r="BD28" s="33">
        <v>99.3</v>
      </c>
      <c r="BE28" s="33">
        <v>9.1999999999999993</v>
      </c>
      <c r="BF28" s="33">
        <v>-59</v>
      </c>
      <c r="BG28" s="33">
        <v>0</v>
      </c>
      <c r="BH28" s="34" t="s">
        <v>243</v>
      </c>
      <c r="BI28" s="33">
        <v>36.700000000000003</v>
      </c>
      <c r="BJ28" s="34" t="s">
        <v>243</v>
      </c>
      <c r="BK28" s="45" t="s">
        <v>243</v>
      </c>
      <c r="BL28" s="45" t="s">
        <v>243</v>
      </c>
      <c r="BM28" s="33">
        <v>99.739800000000002</v>
      </c>
      <c r="BN28" s="33">
        <v>99.778000000000006</v>
      </c>
      <c r="BO28" s="33">
        <v>-26.9</v>
      </c>
      <c r="BP28" s="33">
        <v>-41.9</v>
      </c>
      <c r="BQ28" s="33">
        <v>14.6</v>
      </c>
      <c r="BR28" s="33">
        <v>2.9</v>
      </c>
      <c r="BS28" s="33">
        <v>12.5</v>
      </c>
      <c r="BT28" s="45" t="s">
        <v>243</v>
      </c>
      <c r="BU28" s="33">
        <v>-12.9</v>
      </c>
      <c r="BV28" s="33">
        <v>0</v>
      </c>
      <c r="BW28" s="33">
        <v>-9.9</v>
      </c>
      <c r="BX28" s="33">
        <v>-8</v>
      </c>
      <c r="BY28" s="33">
        <v>-12</v>
      </c>
      <c r="BZ28" s="33">
        <v>95.4</v>
      </c>
      <c r="CA28" s="33">
        <v>-9.9</v>
      </c>
      <c r="CB28" s="33">
        <v>-7.4</v>
      </c>
      <c r="CC28" s="33">
        <v>-1.7</v>
      </c>
      <c r="CD28" s="33">
        <v>-33.4</v>
      </c>
      <c r="CE28" s="33">
        <v>-24.5</v>
      </c>
      <c r="CF28" s="33">
        <v>46.4</v>
      </c>
      <c r="CG28" s="33">
        <v>59.6</v>
      </c>
      <c r="CH28" s="33">
        <v>31.7</v>
      </c>
      <c r="CI28" s="33">
        <v>-23.9</v>
      </c>
      <c r="CJ28" s="33">
        <v>-6.2</v>
      </c>
      <c r="CK28" s="33">
        <v>12</v>
      </c>
      <c r="CL28" s="33">
        <v>14.7</v>
      </c>
      <c r="CM28" s="33">
        <v>976.927727</v>
      </c>
      <c r="CN28" s="33">
        <v>2935.38</v>
      </c>
      <c r="CO28" s="33">
        <v>389.00272699999999</v>
      </c>
      <c r="CP28" s="33">
        <v>9.8940000000000001</v>
      </c>
      <c r="CQ28" s="33">
        <v>7.32</v>
      </c>
      <c r="CR28" s="33">
        <v>61.5</v>
      </c>
      <c r="CS28" s="65"/>
      <c r="CT28" s="33">
        <v>92.8</v>
      </c>
      <c r="CU28" s="33">
        <v>89.3</v>
      </c>
      <c r="CV28" s="33"/>
      <c r="CW28" s="33"/>
      <c r="CX28" s="33"/>
      <c r="CY28" s="33">
        <v>1.72</v>
      </c>
      <c r="CZ28" s="33"/>
      <c r="DA28" s="33">
        <v>1.61</v>
      </c>
      <c r="DB28" s="33">
        <v>12.5</v>
      </c>
      <c r="DC28" s="33"/>
      <c r="DD28" s="33"/>
      <c r="DE28" s="33"/>
      <c r="DF28" s="33"/>
      <c r="DG28" s="33"/>
      <c r="DH28" s="33"/>
      <c r="DI28" s="33">
        <v>213.21100000000001</v>
      </c>
      <c r="DJ28" s="33"/>
      <c r="DK28" s="33"/>
      <c r="DL28" s="33"/>
      <c r="DM28" s="33"/>
      <c r="DN28" s="33">
        <v>99.778000000000006</v>
      </c>
      <c r="DO28" s="33">
        <v>99.739800000000002</v>
      </c>
      <c r="DP28" s="33">
        <v>99.152000000000001</v>
      </c>
      <c r="DQ28" s="33">
        <v>99.066900000000004</v>
      </c>
      <c r="DR28" s="104">
        <v>997380</v>
      </c>
      <c r="DS28" s="122" t="s">
        <v>243</v>
      </c>
      <c r="DT28" s="103" t="s">
        <v>243</v>
      </c>
      <c r="DU28">
        <v>84.470985412597656</v>
      </c>
      <c r="DV28" t="s">
        <v>243</v>
      </c>
      <c r="DW28">
        <v>1581</v>
      </c>
      <c r="DX28">
        <v>308250</v>
      </c>
      <c r="DY28" s="102">
        <f t="shared" si="8"/>
        <v>62.2</v>
      </c>
    </row>
    <row r="29" spans="1:130" x14ac:dyDescent="0.25">
      <c r="A29" s="1">
        <v>33604</v>
      </c>
      <c r="B29" s="33">
        <v>80.7</v>
      </c>
      <c r="C29" s="88">
        <v>9.52</v>
      </c>
      <c r="D29" s="33">
        <v>8</v>
      </c>
      <c r="E29" s="72">
        <v>9.4700000000000006</v>
      </c>
      <c r="F29" s="33">
        <v>8.33</v>
      </c>
      <c r="G29" s="33">
        <v>8.08</v>
      </c>
      <c r="H29" s="33">
        <v>7.98</v>
      </c>
      <c r="I29" s="33">
        <f t="shared" si="0"/>
        <v>-1.5399999999999991</v>
      </c>
      <c r="J29" s="33">
        <f t="shared" si="1"/>
        <v>-1.9999999999999574E-2</v>
      </c>
      <c r="K29" s="33">
        <f t="shared" si="2"/>
        <v>-1.4900000000000002</v>
      </c>
      <c r="L29" s="33">
        <f t="shared" si="3"/>
        <v>-1.5199999999999996</v>
      </c>
      <c r="M29" s="33">
        <v>98.4</v>
      </c>
      <c r="N29" s="33">
        <v>1577.98</v>
      </c>
      <c r="O29" s="34" t="s">
        <v>312</v>
      </c>
      <c r="P29" s="34" t="s">
        <v>312</v>
      </c>
      <c r="Q29" s="34" t="str">
        <f t="shared" si="4"/>
        <v/>
      </c>
      <c r="R29" s="71">
        <v>797.60354356357163</v>
      </c>
      <c r="S29" s="34">
        <f t="shared" si="5"/>
        <v>1214.0084376918899</v>
      </c>
      <c r="T29" s="71">
        <v>806.8097367518958</v>
      </c>
      <c r="U29" s="34">
        <f t="shared" si="6"/>
        <v>1228.0209082981671</v>
      </c>
      <c r="V29" s="116">
        <v>575654</v>
      </c>
      <c r="W29" s="116">
        <v>1093150</v>
      </c>
      <c r="X29" s="117">
        <v>2720803</v>
      </c>
      <c r="Y29" s="117">
        <v>416626</v>
      </c>
      <c r="Z29" s="33">
        <v>73</v>
      </c>
      <c r="AA29" s="33">
        <v>57.5</v>
      </c>
      <c r="AB29" s="33">
        <v>84.1</v>
      </c>
      <c r="AC29" s="33">
        <v>52.2</v>
      </c>
      <c r="AD29" s="33">
        <v>38606</v>
      </c>
      <c r="AE29" s="33">
        <v>7.6</v>
      </c>
      <c r="AF29" s="33">
        <v>337</v>
      </c>
      <c r="AG29" s="33">
        <v>63.9</v>
      </c>
      <c r="AH29" s="33">
        <v>65.7</v>
      </c>
      <c r="AI29" s="33">
        <v>77.400000000000006</v>
      </c>
      <c r="AJ29" s="33">
        <v>77.400000000000006</v>
      </c>
      <c r="AK29" s="33">
        <v>153.98470499999999</v>
      </c>
      <c r="AL29" s="33">
        <v>45.7</v>
      </c>
      <c r="AM29" s="123"/>
      <c r="AN29" s="123">
        <v>10.084874910887832</v>
      </c>
      <c r="AO29" s="123"/>
      <c r="AP29" s="33">
        <v>13.35</v>
      </c>
      <c r="AQ29" s="33">
        <f t="shared" si="7"/>
        <v>0.17248062015503873</v>
      </c>
      <c r="AR29" s="33">
        <v>93.9</v>
      </c>
      <c r="AS29" s="33">
        <v>97</v>
      </c>
      <c r="AT29" s="33">
        <v>90.9</v>
      </c>
      <c r="AU29" s="33">
        <v>91.3</v>
      </c>
      <c r="AV29" s="65">
        <v>95</v>
      </c>
      <c r="AW29" s="33">
        <v>87.8</v>
      </c>
      <c r="AX29" s="33">
        <v>3.1</v>
      </c>
      <c r="AY29" s="33">
        <v>-4.0999999999999996</v>
      </c>
      <c r="AZ29" s="33">
        <v>-13.1</v>
      </c>
      <c r="BA29" s="33">
        <v>-1.8</v>
      </c>
      <c r="BB29" s="33">
        <v>94.7</v>
      </c>
      <c r="BC29" s="33">
        <v>96.6</v>
      </c>
      <c r="BD29" s="33">
        <v>92.8</v>
      </c>
      <c r="BE29" s="33">
        <v>3.2</v>
      </c>
      <c r="BF29" s="33">
        <v>-49.2</v>
      </c>
      <c r="BG29" s="33">
        <v>7.9</v>
      </c>
      <c r="BH29" s="33">
        <v>159.6</v>
      </c>
      <c r="BI29" s="33">
        <v>62.5</v>
      </c>
      <c r="BJ29" s="34" t="s">
        <v>243</v>
      </c>
      <c r="BK29" s="45" t="s">
        <v>243</v>
      </c>
      <c r="BL29" s="45" t="s">
        <v>243</v>
      </c>
      <c r="BM29" s="33">
        <v>99.648200000000003</v>
      </c>
      <c r="BN29" s="33">
        <v>99.699299999999994</v>
      </c>
      <c r="BO29" s="33">
        <v>-26.2</v>
      </c>
      <c r="BP29" s="33">
        <v>-42.4</v>
      </c>
      <c r="BQ29" s="33">
        <v>14.2</v>
      </c>
      <c r="BR29" s="33">
        <v>2.1</v>
      </c>
      <c r="BS29" s="33">
        <v>13.2</v>
      </c>
      <c r="BT29" s="45" t="s">
        <v>243</v>
      </c>
      <c r="BU29" s="33">
        <v>-12.7</v>
      </c>
      <c r="BV29" s="33">
        <v>0</v>
      </c>
      <c r="BW29" s="33">
        <v>-11.9</v>
      </c>
      <c r="BX29" s="33">
        <v>-8.5</v>
      </c>
      <c r="BY29" s="33">
        <v>-12.7</v>
      </c>
      <c r="BZ29" s="33">
        <v>94.3</v>
      </c>
      <c r="CA29" s="33">
        <v>-11.9</v>
      </c>
      <c r="CB29" s="33">
        <v>-8.4</v>
      </c>
      <c r="CC29" s="33">
        <v>-2.7</v>
      </c>
      <c r="CD29" s="33">
        <v>-33.9</v>
      </c>
      <c r="CE29" s="33">
        <v>-27.5</v>
      </c>
      <c r="CF29" s="33">
        <v>46.3</v>
      </c>
      <c r="CG29" s="33">
        <v>57.8</v>
      </c>
      <c r="CH29" s="33">
        <v>33.1</v>
      </c>
      <c r="CI29" s="33">
        <v>-25.2</v>
      </c>
      <c r="CJ29" s="33">
        <v>-9.1999999999999993</v>
      </c>
      <c r="CK29" s="33">
        <v>10.4</v>
      </c>
      <c r="CL29" s="33">
        <v>12.7</v>
      </c>
      <c r="CM29" s="33">
        <v>1032.62087</v>
      </c>
      <c r="CN29" s="33">
        <v>3168.83</v>
      </c>
      <c r="CO29" s="33">
        <v>416.12043499999999</v>
      </c>
      <c r="CP29" s="33">
        <v>9.7270000000000003</v>
      </c>
      <c r="CQ29" s="33">
        <v>6.71</v>
      </c>
      <c r="CR29" s="33">
        <v>59.1</v>
      </c>
      <c r="CS29" s="65"/>
      <c r="CT29" s="33">
        <v>92.2</v>
      </c>
      <c r="CU29" s="33">
        <v>93.3</v>
      </c>
      <c r="CV29" s="33"/>
      <c r="CW29" s="33"/>
      <c r="CX29" s="33"/>
      <c r="CY29" s="33">
        <v>1.86</v>
      </c>
      <c r="CZ29" s="33"/>
      <c r="DA29" s="33">
        <v>2.23</v>
      </c>
      <c r="DB29" s="33">
        <v>13.68</v>
      </c>
      <c r="DC29" s="33"/>
      <c r="DD29" s="33"/>
      <c r="DE29" s="33"/>
      <c r="DF29" s="33"/>
      <c r="DG29" s="33"/>
      <c r="DH29" s="33"/>
      <c r="DI29" s="33">
        <v>186.25200000000001</v>
      </c>
      <c r="DJ29" s="33"/>
      <c r="DK29" s="33"/>
      <c r="DL29" s="33"/>
      <c r="DM29" s="33"/>
      <c r="DN29" s="33">
        <v>99.699299999999994</v>
      </c>
      <c r="DO29" s="33">
        <v>99.648200000000003</v>
      </c>
      <c r="DP29" s="33">
        <v>99.1982</v>
      </c>
      <c r="DQ29" s="33">
        <v>99.117699999999999</v>
      </c>
      <c r="DR29" s="104">
        <v>594320</v>
      </c>
      <c r="DS29" s="104">
        <v>29488.975709990576</v>
      </c>
      <c r="DT29" s="103" t="s">
        <v>243</v>
      </c>
      <c r="DU29">
        <v>52.970737457275391</v>
      </c>
      <c r="DV29" t="s">
        <v>243</v>
      </c>
      <c r="DW29">
        <v>1494</v>
      </c>
      <c r="DX29">
        <v>327425</v>
      </c>
      <c r="DY29" s="102">
        <f t="shared" si="8"/>
        <v>62</v>
      </c>
    </row>
    <row r="30" spans="1:130" x14ac:dyDescent="0.25">
      <c r="A30" s="1">
        <v>33635</v>
      </c>
      <c r="B30" s="33">
        <v>81.900000000000006</v>
      </c>
      <c r="C30" s="88">
        <v>9.58</v>
      </c>
      <c r="D30" s="33">
        <v>8</v>
      </c>
      <c r="E30" s="72">
        <v>9.5500000000000007</v>
      </c>
      <c r="F30" s="33">
        <v>8.27</v>
      </c>
      <c r="G30" s="33">
        <v>8</v>
      </c>
      <c r="H30" s="33">
        <v>7.92</v>
      </c>
      <c r="I30" s="33">
        <f t="shared" si="0"/>
        <v>-1.6600000000000001</v>
      </c>
      <c r="J30" s="33">
        <f t="shared" si="1"/>
        <v>-8.0000000000000071E-2</v>
      </c>
      <c r="K30" s="33">
        <f t="shared" si="2"/>
        <v>-1.6300000000000008</v>
      </c>
      <c r="L30" s="33">
        <f t="shared" si="3"/>
        <v>-1.58</v>
      </c>
      <c r="M30" s="33">
        <v>98</v>
      </c>
      <c r="N30" s="33">
        <v>1689.01</v>
      </c>
      <c r="O30" s="33">
        <v>14.51</v>
      </c>
      <c r="P30" s="34" t="s">
        <v>312</v>
      </c>
      <c r="Q30" s="34" t="str">
        <f t="shared" si="4"/>
        <v/>
      </c>
      <c r="R30" s="71">
        <v>804.6594505837395</v>
      </c>
      <c r="S30" s="34">
        <f t="shared" si="5"/>
        <v>1219.1809857329388</v>
      </c>
      <c r="T30" s="71">
        <v>811.85825104325954</v>
      </c>
      <c r="U30" s="34">
        <f t="shared" si="6"/>
        <v>1230.0882591564539</v>
      </c>
      <c r="V30" s="116">
        <v>577480</v>
      </c>
      <c r="W30" s="116">
        <v>1092910</v>
      </c>
      <c r="X30" s="117">
        <v>2729621</v>
      </c>
      <c r="Y30" s="117">
        <v>423062</v>
      </c>
      <c r="Z30" s="33">
        <v>73.8</v>
      </c>
      <c r="AA30" s="33">
        <v>57.6</v>
      </c>
      <c r="AB30" s="33">
        <v>83.4</v>
      </c>
      <c r="AC30" s="33">
        <v>53.4</v>
      </c>
      <c r="AD30" s="33">
        <v>38576</v>
      </c>
      <c r="AE30" s="33">
        <v>7.4</v>
      </c>
      <c r="AF30" s="33">
        <v>323</v>
      </c>
      <c r="AG30" s="33">
        <v>64.099999999999994</v>
      </c>
      <c r="AH30" s="33">
        <v>66</v>
      </c>
      <c r="AI30" s="33">
        <v>77.599999999999994</v>
      </c>
      <c r="AJ30" s="33">
        <v>77.599999999999994</v>
      </c>
      <c r="AK30" s="33">
        <v>154.518756</v>
      </c>
      <c r="AL30" s="33">
        <v>45.7</v>
      </c>
      <c r="AM30" s="123"/>
      <c r="AN30" s="123">
        <v>10.390477180914736</v>
      </c>
      <c r="AO30" s="123"/>
      <c r="AP30" s="33">
        <v>13.62</v>
      </c>
      <c r="AQ30" s="33">
        <f t="shared" si="7"/>
        <v>0.17551546391752579</v>
      </c>
      <c r="AR30" s="33">
        <v>93.5</v>
      </c>
      <c r="AS30" s="33">
        <v>95.8</v>
      </c>
      <c r="AT30" s="33">
        <v>91.2</v>
      </c>
      <c r="AU30" s="33">
        <v>90.6</v>
      </c>
      <c r="AV30" s="65">
        <v>94.3</v>
      </c>
      <c r="AW30" s="33">
        <v>87.1</v>
      </c>
      <c r="AX30" s="33">
        <v>2.9</v>
      </c>
      <c r="AY30" s="33">
        <v>-2.2000000000000002</v>
      </c>
      <c r="AZ30" s="33">
        <v>-10.8</v>
      </c>
      <c r="BA30" s="33">
        <v>1.1000000000000001</v>
      </c>
      <c r="BB30" s="33">
        <v>95.3</v>
      </c>
      <c r="BC30" s="33">
        <v>94.2</v>
      </c>
      <c r="BD30" s="33">
        <v>96.4</v>
      </c>
      <c r="BE30" s="33">
        <v>0.1</v>
      </c>
      <c r="BF30" s="33">
        <v>-41.1</v>
      </c>
      <c r="BG30" s="33">
        <v>6.8</v>
      </c>
      <c r="BH30" s="33">
        <v>164.2</v>
      </c>
      <c r="BI30" s="33">
        <v>47.3</v>
      </c>
      <c r="BJ30" s="34" t="s">
        <v>243</v>
      </c>
      <c r="BK30" s="45" t="s">
        <v>243</v>
      </c>
      <c r="BL30" s="45" t="s">
        <v>243</v>
      </c>
      <c r="BM30" s="33">
        <v>99.519000000000005</v>
      </c>
      <c r="BN30" s="33">
        <v>99.588200000000001</v>
      </c>
      <c r="BO30" s="33">
        <v>-29.2</v>
      </c>
      <c r="BP30" s="33">
        <v>-46.2</v>
      </c>
      <c r="BQ30" s="33">
        <v>15.6</v>
      </c>
      <c r="BR30" s="33">
        <v>0.4</v>
      </c>
      <c r="BS30" s="33">
        <v>14.7</v>
      </c>
      <c r="BT30" s="45" t="s">
        <v>243</v>
      </c>
      <c r="BU30" s="33">
        <v>-14.8</v>
      </c>
      <c r="BV30" s="33">
        <v>0</v>
      </c>
      <c r="BW30" s="33">
        <v>-10.6</v>
      </c>
      <c r="BX30" s="33">
        <v>-12.1</v>
      </c>
      <c r="BY30" s="33">
        <v>-15.1</v>
      </c>
      <c r="BZ30" s="33">
        <v>93.4</v>
      </c>
      <c r="CA30" s="33">
        <v>-10.6</v>
      </c>
      <c r="CB30" s="33">
        <v>-6.6</v>
      </c>
      <c r="CC30" s="33">
        <v>-1.4</v>
      </c>
      <c r="CD30" s="33">
        <v>-32.200000000000003</v>
      </c>
      <c r="CE30" s="33">
        <v>-26.3</v>
      </c>
      <c r="CF30" s="33">
        <v>49</v>
      </c>
      <c r="CG30" s="33">
        <v>60</v>
      </c>
      <c r="CH30" s="33">
        <v>34.799999999999997</v>
      </c>
      <c r="CI30" s="33">
        <v>-23</v>
      </c>
      <c r="CJ30" s="33">
        <v>-8.3000000000000007</v>
      </c>
      <c r="CK30" s="33">
        <v>13.2</v>
      </c>
      <c r="CL30" s="33">
        <v>13.7</v>
      </c>
      <c r="CM30" s="33">
        <v>1060.3905</v>
      </c>
      <c r="CN30" s="33">
        <v>3234.12</v>
      </c>
      <c r="CO30" s="33">
        <v>412.55399999999997</v>
      </c>
      <c r="CP30" s="33">
        <v>9.4169999999999998</v>
      </c>
      <c r="CQ30" s="33">
        <v>7.36</v>
      </c>
      <c r="CR30" s="33">
        <v>61.8</v>
      </c>
      <c r="CS30" s="65"/>
      <c r="CT30" s="33">
        <v>94.9</v>
      </c>
      <c r="CU30" s="33">
        <v>92.9</v>
      </c>
      <c r="CV30" s="33"/>
      <c r="CW30" s="33"/>
      <c r="CX30" s="33"/>
      <c r="CY30" s="33">
        <v>1.69</v>
      </c>
      <c r="CZ30" s="33"/>
      <c r="DA30" s="33">
        <v>1.7</v>
      </c>
      <c r="DB30" s="33">
        <v>13.41</v>
      </c>
      <c r="DC30" s="33"/>
      <c r="DD30" s="33"/>
      <c r="DE30" s="33"/>
      <c r="DF30" s="33"/>
      <c r="DG30" s="33"/>
      <c r="DH30" s="33"/>
      <c r="DI30" s="33">
        <v>228.93799999999999</v>
      </c>
      <c r="DJ30" s="33"/>
      <c r="DK30" s="33"/>
      <c r="DL30" s="33"/>
      <c r="DM30" s="33"/>
      <c r="DN30" s="33">
        <v>99.588200000000001</v>
      </c>
      <c r="DO30" s="33">
        <v>99.519000000000005</v>
      </c>
      <c r="DP30" s="33">
        <v>99.312899999999999</v>
      </c>
      <c r="DQ30" s="33">
        <v>99.243899999999996</v>
      </c>
      <c r="DR30" s="104">
        <v>615517</v>
      </c>
      <c r="DS30" s="104">
        <v>29459.790871023502</v>
      </c>
      <c r="DT30" s="103" t="s">
        <v>243</v>
      </c>
      <c r="DU30">
        <v>60.151294708251953</v>
      </c>
      <c r="DV30" t="s">
        <v>243</v>
      </c>
      <c r="DW30">
        <v>1421</v>
      </c>
      <c r="DX30">
        <v>308600</v>
      </c>
      <c r="DY30" s="102">
        <f t="shared" si="8"/>
        <v>63.2</v>
      </c>
    </row>
    <row r="31" spans="1:130" x14ac:dyDescent="0.25">
      <c r="A31" s="1">
        <v>33664</v>
      </c>
      <c r="B31" s="33">
        <v>80.2</v>
      </c>
      <c r="C31" s="88">
        <v>9.620000000000001</v>
      </c>
      <c r="D31" s="33">
        <v>8</v>
      </c>
      <c r="E31" s="72">
        <v>9.65</v>
      </c>
      <c r="F31" s="33">
        <v>8.33</v>
      </c>
      <c r="G31" s="33">
        <v>8.0500000000000007</v>
      </c>
      <c r="H31" s="33">
        <v>8</v>
      </c>
      <c r="I31" s="33">
        <f t="shared" si="0"/>
        <v>-1.620000000000001</v>
      </c>
      <c r="J31" s="33">
        <f t="shared" si="1"/>
        <v>0</v>
      </c>
      <c r="K31" s="33">
        <f t="shared" si="2"/>
        <v>-1.6500000000000004</v>
      </c>
      <c r="L31" s="33">
        <f t="shared" si="3"/>
        <v>-1.620000000000001</v>
      </c>
      <c r="M31" s="33">
        <v>98</v>
      </c>
      <c r="N31" s="33">
        <v>1747.87</v>
      </c>
      <c r="O31" s="33">
        <v>11.75</v>
      </c>
      <c r="P31" s="34" t="s">
        <v>312</v>
      </c>
      <c r="Q31" s="34" t="str">
        <f t="shared" si="4"/>
        <v/>
      </c>
      <c r="R31" s="71">
        <v>811.90605779364148</v>
      </c>
      <c r="S31" s="34">
        <f t="shared" si="5"/>
        <v>1226.4441960629024</v>
      </c>
      <c r="T31" s="71">
        <v>818.04982517417727</v>
      </c>
      <c r="U31" s="34">
        <f t="shared" si="6"/>
        <v>1235.7248114413553</v>
      </c>
      <c r="V31" s="116">
        <v>573993</v>
      </c>
      <c r="W31" s="116">
        <v>1100845</v>
      </c>
      <c r="X31" s="117">
        <v>2747609</v>
      </c>
      <c r="Y31" s="117">
        <v>427348</v>
      </c>
      <c r="Z31" s="33">
        <v>72.3</v>
      </c>
      <c r="AA31" s="33">
        <v>57.2</v>
      </c>
      <c r="AB31" s="33">
        <v>80</v>
      </c>
      <c r="AC31" s="33">
        <v>52.1</v>
      </c>
      <c r="AD31" s="33">
        <v>38530</v>
      </c>
      <c r="AE31" s="33">
        <v>7.4</v>
      </c>
      <c r="AF31" s="33">
        <v>323</v>
      </c>
      <c r="AG31" s="33">
        <v>64.3</v>
      </c>
      <c r="AH31" s="33">
        <v>66.2</v>
      </c>
      <c r="AI31" s="33">
        <v>77.900000000000006</v>
      </c>
      <c r="AJ31" s="33">
        <v>77.599999999999994</v>
      </c>
      <c r="AK31" s="33">
        <v>154.87478999999999</v>
      </c>
      <c r="AL31" s="33">
        <v>45.8</v>
      </c>
      <c r="AM31" s="123"/>
      <c r="AN31" s="123">
        <v>10.52719398592677</v>
      </c>
      <c r="AO31" s="123"/>
      <c r="AP31" s="33">
        <v>13.64</v>
      </c>
      <c r="AQ31" s="33">
        <f t="shared" si="7"/>
        <v>0.17509627727856225</v>
      </c>
      <c r="AR31" s="33">
        <v>92.1</v>
      </c>
      <c r="AS31" s="33">
        <v>95.7</v>
      </c>
      <c r="AT31" s="33">
        <v>88.7</v>
      </c>
      <c r="AU31" s="33">
        <v>90.2</v>
      </c>
      <c r="AV31" s="65">
        <v>95</v>
      </c>
      <c r="AW31" s="33">
        <v>85.5</v>
      </c>
      <c r="AX31" s="33">
        <v>3.2</v>
      </c>
      <c r="AY31" s="33">
        <v>4</v>
      </c>
      <c r="AZ31" s="33">
        <v>-12</v>
      </c>
      <c r="BA31" s="33">
        <v>-3.5</v>
      </c>
      <c r="BB31" s="33">
        <v>94.3</v>
      </c>
      <c r="BC31" s="33">
        <v>94.6</v>
      </c>
      <c r="BD31" s="33">
        <v>94</v>
      </c>
      <c r="BE31" s="33">
        <v>-5.8</v>
      </c>
      <c r="BF31" s="33">
        <v>-41.7</v>
      </c>
      <c r="BG31" s="33">
        <v>-3.2</v>
      </c>
      <c r="BH31" s="33">
        <v>163.80000000000001</v>
      </c>
      <c r="BI31" s="33">
        <v>26.2</v>
      </c>
      <c r="BJ31" s="34" t="s">
        <v>243</v>
      </c>
      <c r="BK31" s="45" t="s">
        <v>243</v>
      </c>
      <c r="BL31" s="45" t="s">
        <v>243</v>
      </c>
      <c r="BM31" s="33">
        <v>99.350800000000007</v>
      </c>
      <c r="BN31" s="33">
        <v>99.443799999999996</v>
      </c>
      <c r="BO31" s="33">
        <v>-29.6</v>
      </c>
      <c r="BP31" s="33">
        <v>-45.3</v>
      </c>
      <c r="BQ31" s="33">
        <v>15.1</v>
      </c>
      <c r="BR31" s="33">
        <v>-0.7</v>
      </c>
      <c r="BS31" s="33">
        <v>14.6</v>
      </c>
      <c r="BT31" s="45" t="s">
        <v>243</v>
      </c>
      <c r="BU31" s="33">
        <v>-15.1</v>
      </c>
      <c r="BV31" s="33">
        <v>0</v>
      </c>
      <c r="BW31" s="33">
        <v>-13.9</v>
      </c>
      <c r="BX31" s="33">
        <v>-19.600000000000001</v>
      </c>
      <c r="BY31" s="33">
        <v>-18.3</v>
      </c>
      <c r="BZ31" s="33">
        <v>91.1</v>
      </c>
      <c r="CA31" s="33">
        <v>-13.9</v>
      </c>
      <c r="CB31" s="33">
        <v>-9.9</v>
      </c>
      <c r="CC31" s="33">
        <v>-5.2</v>
      </c>
      <c r="CD31" s="33">
        <v>-36.4</v>
      </c>
      <c r="CE31" s="33">
        <v>-30</v>
      </c>
      <c r="CF31" s="33">
        <v>51</v>
      </c>
      <c r="CG31" s="33">
        <v>59.8</v>
      </c>
      <c r="CH31" s="33">
        <v>36.700000000000003</v>
      </c>
      <c r="CI31" s="33">
        <v>-26.6</v>
      </c>
      <c r="CJ31" s="33">
        <v>-10.4</v>
      </c>
      <c r="CK31" s="33">
        <v>8.4</v>
      </c>
      <c r="CL31" s="33">
        <v>11.5</v>
      </c>
      <c r="CM31" s="33">
        <v>1070.9581820000001</v>
      </c>
      <c r="CN31" s="33">
        <v>3275.27</v>
      </c>
      <c r="CO31" s="33">
        <v>407.36454500000002</v>
      </c>
      <c r="CP31" s="33">
        <v>9.2929999999999993</v>
      </c>
      <c r="CQ31" s="33">
        <v>7.38</v>
      </c>
      <c r="CR31" s="33">
        <v>70.3</v>
      </c>
      <c r="CS31" s="65"/>
      <c r="CT31" s="33">
        <v>94.4</v>
      </c>
      <c r="CU31" s="33">
        <v>87.5</v>
      </c>
      <c r="CV31" s="33"/>
      <c r="CW31" s="33"/>
      <c r="CX31" s="33"/>
      <c r="CY31" s="33">
        <v>1.88</v>
      </c>
      <c r="CZ31" s="33"/>
      <c r="DA31" s="33">
        <v>1.94</v>
      </c>
      <c r="DB31" s="33">
        <v>13.35</v>
      </c>
      <c r="DC31" s="33"/>
      <c r="DD31" s="33"/>
      <c r="DE31" s="33"/>
      <c r="DF31" s="33"/>
      <c r="DG31" s="33"/>
      <c r="DH31" s="33"/>
      <c r="DI31" s="33">
        <v>223.18199999999999</v>
      </c>
      <c r="DJ31" s="33"/>
      <c r="DK31" s="33"/>
      <c r="DL31" s="33"/>
      <c r="DM31" s="33"/>
      <c r="DN31" s="33">
        <v>99.443799999999996</v>
      </c>
      <c r="DO31" s="33">
        <v>99.350800000000007</v>
      </c>
      <c r="DP31" s="33">
        <v>99.467299999999994</v>
      </c>
      <c r="DQ31" s="33">
        <v>99.413700000000006</v>
      </c>
      <c r="DR31" s="104">
        <v>615368</v>
      </c>
      <c r="DS31" s="104">
        <v>29445.198451539967</v>
      </c>
      <c r="DT31" s="103" t="s">
        <v>243</v>
      </c>
      <c r="DU31">
        <v>56.164386749267578</v>
      </c>
      <c r="DV31" t="s">
        <v>243</v>
      </c>
      <c r="DW31">
        <v>1223</v>
      </c>
      <c r="DX31">
        <v>302750</v>
      </c>
      <c r="DY31" s="102">
        <f t="shared" si="8"/>
        <v>64.400000000000006</v>
      </c>
    </row>
    <row r="32" spans="1:130" x14ac:dyDescent="0.25">
      <c r="A32" s="1">
        <v>33695</v>
      </c>
      <c r="B32" s="33">
        <v>79.8</v>
      </c>
      <c r="C32" s="88">
        <v>9.6</v>
      </c>
      <c r="D32" s="33">
        <v>8</v>
      </c>
      <c r="E32" s="72">
        <v>9.7000000000000011</v>
      </c>
      <c r="F32" s="33">
        <v>8.41</v>
      </c>
      <c r="G32" s="33">
        <v>8.1300000000000008</v>
      </c>
      <c r="H32" s="33">
        <v>8.0399999999999991</v>
      </c>
      <c r="I32" s="33">
        <f t="shared" si="0"/>
        <v>-1.5600000000000005</v>
      </c>
      <c r="J32" s="33">
        <f t="shared" si="1"/>
        <v>3.9999999999999147E-2</v>
      </c>
      <c r="K32" s="33">
        <f t="shared" si="2"/>
        <v>-1.6600000000000019</v>
      </c>
      <c r="L32" s="33">
        <f t="shared" si="3"/>
        <v>-1.5999999999999996</v>
      </c>
      <c r="M32" s="33">
        <v>98.3</v>
      </c>
      <c r="N32" s="33">
        <v>1707.3</v>
      </c>
      <c r="O32" s="33">
        <v>12.15</v>
      </c>
      <c r="P32" s="34" t="s">
        <v>312</v>
      </c>
      <c r="Q32" s="34" t="str">
        <f t="shared" si="4"/>
        <v/>
      </c>
      <c r="R32" s="71">
        <v>822.68061851362768</v>
      </c>
      <c r="S32" s="34">
        <f t="shared" si="5"/>
        <v>1238.9768351108848</v>
      </c>
      <c r="T32" s="71">
        <v>822.33629957250491</v>
      </c>
      <c r="U32" s="34">
        <f t="shared" si="6"/>
        <v>1238.458282488712</v>
      </c>
      <c r="V32" s="116">
        <v>581140</v>
      </c>
      <c r="W32" s="116">
        <v>1108333</v>
      </c>
      <c r="X32" s="117">
        <v>2764811</v>
      </c>
      <c r="Y32" s="117">
        <v>441582</v>
      </c>
      <c r="Z32" s="33">
        <v>71.8</v>
      </c>
      <c r="AA32" s="33">
        <v>55.4</v>
      </c>
      <c r="AB32" s="33">
        <v>79.7</v>
      </c>
      <c r="AC32" s="33">
        <v>50.6</v>
      </c>
      <c r="AD32" s="33">
        <v>38499</v>
      </c>
      <c r="AE32" s="33">
        <v>7.5</v>
      </c>
      <c r="AF32" s="33">
        <v>317</v>
      </c>
      <c r="AG32" s="33">
        <v>64.599999999999994</v>
      </c>
      <c r="AH32" s="33">
        <v>66.400000000000006</v>
      </c>
      <c r="AI32" s="33">
        <v>77.8</v>
      </c>
      <c r="AJ32" s="33">
        <v>77.900000000000006</v>
      </c>
      <c r="AK32" s="33">
        <v>155.408841</v>
      </c>
      <c r="AL32" s="33">
        <v>47.7</v>
      </c>
      <c r="AM32" s="123"/>
      <c r="AN32" s="123">
        <v>11.06632251889876</v>
      </c>
      <c r="AO32" s="123"/>
      <c r="AP32" s="33">
        <v>14.57</v>
      </c>
      <c r="AQ32" s="33">
        <f t="shared" si="7"/>
        <v>0.18727506426735219</v>
      </c>
      <c r="AR32" s="33">
        <v>91.6</v>
      </c>
      <c r="AS32" s="33">
        <v>95.1</v>
      </c>
      <c r="AT32" s="33">
        <v>88.3</v>
      </c>
      <c r="AU32" s="33">
        <v>90.3</v>
      </c>
      <c r="AV32" s="65">
        <v>95.3</v>
      </c>
      <c r="AW32" s="33">
        <v>85.6</v>
      </c>
      <c r="AX32" s="33">
        <v>-0.5</v>
      </c>
      <c r="AY32" s="33">
        <v>-0.1</v>
      </c>
      <c r="AZ32" s="33">
        <v>-10.3</v>
      </c>
      <c r="BA32" s="33">
        <v>-2.6</v>
      </c>
      <c r="BB32" s="33">
        <v>93.3</v>
      </c>
      <c r="BC32" s="33">
        <v>93.8</v>
      </c>
      <c r="BD32" s="33">
        <v>92.8</v>
      </c>
      <c r="BE32" s="33">
        <v>-14.3</v>
      </c>
      <c r="BF32" s="33">
        <v>-26.5</v>
      </c>
      <c r="BG32" s="33">
        <v>-10.5</v>
      </c>
      <c r="BH32" s="33">
        <v>165</v>
      </c>
      <c r="BI32" s="33">
        <v>6</v>
      </c>
      <c r="BJ32" s="34" t="s">
        <v>243</v>
      </c>
      <c r="BK32" s="45" t="s">
        <v>243</v>
      </c>
      <c r="BL32" s="45" t="s">
        <v>243</v>
      </c>
      <c r="BM32" s="33">
        <v>99.147499999999994</v>
      </c>
      <c r="BN32" s="33">
        <v>99.269099999999995</v>
      </c>
      <c r="BO32" s="33">
        <v>-33.799999999999997</v>
      </c>
      <c r="BP32" s="33">
        <v>-46.1</v>
      </c>
      <c r="BQ32" s="33">
        <v>14.9</v>
      </c>
      <c r="BR32" s="33">
        <v>-1.7</v>
      </c>
      <c r="BS32" s="33">
        <v>13.3</v>
      </c>
      <c r="BT32" s="45" t="s">
        <v>243</v>
      </c>
      <c r="BU32" s="33">
        <v>-16.8</v>
      </c>
      <c r="BV32" s="33">
        <v>0</v>
      </c>
      <c r="BW32" s="33">
        <v>-15.9</v>
      </c>
      <c r="BX32" s="33">
        <v>-19.600000000000001</v>
      </c>
      <c r="BY32" s="33">
        <v>-20.9</v>
      </c>
      <c r="BZ32" s="33">
        <v>89.4</v>
      </c>
      <c r="CA32" s="33">
        <v>-15.9</v>
      </c>
      <c r="CB32" s="33">
        <v>-13.9</v>
      </c>
      <c r="CC32" s="33">
        <v>-7.1</v>
      </c>
      <c r="CD32" s="33">
        <v>-43.1</v>
      </c>
      <c r="CE32" s="33">
        <v>-32.700000000000003</v>
      </c>
      <c r="CF32" s="33">
        <v>53.5</v>
      </c>
      <c r="CG32" s="33">
        <v>61.9</v>
      </c>
      <c r="CH32" s="33">
        <v>39</v>
      </c>
      <c r="CI32" s="33">
        <v>-27.6</v>
      </c>
      <c r="CJ32" s="33">
        <v>-9.8000000000000007</v>
      </c>
      <c r="CK32" s="33">
        <v>6.5</v>
      </c>
      <c r="CL32" s="33">
        <v>10.1</v>
      </c>
      <c r="CM32" s="33">
        <v>1071.5636360000001</v>
      </c>
      <c r="CN32" s="33">
        <v>3249.33</v>
      </c>
      <c r="CO32" s="33">
        <v>407.8</v>
      </c>
      <c r="CP32" s="33">
        <v>9.9990000000000006</v>
      </c>
      <c r="CQ32" s="33">
        <v>7.46</v>
      </c>
      <c r="CR32" s="33">
        <v>70.5</v>
      </c>
      <c r="CS32" s="65"/>
      <c r="CT32" s="33">
        <v>91.2</v>
      </c>
      <c r="CU32" s="33">
        <v>88.5</v>
      </c>
      <c r="CV32" s="33"/>
      <c r="CW32" s="33"/>
      <c r="CX32" s="33"/>
      <c r="CY32" s="33">
        <v>1.86</v>
      </c>
      <c r="CZ32" s="33"/>
      <c r="DA32" s="33">
        <v>1.84</v>
      </c>
      <c r="DB32" s="33">
        <v>13.75</v>
      </c>
      <c r="DC32" s="33"/>
      <c r="DD32" s="33"/>
      <c r="DE32" s="33"/>
      <c r="DF32" s="33"/>
      <c r="DG32" s="33"/>
      <c r="DH32" s="33"/>
      <c r="DI32" s="33">
        <v>238.57900000000001</v>
      </c>
      <c r="DJ32" s="33"/>
      <c r="DK32" s="33"/>
      <c r="DL32" s="33"/>
      <c r="DM32" s="33"/>
      <c r="DN32" s="33">
        <v>99.269099999999995</v>
      </c>
      <c r="DO32" s="33">
        <v>99.147499999999994</v>
      </c>
      <c r="DP32" s="33">
        <v>99.607200000000006</v>
      </c>
      <c r="DQ32" s="33">
        <v>99.567599999999999</v>
      </c>
      <c r="DR32" s="104">
        <v>593168</v>
      </c>
      <c r="DS32" s="104">
        <v>29432.142076212593</v>
      </c>
      <c r="DT32" s="103" t="s">
        <v>243</v>
      </c>
      <c r="DU32">
        <v>70.483116149902344</v>
      </c>
      <c r="DV32" t="s">
        <v>243</v>
      </c>
      <c r="DW32">
        <v>1179</v>
      </c>
      <c r="DX32">
        <v>298700</v>
      </c>
      <c r="DY32" s="102">
        <f t="shared" si="8"/>
        <v>62.7</v>
      </c>
    </row>
    <row r="33" spans="1:129" x14ac:dyDescent="0.25">
      <c r="A33" s="1">
        <v>33725</v>
      </c>
      <c r="B33" s="33">
        <v>79.099999999999994</v>
      </c>
      <c r="C33" s="88">
        <v>9.61</v>
      </c>
      <c r="D33" s="33">
        <v>8</v>
      </c>
      <c r="E33" s="72">
        <v>9.73</v>
      </c>
      <c r="F33" s="33">
        <v>8.4600000000000009</v>
      </c>
      <c r="G33" s="33">
        <v>8.1999999999999993</v>
      </c>
      <c r="H33" s="33">
        <v>8.08</v>
      </c>
      <c r="I33" s="33">
        <f t="shared" si="0"/>
        <v>-1.5299999999999994</v>
      </c>
      <c r="J33" s="33">
        <f t="shared" si="1"/>
        <v>8.0000000000000071E-2</v>
      </c>
      <c r="K33" s="33">
        <f t="shared" si="2"/>
        <v>-1.6500000000000004</v>
      </c>
      <c r="L33" s="33">
        <f t="shared" si="3"/>
        <v>-1.6099999999999994</v>
      </c>
      <c r="M33" s="33">
        <v>98.1</v>
      </c>
      <c r="N33" s="33">
        <v>1734.03</v>
      </c>
      <c r="O33" s="33">
        <v>10.99</v>
      </c>
      <c r="P33" s="34" t="s">
        <v>312</v>
      </c>
      <c r="Q33" s="34" t="str">
        <f t="shared" si="4"/>
        <v/>
      </c>
      <c r="R33" s="71">
        <v>826.01787183397744</v>
      </c>
      <c r="S33" s="34">
        <f t="shared" si="5"/>
        <v>1240.267074825792</v>
      </c>
      <c r="T33" s="71">
        <v>827.19430389060972</v>
      </c>
      <c r="U33" s="34">
        <f t="shared" si="6"/>
        <v>1242.0334893252398</v>
      </c>
      <c r="V33" s="116">
        <v>581853</v>
      </c>
      <c r="W33" s="116">
        <v>1114672</v>
      </c>
      <c r="X33" s="117">
        <v>2778249</v>
      </c>
      <c r="Y33" s="117">
        <v>454480</v>
      </c>
      <c r="Z33" s="33">
        <v>71.7</v>
      </c>
      <c r="AA33" s="33">
        <v>54.2</v>
      </c>
      <c r="AB33" s="33">
        <v>79.599999999999994</v>
      </c>
      <c r="AC33" s="33">
        <v>48.6</v>
      </c>
      <c r="AD33" s="33">
        <v>38471</v>
      </c>
      <c r="AE33" s="33">
        <v>7.6</v>
      </c>
      <c r="AF33" s="33">
        <v>316</v>
      </c>
      <c r="AG33" s="33">
        <v>64.8</v>
      </c>
      <c r="AH33" s="33">
        <v>66.599999999999994</v>
      </c>
      <c r="AI33" s="33">
        <v>77.7</v>
      </c>
      <c r="AJ33" s="33">
        <v>77.900000000000006</v>
      </c>
      <c r="AK33" s="33">
        <v>155.76487499999999</v>
      </c>
      <c r="AL33" s="33">
        <v>48.5</v>
      </c>
      <c r="AM33" s="123"/>
      <c r="AN33" s="123">
        <v>11.34367396047517</v>
      </c>
      <c r="AO33" s="123"/>
      <c r="AP33" s="33">
        <v>15.03</v>
      </c>
      <c r="AQ33" s="33">
        <f t="shared" si="7"/>
        <v>0.19343629343629343</v>
      </c>
      <c r="AR33" s="33">
        <v>91.4</v>
      </c>
      <c r="AS33" s="33">
        <v>95.6</v>
      </c>
      <c r="AT33" s="33">
        <v>87.4</v>
      </c>
      <c r="AU33" s="33">
        <v>90</v>
      </c>
      <c r="AV33" s="65">
        <v>95.6</v>
      </c>
      <c r="AW33" s="33">
        <v>84.6</v>
      </c>
      <c r="AX33" s="33">
        <v>-1.8</v>
      </c>
      <c r="AY33" s="33">
        <v>-2.2999999999999998</v>
      </c>
      <c r="AZ33" s="33">
        <v>-10.4</v>
      </c>
      <c r="BA33" s="33">
        <v>1.9</v>
      </c>
      <c r="BB33" s="33">
        <v>92.5</v>
      </c>
      <c r="BC33" s="33">
        <v>93</v>
      </c>
      <c r="BD33" s="33">
        <v>91.9</v>
      </c>
      <c r="BE33" s="33">
        <v>-11.7</v>
      </c>
      <c r="BF33" s="33">
        <v>-4</v>
      </c>
      <c r="BG33" s="33">
        <v>-12.7</v>
      </c>
      <c r="BH33" s="33">
        <v>165.8</v>
      </c>
      <c r="BI33" s="33">
        <v>0.8</v>
      </c>
      <c r="BJ33" s="34" t="s">
        <v>243</v>
      </c>
      <c r="BK33" s="45" t="s">
        <v>243</v>
      </c>
      <c r="BL33" s="45" t="s">
        <v>243</v>
      </c>
      <c r="BM33" s="33">
        <v>98.91</v>
      </c>
      <c r="BN33" s="33">
        <v>99.065100000000001</v>
      </c>
      <c r="BO33" s="33">
        <v>-34.6</v>
      </c>
      <c r="BP33" s="33">
        <v>-45.9</v>
      </c>
      <c r="BQ33" s="33">
        <v>16.399999999999999</v>
      </c>
      <c r="BR33" s="33">
        <v>-1.7</v>
      </c>
      <c r="BS33" s="33">
        <v>11.5</v>
      </c>
      <c r="BT33" s="45" t="s">
        <v>243</v>
      </c>
      <c r="BU33" s="33">
        <v>-17.600000000000001</v>
      </c>
      <c r="BV33" s="33">
        <v>0</v>
      </c>
      <c r="BW33" s="33">
        <v>-17.100000000000001</v>
      </c>
      <c r="BX33" s="33">
        <v>-20.8</v>
      </c>
      <c r="BY33" s="33">
        <v>-21.3</v>
      </c>
      <c r="BZ33" s="33">
        <v>88.2</v>
      </c>
      <c r="CA33" s="33">
        <v>-17.100000000000001</v>
      </c>
      <c r="CB33" s="33">
        <v>-14.4</v>
      </c>
      <c r="CC33" s="33">
        <v>-7.5</v>
      </c>
      <c r="CD33" s="33">
        <v>-51.7</v>
      </c>
      <c r="CE33" s="33">
        <v>-35.700000000000003</v>
      </c>
      <c r="CF33" s="33">
        <v>57.1</v>
      </c>
      <c r="CG33" s="33">
        <v>63.1</v>
      </c>
      <c r="CH33" s="33">
        <v>40.299999999999997</v>
      </c>
      <c r="CI33" s="33">
        <v>-28.7</v>
      </c>
      <c r="CJ33" s="33">
        <v>-10.7</v>
      </c>
      <c r="CK33" s="33">
        <v>5.8</v>
      </c>
      <c r="CL33" s="33">
        <v>8.8000000000000007</v>
      </c>
      <c r="CM33" s="33">
        <v>1092.7147620000001</v>
      </c>
      <c r="CN33" s="33">
        <v>3336.09</v>
      </c>
      <c r="CO33" s="33">
        <v>414.77714300000002</v>
      </c>
      <c r="CP33" s="33">
        <v>9.141</v>
      </c>
      <c r="CQ33" s="33">
        <v>7.56</v>
      </c>
      <c r="CR33" s="33">
        <v>71.2</v>
      </c>
      <c r="CS33" s="65"/>
      <c r="CT33" s="33">
        <v>92.3</v>
      </c>
      <c r="CU33" s="33">
        <v>86.4</v>
      </c>
      <c r="CV33" s="33"/>
      <c r="CW33" s="33"/>
      <c r="CX33" s="33"/>
      <c r="CY33" s="33">
        <v>1.67</v>
      </c>
      <c r="CZ33" s="33"/>
      <c r="DA33" s="33">
        <v>1.72</v>
      </c>
      <c r="DB33" s="33">
        <v>12.92</v>
      </c>
      <c r="DC33" s="33"/>
      <c r="DD33" s="33"/>
      <c r="DE33" s="33"/>
      <c r="DF33" s="33"/>
      <c r="DG33" s="33">
        <v>427.76100000000002</v>
      </c>
      <c r="DH33" s="33">
        <v>535.30200000000002</v>
      </c>
      <c r="DI33" s="33">
        <v>199.27699999999999</v>
      </c>
      <c r="DJ33" s="33">
        <v>99.223799999999997</v>
      </c>
      <c r="DK33" s="33">
        <v>99.185100000000006</v>
      </c>
      <c r="DL33" s="33">
        <v>101.46</v>
      </c>
      <c r="DM33" s="33">
        <v>101.8552</v>
      </c>
      <c r="DN33" s="33">
        <v>99.065100000000001</v>
      </c>
      <c r="DO33" s="33">
        <v>98.91</v>
      </c>
      <c r="DP33" s="33">
        <v>99.695800000000006</v>
      </c>
      <c r="DQ33" s="33">
        <v>99.665099999999995</v>
      </c>
      <c r="DR33" s="104">
        <v>581472</v>
      </c>
      <c r="DS33" s="104">
        <v>29408.33339179209</v>
      </c>
      <c r="DT33" s="103" t="s">
        <v>243</v>
      </c>
      <c r="DU33">
        <v>91.904869079589844</v>
      </c>
      <c r="DV33" t="s">
        <v>243</v>
      </c>
      <c r="DW33">
        <v>1219</v>
      </c>
      <c r="DX33">
        <v>279650</v>
      </c>
      <c r="DY33" s="102">
        <f t="shared" si="8"/>
        <v>62.3</v>
      </c>
    </row>
    <row r="34" spans="1:129" x14ac:dyDescent="0.25">
      <c r="A34" s="1">
        <v>33756</v>
      </c>
      <c r="B34" s="33">
        <v>78.2</v>
      </c>
      <c r="C34" s="88">
        <v>9.65</v>
      </c>
      <c r="D34" s="33">
        <v>8</v>
      </c>
      <c r="E34" s="72">
        <v>9.7000000000000011</v>
      </c>
      <c r="F34" s="33">
        <v>8.49</v>
      </c>
      <c r="G34" s="33">
        <v>8.25</v>
      </c>
      <c r="H34" s="33">
        <v>8.06</v>
      </c>
      <c r="I34" s="33">
        <f t="shared" si="0"/>
        <v>-1.5899999999999999</v>
      </c>
      <c r="J34" s="33">
        <f>H34-D34</f>
        <v>6.0000000000000497E-2</v>
      </c>
      <c r="K34" s="33">
        <f>H34-E34</f>
        <v>-1.6400000000000006</v>
      </c>
      <c r="L34" s="33">
        <f>D34-C34</f>
        <v>-1.6500000000000004</v>
      </c>
      <c r="M34" s="33">
        <v>98.6</v>
      </c>
      <c r="N34" s="33">
        <v>1798.14</v>
      </c>
      <c r="O34" s="33">
        <v>9.92</v>
      </c>
      <c r="P34" s="34" t="s">
        <v>312</v>
      </c>
      <c r="Q34" s="34" t="str">
        <f t="shared" si="4"/>
        <v/>
      </c>
      <c r="R34" s="71">
        <v>833.35982913874659</v>
      </c>
      <c r="S34" s="34">
        <f t="shared" si="5"/>
        <v>1245.6798641834775</v>
      </c>
      <c r="T34" s="71">
        <v>833.57638799478639</v>
      </c>
      <c r="U34" s="34">
        <f t="shared" si="6"/>
        <v>1246.0035694989331</v>
      </c>
      <c r="V34" s="116">
        <v>585141</v>
      </c>
      <c r="W34" s="116">
        <v>1109260</v>
      </c>
      <c r="X34" s="117">
        <v>2784130</v>
      </c>
      <c r="Y34" s="117">
        <v>465434</v>
      </c>
      <c r="Z34" s="33">
        <v>70.400000000000006</v>
      </c>
      <c r="AA34" s="33">
        <v>53</v>
      </c>
      <c r="AB34" s="33">
        <v>79.5</v>
      </c>
      <c r="AC34" s="33">
        <v>47.2</v>
      </c>
      <c r="AD34" s="33">
        <v>38431</v>
      </c>
      <c r="AE34" s="33">
        <v>7.6</v>
      </c>
      <c r="AF34" s="33">
        <v>312</v>
      </c>
      <c r="AG34" s="33">
        <v>65</v>
      </c>
      <c r="AH34" s="33">
        <v>66.900000000000006</v>
      </c>
      <c r="AI34" s="33">
        <v>77.400000000000006</v>
      </c>
      <c r="AJ34" s="33">
        <v>77.900000000000006</v>
      </c>
      <c r="AK34" s="33">
        <v>155.942892</v>
      </c>
      <c r="AL34" s="33">
        <v>48.5</v>
      </c>
      <c r="AM34" s="123"/>
      <c r="AN34" s="123">
        <v>11.67813117798304</v>
      </c>
      <c r="AO34" s="123"/>
      <c r="AP34" s="33">
        <v>15.48</v>
      </c>
      <c r="AQ34" s="33">
        <f t="shared" si="7"/>
        <v>0.19999999999999998</v>
      </c>
      <c r="AR34" s="33">
        <v>90.5</v>
      </c>
      <c r="AS34" s="33">
        <v>94.9</v>
      </c>
      <c r="AT34" s="33">
        <v>86.3</v>
      </c>
      <c r="AU34" s="33">
        <v>89</v>
      </c>
      <c r="AV34" s="65">
        <v>94.7</v>
      </c>
      <c r="AW34" s="33">
        <v>83.6</v>
      </c>
      <c r="AX34" s="33">
        <v>-3</v>
      </c>
      <c r="AY34" s="33">
        <v>1.2</v>
      </c>
      <c r="AZ34" s="33">
        <v>-13.9</v>
      </c>
      <c r="BA34" s="33">
        <v>-1.7</v>
      </c>
      <c r="BB34" s="33">
        <v>92.7</v>
      </c>
      <c r="BC34" s="33">
        <v>94.2</v>
      </c>
      <c r="BD34" s="33">
        <v>91.3</v>
      </c>
      <c r="BE34" s="33">
        <v>-6.2</v>
      </c>
      <c r="BF34" s="33">
        <v>3.2</v>
      </c>
      <c r="BG34" s="33">
        <v>-8.5</v>
      </c>
      <c r="BH34" s="33">
        <v>166.8</v>
      </c>
      <c r="BI34" s="33">
        <v>0.4</v>
      </c>
      <c r="BJ34" s="34" t="s">
        <v>243</v>
      </c>
      <c r="BK34" s="45" t="s">
        <v>243</v>
      </c>
      <c r="BL34" s="45" t="s">
        <v>243</v>
      </c>
      <c r="BM34" s="33">
        <v>98.633200000000002</v>
      </c>
      <c r="BN34" s="33">
        <v>98.827299999999994</v>
      </c>
      <c r="BO34" s="33">
        <v>-36.9</v>
      </c>
      <c r="BP34" s="33">
        <v>-46</v>
      </c>
      <c r="BQ34" s="33">
        <v>17.100000000000001</v>
      </c>
      <c r="BR34" s="33">
        <v>0.4</v>
      </c>
      <c r="BS34" s="33">
        <v>9.3000000000000007</v>
      </c>
      <c r="BT34" s="45" t="s">
        <v>243</v>
      </c>
      <c r="BU34" s="33">
        <v>-17.899999999999999</v>
      </c>
      <c r="BV34" s="33">
        <v>0</v>
      </c>
      <c r="BW34" s="33">
        <v>-15.2</v>
      </c>
      <c r="BX34" s="33">
        <v>-22.1</v>
      </c>
      <c r="BY34" s="33">
        <v>-20.100000000000001</v>
      </c>
      <c r="BZ34" s="33">
        <v>89.1</v>
      </c>
      <c r="CA34" s="33">
        <v>-15.2</v>
      </c>
      <c r="CB34" s="33">
        <v>-13.3</v>
      </c>
      <c r="CC34" s="33">
        <v>-5.3</v>
      </c>
      <c r="CD34" s="33">
        <v>-46.1</v>
      </c>
      <c r="CE34" s="33">
        <v>-33.1</v>
      </c>
      <c r="CF34" s="33">
        <v>53.1</v>
      </c>
      <c r="CG34" s="33">
        <v>58.7</v>
      </c>
      <c r="CH34" s="33">
        <v>40.200000000000003</v>
      </c>
      <c r="CI34" s="33">
        <v>-29.1</v>
      </c>
      <c r="CJ34" s="33">
        <v>-9.1999999999999993</v>
      </c>
      <c r="CK34" s="33">
        <v>3.7</v>
      </c>
      <c r="CL34" s="33">
        <v>9.6999999999999993</v>
      </c>
      <c r="CM34" s="33">
        <v>1076.7913639999999</v>
      </c>
      <c r="CN34" s="33">
        <v>3413.21</v>
      </c>
      <c r="CO34" s="33">
        <v>408.274091</v>
      </c>
      <c r="CP34" s="33">
        <v>8.9540000000000006</v>
      </c>
      <c r="CQ34" s="33">
        <v>7.39</v>
      </c>
      <c r="CR34" s="33">
        <v>70.7</v>
      </c>
      <c r="CS34" s="65"/>
      <c r="CT34" s="33">
        <v>89.7</v>
      </c>
      <c r="CU34" s="33">
        <v>84</v>
      </c>
      <c r="CV34" s="33"/>
      <c r="CW34" s="33"/>
      <c r="CX34" s="33"/>
      <c r="CY34" s="33">
        <v>1.69</v>
      </c>
      <c r="CZ34" s="33"/>
      <c r="DA34" s="33">
        <v>1.59</v>
      </c>
      <c r="DB34" s="33">
        <v>12.41</v>
      </c>
      <c r="DC34" s="33"/>
      <c r="DD34" s="33"/>
      <c r="DE34" s="33"/>
      <c r="DF34" s="33"/>
      <c r="DG34" s="33">
        <v>418.42399999999998</v>
      </c>
      <c r="DH34" s="33">
        <v>538.85500000000002</v>
      </c>
      <c r="DI34" s="33">
        <v>230.79</v>
      </c>
      <c r="DJ34" s="33">
        <v>99.227500000000006</v>
      </c>
      <c r="DK34" s="33">
        <v>99.199799999999996</v>
      </c>
      <c r="DL34" s="33">
        <v>101.66</v>
      </c>
      <c r="DM34" s="33">
        <v>102.11450000000001</v>
      </c>
      <c r="DN34" s="33">
        <v>98.827299999999994</v>
      </c>
      <c r="DO34" s="33">
        <v>98.633200000000002</v>
      </c>
      <c r="DP34" s="33">
        <v>99.722300000000004</v>
      </c>
      <c r="DQ34" s="33">
        <v>99.694199999999995</v>
      </c>
      <c r="DR34" s="104">
        <v>563687</v>
      </c>
      <c r="DS34" s="104">
        <v>29379.14855282502</v>
      </c>
      <c r="DT34" s="103" t="s">
        <v>243</v>
      </c>
      <c r="DU34">
        <v>113.02247619628906</v>
      </c>
      <c r="DV34" t="s">
        <v>243</v>
      </c>
      <c r="DW34">
        <v>1261</v>
      </c>
      <c r="DX34">
        <v>265350</v>
      </c>
      <c r="DY34" s="102">
        <f t="shared" si="8"/>
        <v>61.599999999999994</v>
      </c>
    </row>
    <row r="35" spans="1:129" x14ac:dyDescent="0.25">
      <c r="A35" s="1">
        <v>33786</v>
      </c>
      <c r="B35" s="33">
        <v>77.099999999999994</v>
      </c>
      <c r="C35" s="88">
        <v>9.69</v>
      </c>
      <c r="D35" s="33">
        <v>8.75</v>
      </c>
      <c r="E35" s="72">
        <v>9.73</v>
      </c>
      <c r="F35" s="33">
        <v>8.5399999999999991</v>
      </c>
      <c r="G35" s="33">
        <v>8.31</v>
      </c>
      <c r="H35" s="33">
        <v>8.1199999999999992</v>
      </c>
      <c r="I35" s="33">
        <f t="shared" si="0"/>
        <v>-1.5700000000000003</v>
      </c>
      <c r="J35" s="33">
        <f t="shared" ref="J35:J55" si="9">H35-D35</f>
        <v>-0.63000000000000078</v>
      </c>
      <c r="K35" s="33">
        <f t="shared" ref="K35:K55" si="10">H35-E35</f>
        <v>-1.6100000000000012</v>
      </c>
      <c r="L35" s="33">
        <f t="shared" ref="L35:L55" si="11">D35-C35</f>
        <v>-0.9399999999999995</v>
      </c>
      <c r="M35" s="33">
        <v>100.1</v>
      </c>
      <c r="N35" s="33">
        <v>1756.26</v>
      </c>
      <c r="O35" s="33">
        <v>10.37</v>
      </c>
      <c r="P35" s="34" t="s">
        <v>312</v>
      </c>
      <c r="Q35" s="34" t="str">
        <f t="shared" si="4"/>
        <v/>
      </c>
      <c r="R35" s="71">
        <v>844.89719061766982</v>
      </c>
      <c r="S35" s="34">
        <f t="shared" si="5"/>
        <v>1261.0405830114476</v>
      </c>
      <c r="T35" s="71">
        <v>839.57745215244518</v>
      </c>
      <c r="U35" s="34">
        <f t="shared" si="6"/>
        <v>1253.1006748543957</v>
      </c>
      <c r="V35" s="116">
        <v>575547</v>
      </c>
      <c r="W35" s="116">
        <v>1113660</v>
      </c>
      <c r="X35" s="117">
        <v>2792853</v>
      </c>
      <c r="Y35" s="117">
        <v>478549</v>
      </c>
      <c r="Z35" s="33">
        <v>69.5</v>
      </c>
      <c r="AA35" s="33">
        <v>51.9</v>
      </c>
      <c r="AB35" s="33">
        <v>76.099999999999994</v>
      </c>
      <c r="AC35" s="33">
        <v>46.4</v>
      </c>
      <c r="AD35" s="33">
        <v>38368</v>
      </c>
      <c r="AE35" s="33">
        <v>7.8</v>
      </c>
      <c r="AF35" s="33">
        <v>307</v>
      </c>
      <c r="AG35" s="33">
        <v>65.099999999999994</v>
      </c>
      <c r="AH35" s="33">
        <v>67</v>
      </c>
      <c r="AI35" s="33">
        <v>76.900000000000006</v>
      </c>
      <c r="AJ35" s="33">
        <v>77.8</v>
      </c>
      <c r="AK35" s="33">
        <v>155.76487499999999</v>
      </c>
      <c r="AL35" s="33">
        <v>65.900000000000006</v>
      </c>
      <c r="AM35" s="123"/>
      <c r="AN35" s="123">
        <v>10.801018321267577</v>
      </c>
      <c r="AO35" s="123"/>
      <c r="AP35" s="33">
        <v>14.12</v>
      </c>
      <c r="AQ35" s="33">
        <f t="shared" si="7"/>
        <v>0.18361508452535757</v>
      </c>
      <c r="AR35" s="33">
        <v>89.7</v>
      </c>
      <c r="AS35" s="33">
        <v>94.8</v>
      </c>
      <c r="AT35" s="33">
        <v>84.8</v>
      </c>
      <c r="AU35" s="33">
        <v>87.7</v>
      </c>
      <c r="AV35" s="65">
        <v>93.9</v>
      </c>
      <c r="AW35" s="33">
        <v>81.900000000000006</v>
      </c>
      <c r="AX35" s="33">
        <v>-8.9</v>
      </c>
      <c r="AY35" s="33">
        <v>-0.5</v>
      </c>
      <c r="AZ35" s="33">
        <v>-13.7</v>
      </c>
      <c r="BA35" s="33">
        <v>-0.9</v>
      </c>
      <c r="BB35" s="33">
        <v>91.3</v>
      </c>
      <c r="BC35" s="33">
        <v>94.2</v>
      </c>
      <c r="BD35" s="33">
        <v>88.5</v>
      </c>
      <c r="BE35" s="33">
        <v>-9.8000000000000007</v>
      </c>
      <c r="BF35" s="33">
        <v>-5.6</v>
      </c>
      <c r="BG35" s="33">
        <v>-2</v>
      </c>
      <c r="BH35" s="33">
        <v>169.4</v>
      </c>
      <c r="BI35" s="33">
        <v>0.1</v>
      </c>
      <c r="BJ35" s="34" t="s">
        <v>243</v>
      </c>
      <c r="BK35" s="45" t="s">
        <v>243</v>
      </c>
      <c r="BL35" s="45" t="s">
        <v>243</v>
      </c>
      <c r="BM35" s="33">
        <v>98.303799999999995</v>
      </c>
      <c r="BN35" s="33">
        <v>98.544200000000004</v>
      </c>
      <c r="BO35" s="33">
        <v>-38</v>
      </c>
      <c r="BP35" s="33">
        <v>-46.6</v>
      </c>
      <c r="BQ35" s="33">
        <v>18.100000000000001</v>
      </c>
      <c r="BR35" s="33">
        <v>0.2</v>
      </c>
      <c r="BS35" s="33">
        <v>8.3000000000000007</v>
      </c>
      <c r="BT35" s="45" t="s">
        <v>243</v>
      </c>
      <c r="BU35" s="33">
        <v>-18.600000000000001</v>
      </c>
      <c r="BV35" s="33">
        <v>0</v>
      </c>
      <c r="BW35" s="33">
        <v>-14</v>
      </c>
      <c r="BX35" s="33">
        <v>-22.1</v>
      </c>
      <c r="BY35" s="33">
        <v>-18.5</v>
      </c>
      <c r="BZ35" s="33">
        <v>89.4</v>
      </c>
      <c r="CA35" s="33">
        <v>-14</v>
      </c>
      <c r="CB35" s="33">
        <v>-10.3</v>
      </c>
      <c r="CC35" s="33">
        <v>-3.5</v>
      </c>
      <c r="CD35" s="33">
        <v>-44.8</v>
      </c>
      <c r="CE35" s="33">
        <v>-33.299999999999997</v>
      </c>
      <c r="CF35" s="33">
        <v>51.9</v>
      </c>
      <c r="CG35" s="33">
        <v>55.2</v>
      </c>
      <c r="CH35" s="33">
        <v>40</v>
      </c>
      <c r="CI35" s="33">
        <v>-26.5</v>
      </c>
      <c r="CJ35" s="33">
        <v>-8.8000000000000007</v>
      </c>
      <c r="CK35" s="33">
        <v>6.8</v>
      </c>
      <c r="CL35" s="33">
        <v>11.4</v>
      </c>
      <c r="CM35" s="33">
        <v>1022.80087</v>
      </c>
      <c r="CN35" s="33">
        <v>3354.1</v>
      </c>
      <c r="CO35" s="33">
        <v>414.90913</v>
      </c>
      <c r="CP35" s="33">
        <v>9.1170000000000009</v>
      </c>
      <c r="CQ35" s="33">
        <v>7.1</v>
      </c>
      <c r="CR35" s="33">
        <v>67.599999999999994</v>
      </c>
      <c r="CS35" s="65"/>
      <c r="CT35" s="33">
        <v>86.5</v>
      </c>
      <c r="CU35" s="33">
        <v>75.599999999999994</v>
      </c>
      <c r="CV35" s="33"/>
      <c r="CW35" s="33"/>
      <c r="CX35" s="33"/>
      <c r="CY35" s="33">
        <v>2</v>
      </c>
      <c r="CZ35" s="33"/>
      <c r="DA35" s="33">
        <v>1.89</v>
      </c>
      <c r="DB35" s="33">
        <v>14.08</v>
      </c>
      <c r="DC35" s="33"/>
      <c r="DD35" s="33"/>
      <c r="DE35" s="33"/>
      <c r="DF35" s="33"/>
      <c r="DG35" s="33">
        <v>469.81900000000002</v>
      </c>
      <c r="DH35" s="33">
        <v>657.51900000000001</v>
      </c>
      <c r="DI35" s="33">
        <v>232.495</v>
      </c>
      <c r="DJ35" s="33">
        <v>99.218599999999995</v>
      </c>
      <c r="DK35" s="33">
        <v>99.198999999999998</v>
      </c>
      <c r="DL35" s="33">
        <v>101.83</v>
      </c>
      <c r="DM35" s="33">
        <v>102.3275</v>
      </c>
      <c r="DN35" s="33">
        <v>98.544200000000004</v>
      </c>
      <c r="DO35" s="33">
        <v>98.303799999999995</v>
      </c>
      <c r="DP35" s="33">
        <v>99.712199999999996</v>
      </c>
      <c r="DQ35" s="33">
        <v>99.683099999999996</v>
      </c>
      <c r="DR35" s="104">
        <v>435961</v>
      </c>
      <c r="DS35" s="104">
        <v>29333.067228140168</v>
      </c>
      <c r="DT35" s="103" t="s">
        <v>243</v>
      </c>
      <c r="DU35">
        <v>102.32051086425781</v>
      </c>
      <c r="DV35" t="s">
        <v>243</v>
      </c>
      <c r="DW35">
        <v>1079</v>
      </c>
      <c r="DX35">
        <v>260250</v>
      </c>
      <c r="DY35" s="102">
        <f t="shared" si="8"/>
        <v>60.7</v>
      </c>
    </row>
    <row r="36" spans="1:129" x14ac:dyDescent="0.25">
      <c r="A36" s="1">
        <v>33817</v>
      </c>
      <c r="B36" s="33">
        <v>77.400000000000006</v>
      </c>
      <c r="C36" s="88">
        <v>9.7200000000000006</v>
      </c>
      <c r="D36" s="33">
        <v>8.75</v>
      </c>
      <c r="E36" s="72">
        <v>9.83</v>
      </c>
      <c r="F36" s="33">
        <v>8.6</v>
      </c>
      <c r="G36" s="33">
        <v>8.32</v>
      </c>
      <c r="H36" s="33">
        <v>8.08</v>
      </c>
      <c r="I36" s="33">
        <f t="shared" si="0"/>
        <v>-1.6400000000000006</v>
      </c>
      <c r="J36" s="33">
        <f t="shared" si="9"/>
        <v>-0.66999999999999993</v>
      </c>
      <c r="K36" s="33">
        <f t="shared" si="10"/>
        <v>-1.75</v>
      </c>
      <c r="L36" s="33">
        <f t="shared" si="11"/>
        <v>-0.97000000000000064</v>
      </c>
      <c r="M36" s="33">
        <v>101.2</v>
      </c>
      <c r="N36" s="33">
        <v>1594.71</v>
      </c>
      <c r="O36" s="33">
        <v>15.69</v>
      </c>
      <c r="P36" s="34" t="s">
        <v>312</v>
      </c>
      <c r="Q36" s="34" t="str">
        <f t="shared" si="4"/>
        <v/>
      </c>
      <c r="R36" s="71">
        <v>849.95074564562799</v>
      </c>
      <c r="S36" s="34">
        <f t="shared" si="5"/>
        <v>1266.6926164614426</v>
      </c>
      <c r="T36" s="71">
        <v>847.29310606943488</v>
      </c>
      <c r="U36" s="34">
        <f t="shared" si="6"/>
        <v>1262.731901742824</v>
      </c>
      <c r="V36" s="116">
        <v>579693</v>
      </c>
      <c r="W36" s="116">
        <v>1115857</v>
      </c>
      <c r="X36" s="117">
        <v>2803439</v>
      </c>
      <c r="Y36" s="117">
        <v>482030</v>
      </c>
      <c r="Z36" s="33">
        <v>69.599999999999994</v>
      </c>
      <c r="AA36" s="33">
        <v>52.4</v>
      </c>
      <c r="AB36" s="33">
        <v>79</v>
      </c>
      <c r="AC36" s="33">
        <v>47</v>
      </c>
      <c r="AD36" s="33">
        <v>38294</v>
      </c>
      <c r="AE36" s="33">
        <v>7.8</v>
      </c>
      <c r="AF36" s="33">
        <v>308</v>
      </c>
      <c r="AG36" s="33">
        <v>65.2</v>
      </c>
      <c r="AH36" s="33">
        <v>67.099999999999994</v>
      </c>
      <c r="AI36" s="33">
        <v>76.400000000000006</v>
      </c>
      <c r="AJ36" s="33">
        <v>77.7</v>
      </c>
      <c r="AK36" s="33">
        <v>155.58685800000001</v>
      </c>
      <c r="AL36" s="33">
        <v>48.7</v>
      </c>
      <c r="AM36" s="123"/>
      <c r="AN36" s="123">
        <v>10.356424346784406</v>
      </c>
      <c r="AO36" s="123"/>
      <c r="AP36" s="33">
        <v>13.39</v>
      </c>
      <c r="AQ36" s="33">
        <f t="shared" si="7"/>
        <v>0.17526178010471202</v>
      </c>
      <c r="AR36" s="33">
        <v>86.5</v>
      </c>
      <c r="AS36" s="33">
        <v>89.6</v>
      </c>
      <c r="AT36" s="33">
        <v>83.6</v>
      </c>
      <c r="AU36" s="33">
        <v>84.4</v>
      </c>
      <c r="AV36" s="65">
        <v>88.5</v>
      </c>
      <c r="AW36" s="33">
        <v>80.5</v>
      </c>
      <c r="AX36" s="33">
        <v>-16.5</v>
      </c>
      <c r="AY36" s="33">
        <v>-10.5</v>
      </c>
      <c r="AZ36" s="33">
        <v>-21.8</v>
      </c>
      <c r="BA36" s="33">
        <v>-6.8</v>
      </c>
      <c r="BB36" s="33">
        <v>89.3</v>
      </c>
      <c r="BC36" s="33">
        <v>90.2</v>
      </c>
      <c r="BD36" s="33">
        <v>88.4</v>
      </c>
      <c r="BE36" s="33">
        <v>-31.3</v>
      </c>
      <c r="BF36" s="33">
        <v>-36.799999999999997</v>
      </c>
      <c r="BG36" s="33">
        <v>-1.1000000000000001</v>
      </c>
      <c r="BH36" s="33">
        <v>174.6</v>
      </c>
      <c r="BI36" s="33">
        <v>0.7</v>
      </c>
      <c r="BJ36" s="34" t="s">
        <v>243</v>
      </c>
      <c r="BK36" s="45" t="s">
        <v>243</v>
      </c>
      <c r="BL36" s="45" t="s">
        <v>243</v>
      </c>
      <c r="BM36" s="33">
        <v>97.924099999999996</v>
      </c>
      <c r="BN36" s="33">
        <v>98.218100000000007</v>
      </c>
      <c r="BO36" s="33">
        <v>-43.6</v>
      </c>
      <c r="BP36" s="33">
        <v>-48.6</v>
      </c>
      <c r="BQ36" s="33">
        <v>20.399999999999999</v>
      </c>
      <c r="BR36" s="33">
        <v>-8.3000000000000007</v>
      </c>
      <c r="BS36" s="33">
        <v>4.3</v>
      </c>
      <c r="BT36" s="45" t="s">
        <v>243</v>
      </c>
      <c r="BU36" s="33">
        <v>-24.1</v>
      </c>
      <c r="BV36" s="33">
        <v>0</v>
      </c>
      <c r="BW36" s="33">
        <v>-14</v>
      </c>
      <c r="BX36" s="33">
        <v>-28.9</v>
      </c>
      <c r="BY36" s="33">
        <v>-21.9</v>
      </c>
      <c r="BZ36" s="33">
        <v>85.5</v>
      </c>
      <c r="CA36" s="33">
        <v>-14</v>
      </c>
      <c r="CB36" s="33">
        <v>-9.1999999999999993</v>
      </c>
      <c r="CC36" s="33">
        <v>-4.0999999999999996</v>
      </c>
      <c r="CD36" s="33">
        <v>-44.4</v>
      </c>
      <c r="CE36" s="33">
        <v>-33.799999999999997</v>
      </c>
      <c r="CF36" s="33">
        <v>52.1</v>
      </c>
      <c r="CG36" s="33">
        <v>55.3</v>
      </c>
      <c r="CH36" s="33">
        <v>40.9</v>
      </c>
      <c r="CI36" s="33">
        <v>-24.1</v>
      </c>
      <c r="CJ36" s="33">
        <v>-9</v>
      </c>
      <c r="CK36" s="33">
        <v>8.3000000000000007</v>
      </c>
      <c r="CL36" s="33">
        <v>9.8000000000000007</v>
      </c>
      <c r="CM36" s="33">
        <v>962.765714</v>
      </c>
      <c r="CN36" s="33">
        <v>3395.4</v>
      </c>
      <c r="CO36" s="33">
        <v>417.92666700000001</v>
      </c>
      <c r="CP36" s="33">
        <v>9.2680000000000007</v>
      </c>
      <c r="CQ36" s="33">
        <v>6.72</v>
      </c>
      <c r="CR36" s="33">
        <v>69.5</v>
      </c>
      <c r="CS36" s="65"/>
      <c r="CT36" s="33">
        <v>85.7</v>
      </c>
      <c r="CU36" s="33">
        <v>78</v>
      </c>
      <c r="CV36" s="33"/>
      <c r="CW36" s="33"/>
      <c r="CX36" s="33"/>
      <c r="CY36" s="33">
        <v>1.7</v>
      </c>
      <c r="CZ36" s="33"/>
      <c r="DA36" s="33">
        <v>1.71</v>
      </c>
      <c r="DB36" s="33">
        <v>12.29</v>
      </c>
      <c r="DC36" s="33"/>
      <c r="DD36" s="33"/>
      <c r="DE36" s="33"/>
      <c r="DF36" s="33"/>
      <c r="DG36" s="33">
        <v>344.697</v>
      </c>
      <c r="DH36" s="33">
        <v>543.91200000000003</v>
      </c>
      <c r="DI36" s="33">
        <v>209.297</v>
      </c>
      <c r="DJ36" s="33">
        <v>99.198499999999996</v>
      </c>
      <c r="DK36" s="33">
        <v>99.184200000000004</v>
      </c>
      <c r="DL36" s="33">
        <v>101.95</v>
      </c>
      <c r="DM36" s="33">
        <v>102.4901</v>
      </c>
      <c r="DN36" s="33">
        <v>98.218100000000007</v>
      </c>
      <c r="DO36" s="33">
        <v>97.924099999999996</v>
      </c>
      <c r="DP36" s="33">
        <v>99.702699999999993</v>
      </c>
      <c r="DQ36" s="33">
        <v>99.672700000000006</v>
      </c>
      <c r="DR36" s="104">
        <v>369585</v>
      </c>
      <c r="DS36" s="104">
        <v>29275.465572284109</v>
      </c>
      <c r="DT36" s="103" t="s">
        <v>243</v>
      </c>
      <c r="DU36">
        <v>74.150489807128906</v>
      </c>
      <c r="DV36" t="s">
        <v>243</v>
      </c>
      <c r="DW36">
        <v>1055</v>
      </c>
      <c r="DX36">
        <v>246750</v>
      </c>
      <c r="DY36" s="102">
        <f t="shared" si="8"/>
        <v>59.599999999999994</v>
      </c>
    </row>
    <row r="37" spans="1:129" x14ac:dyDescent="0.25">
      <c r="A37" s="1">
        <v>33848</v>
      </c>
      <c r="B37" s="33">
        <v>76.599999999999994</v>
      </c>
      <c r="C37" s="88">
        <v>9.32</v>
      </c>
      <c r="D37" s="33">
        <v>8.25</v>
      </c>
      <c r="E37" s="72">
        <v>9.43</v>
      </c>
      <c r="F37" s="33">
        <v>8.18</v>
      </c>
      <c r="G37" s="33">
        <v>7.99</v>
      </c>
      <c r="H37" s="33">
        <v>7.71</v>
      </c>
      <c r="I37" s="33">
        <f t="shared" si="0"/>
        <v>-1.6100000000000003</v>
      </c>
      <c r="J37" s="33">
        <f t="shared" si="9"/>
        <v>-0.54</v>
      </c>
      <c r="K37" s="33">
        <f t="shared" si="10"/>
        <v>-1.7199999999999998</v>
      </c>
      <c r="L37" s="33">
        <f t="shared" si="11"/>
        <v>-1.0700000000000003</v>
      </c>
      <c r="M37" s="33">
        <v>102.5</v>
      </c>
      <c r="N37" s="33">
        <v>1518.7</v>
      </c>
      <c r="O37" s="33">
        <v>18.489999999999998</v>
      </c>
      <c r="P37" s="34" t="s">
        <v>312</v>
      </c>
      <c r="Q37" s="34" t="str">
        <f t="shared" si="4"/>
        <v/>
      </c>
      <c r="R37" s="71">
        <v>875.88597144948824</v>
      </c>
      <c r="S37" s="34">
        <f t="shared" si="5"/>
        <v>1303.4017432284052</v>
      </c>
      <c r="T37" s="71">
        <v>856.5328397724968</v>
      </c>
      <c r="U37" s="34">
        <f t="shared" si="6"/>
        <v>1274.602440137644</v>
      </c>
      <c r="V37" s="116">
        <v>571111</v>
      </c>
      <c r="W37" s="116">
        <v>1128821</v>
      </c>
      <c r="X37" s="117">
        <v>2836589</v>
      </c>
      <c r="Y37" s="117">
        <v>495696</v>
      </c>
      <c r="Z37" s="33">
        <v>68.3</v>
      </c>
      <c r="AA37" s="33">
        <v>52.7</v>
      </c>
      <c r="AB37" s="33">
        <v>77.900000000000006</v>
      </c>
      <c r="AC37" s="33">
        <v>48.2</v>
      </c>
      <c r="AD37" s="33">
        <v>38224</v>
      </c>
      <c r="AE37" s="33">
        <v>7.8</v>
      </c>
      <c r="AF37" s="33">
        <v>309</v>
      </c>
      <c r="AG37" s="33">
        <v>65.3</v>
      </c>
      <c r="AH37" s="33">
        <v>67.2</v>
      </c>
      <c r="AI37" s="33">
        <v>75.900000000000006</v>
      </c>
      <c r="AJ37" s="33">
        <v>77.599999999999994</v>
      </c>
      <c r="AK37" s="33">
        <v>155.58685800000001</v>
      </c>
      <c r="AL37" s="33">
        <v>48.8</v>
      </c>
      <c r="AM37" s="123"/>
      <c r="AN37" s="123">
        <v>10.695054025698338</v>
      </c>
      <c r="AO37" s="123"/>
      <c r="AP37" s="33">
        <v>14.05</v>
      </c>
      <c r="AQ37" s="33">
        <f t="shared" si="7"/>
        <v>0.18511198945981555</v>
      </c>
      <c r="AR37" s="33">
        <v>86.1</v>
      </c>
      <c r="AS37" s="33">
        <v>88.9</v>
      </c>
      <c r="AT37" s="33">
        <v>83.3</v>
      </c>
      <c r="AU37" s="33">
        <v>82.7</v>
      </c>
      <c r="AV37" s="65">
        <v>86.2</v>
      </c>
      <c r="AW37" s="33">
        <v>79.3</v>
      </c>
      <c r="AX37" s="33">
        <v>-22.6</v>
      </c>
      <c r="AY37" s="33">
        <v>-22.3</v>
      </c>
      <c r="AZ37" s="33">
        <v>-26.8</v>
      </c>
      <c r="BA37" s="33">
        <v>-14.4</v>
      </c>
      <c r="BB37" s="33">
        <v>89.1</v>
      </c>
      <c r="BC37" s="33">
        <v>90.5</v>
      </c>
      <c r="BD37" s="33">
        <v>87.6</v>
      </c>
      <c r="BE37" s="33">
        <v>-48.5</v>
      </c>
      <c r="BF37" s="33">
        <v>-32.1</v>
      </c>
      <c r="BG37" s="33">
        <v>-11.7</v>
      </c>
      <c r="BH37" s="33">
        <v>176.5</v>
      </c>
      <c r="BI37" s="33">
        <v>0.5</v>
      </c>
      <c r="BJ37" s="34" t="s">
        <v>243</v>
      </c>
      <c r="BK37" s="45" t="s">
        <v>243</v>
      </c>
      <c r="BL37" s="45" t="s">
        <v>243</v>
      </c>
      <c r="BM37" s="33">
        <v>97.526300000000006</v>
      </c>
      <c r="BN37" s="33">
        <v>97.876300000000001</v>
      </c>
      <c r="BO37" s="33">
        <v>-43.9</v>
      </c>
      <c r="BP37" s="33">
        <v>-53.1</v>
      </c>
      <c r="BQ37" s="33">
        <v>23.8</v>
      </c>
      <c r="BR37" s="33">
        <v>-15</v>
      </c>
      <c r="BS37" s="33">
        <v>2.7</v>
      </c>
      <c r="BT37" s="45" t="s">
        <v>243</v>
      </c>
      <c r="BU37" s="33">
        <v>-27.6</v>
      </c>
      <c r="BV37" s="33">
        <v>0</v>
      </c>
      <c r="BW37" s="33">
        <v>-16.100000000000001</v>
      </c>
      <c r="BX37" s="33">
        <v>-22.7</v>
      </c>
      <c r="BY37" s="33">
        <v>-22.7</v>
      </c>
      <c r="BZ37" s="33">
        <v>82.3</v>
      </c>
      <c r="CA37" s="33">
        <v>-16.100000000000001</v>
      </c>
      <c r="CB37" s="33">
        <v>-10.5</v>
      </c>
      <c r="CC37" s="33">
        <v>-5.2</v>
      </c>
      <c r="CD37" s="33">
        <v>-48.9</v>
      </c>
      <c r="CE37" s="33">
        <v>-37.200000000000003</v>
      </c>
      <c r="CF37" s="33">
        <v>51.1</v>
      </c>
      <c r="CG37" s="33">
        <v>56.2</v>
      </c>
      <c r="CH37" s="33">
        <v>43.6</v>
      </c>
      <c r="CI37" s="33">
        <v>-27.1</v>
      </c>
      <c r="CJ37" s="33">
        <v>-11.5</v>
      </c>
      <c r="CK37" s="33">
        <v>7.5</v>
      </c>
      <c r="CL37" s="33">
        <v>11.1</v>
      </c>
      <c r="CM37" s="33">
        <v>984.13181799999995</v>
      </c>
      <c r="CN37" s="33">
        <v>3266.26</v>
      </c>
      <c r="CO37" s="33">
        <v>418.41409099999998</v>
      </c>
      <c r="CP37" s="33">
        <v>9.6549999999999994</v>
      </c>
      <c r="CQ37" s="33">
        <v>6.56</v>
      </c>
      <c r="CR37" s="33">
        <v>67.400000000000006</v>
      </c>
      <c r="CS37" s="65"/>
      <c r="CT37" s="33">
        <v>85.5</v>
      </c>
      <c r="CU37" s="33">
        <v>80.400000000000006</v>
      </c>
      <c r="CV37" s="33"/>
      <c r="CW37" s="33"/>
      <c r="CX37" s="33"/>
      <c r="CY37" s="33">
        <v>1.84</v>
      </c>
      <c r="CZ37" s="33"/>
      <c r="DA37" s="33">
        <v>1.64</v>
      </c>
      <c r="DB37" s="33">
        <v>12.63</v>
      </c>
      <c r="DC37" s="33"/>
      <c r="DD37" s="33"/>
      <c r="DE37" s="33"/>
      <c r="DF37" s="33"/>
      <c r="DG37" s="33">
        <v>345.709</v>
      </c>
      <c r="DH37" s="33">
        <v>581.92200000000003</v>
      </c>
      <c r="DI37" s="33">
        <v>250.65799999999999</v>
      </c>
      <c r="DJ37" s="33">
        <v>99.174099999999996</v>
      </c>
      <c r="DK37" s="33">
        <v>99.163499999999999</v>
      </c>
      <c r="DL37" s="33">
        <v>102.05</v>
      </c>
      <c r="DM37" s="33">
        <v>102.6062</v>
      </c>
      <c r="DN37" s="33">
        <v>97.876300000000001</v>
      </c>
      <c r="DO37" s="33">
        <v>97.526300000000006</v>
      </c>
      <c r="DP37" s="33">
        <v>99.732799999999997</v>
      </c>
      <c r="DQ37" s="33">
        <v>99.705799999999996</v>
      </c>
      <c r="DR37" s="104">
        <v>418362</v>
      </c>
      <c r="DS37" s="104">
        <v>29224.008093052696</v>
      </c>
      <c r="DT37" s="103" t="s">
        <v>243</v>
      </c>
      <c r="DU37">
        <v>179.8353271484375</v>
      </c>
      <c r="DV37" t="s">
        <v>243</v>
      </c>
      <c r="DW37">
        <v>1069</v>
      </c>
      <c r="DX37">
        <v>268550</v>
      </c>
      <c r="DY37" s="102">
        <f t="shared" si="8"/>
        <v>59.900000000000006</v>
      </c>
    </row>
    <row r="38" spans="1:129" x14ac:dyDescent="0.25">
      <c r="A38" s="1">
        <v>33878</v>
      </c>
      <c r="B38" s="33">
        <v>76.8</v>
      </c>
      <c r="C38" s="88">
        <v>8.91</v>
      </c>
      <c r="D38" s="33">
        <v>8.25</v>
      </c>
      <c r="E38" s="72">
        <v>8.8800000000000008</v>
      </c>
      <c r="F38" s="33">
        <v>7.37</v>
      </c>
      <c r="G38" s="33">
        <v>7.43</v>
      </c>
      <c r="H38" s="33">
        <v>7.47</v>
      </c>
      <c r="I38" s="33">
        <f t="shared" si="0"/>
        <v>-1.4400000000000004</v>
      </c>
      <c r="J38" s="33">
        <f t="shared" si="9"/>
        <v>-0.78000000000000025</v>
      </c>
      <c r="K38" s="33">
        <f t="shared" si="10"/>
        <v>-1.410000000000001</v>
      </c>
      <c r="L38" s="33">
        <f t="shared" si="11"/>
        <v>-0.66000000000000014</v>
      </c>
      <c r="M38" s="33">
        <v>104.6</v>
      </c>
      <c r="N38" s="33">
        <v>1484.03</v>
      </c>
      <c r="O38" s="33">
        <v>20.7</v>
      </c>
      <c r="P38" s="34" t="s">
        <v>312</v>
      </c>
      <c r="Q38" s="34" t="str">
        <f t="shared" si="4"/>
        <v/>
      </c>
      <c r="R38" s="71">
        <v>876.74412230329244</v>
      </c>
      <c r="S38" s="34">
        <f t="shared" si="5"/>
        <v>1296.958760803687</v>
      </c>
      <c r="T38" s="71">
        <v>871.10685272681087</v>
      </c>
      <c r="U38" s="34">
        <f t="shared" si="6"/>
        <v>1288.6196046254599</v>
      </c>
      <c r="V38" s="116">
        <v>573985</v>
      </c>
      <c r="W38" s="116">
        <v>1132818</v>
      </c>
      <c r="X38" s="117">
        <v>2839113</v>
      </c>
      <c r="Y38" s="117">
        <v>497672</v>
      </c>
      <c r="Z38" s="33">
        <v>67.8</v>
      </c>
      <c r="AA38" s="33">
        <v>49.7</v>
      </c>
      <c r="AB38" s="33">
        <v>78</v>
      </c>
      <c r="AC38" s="33">
        <v>43.9</v>
      </c>
      <c r="AD38" s="33">
        <v>38160</v>
      </c>
      <c r="AE38" s="33">
        <v>7.9</v>
      </c>
      <c r="AF38" s="33">
        <v>317</v>
      </c>
      <c r="AG38" s="33">
        <v>65.7</v>
      </c>
      <c r="AH38" s="33">
        <v>67.599999999999994</v>
      </c>
      <c r="AI38" s="33">
        <v>76</v>
      </c>
      <c r="AJ38" s="33">
        <v>77.5</v>
      </c>
      <c r="AK38" s="33">
        <v>155.23082400000001</v>
      </c>
      <c r="AL38" s="33">
        <v>48.9</v>
      </c>
      <c r="AM38" s="123"/>
      <c r="AN38" s="123">
        <v>11.181192845048264</v>
      </c>
      <c r="AO38" s="123"/>
      <c r="AP38" s="33">
        <v>14.78</v>
      </c>
      <c r="AQ38" s="33">
        <f t="shared" si="7"/>
        <v>0.1944736842105263</v>
      </c>
      <c r="AR38" s="33">
        <v>83.1</v>
      </c>
      <c r="AS38" s="33">
        <v>85.1</v>
      </c>
      <c r="AT38" s="33">
        <v>81.2</v>
      </c>
      <c r="AU38" s="33">
        <v>79</v>
      </c>
      <c r="AV38" s="65">
        <v>82</v>
      </c>
      <c r="AW38" s="33">
        <v>76</v>
      </c>
      <c r="AX38" s="33">
        <v>-34.6</v>
      </c>
      <c r="AY38" s="33">
        <v>-33.5</v>
      </c>
      <c r="AZ38" s="33">
        <v>-32.200000000000003</v>
      </c>
      <c r="BA38" s="33">
        <v>-20.399999999999999</v>
      </c>
      <c r="BB38" s="33">
        <v>86.1</v>
      </c>
      <c r="BC38" s="33">
        <v>86.1</v>
      </c>
      <c r="BD38" s="33">
        <v>86.1</v>
      </c>
      <c r="BE38" s="33">
        <v>-63.3</v>
      </c>
      <c r="BF38" s="33">
        <v>-53.9</v>
      </c>
      <c r="BG38" s="33">
        <v>-13.8</v>
      </c>
      <c r="BH38" s="33">
        <v>181.7</v>
      </c>
      <c r="BI38" s="33">
        <v>9.3000000000000007</v>
      </c>
      <c r="BJ38" s="34" t="s">
        <v>243</v>
      </c>
      <c r="BK38" s="45" t="s">
        <v>243</v>
      </c>
      <c r="BL38" s="45" t="s">
        <v>243</v>
      </c>
      <c r="BM38" s="33">
        <v>97.152500000000003</v>
      </c>
      <c r="BN38" s="33">
        <v>97.555099999999996</v>
      </c>
      <c r="BO38" s="33">
        <v>-51.5</v>
      </c>
      <c r="BP38" s="33">
        <v>-55.4</v>
      </c>
      <c r="BQ38" s="33">
        <v>26</v>
      </c>
      <c r="BR38" s="33">
        <v>-24.6</v>
      </c>
      <c r="BS38" s="33">
        <v>-0.3</v>
      </c>
      <c r="BT38" s="45" t="s">
        <v>243</v>
      </c>
      <c r="BU38" s="33">
        <v>-34</v>
      </c>
      <c r="BV38" s="33">
        <v>0</v>
      </c>
      <c r="BW38" s="33">
        <v>-16.7</v>
      </c>
      <c r="BX38" s="33">
        <v>-24</v>
      </c>
      <c r="BY38" s="33">
        <v>-22.6</v>
      </c>
      <c r="BZ38" s="33">
        <v>78.400000000000006</v>
      </c>
      <c r="CA38" s="33">
        <v>-16.7</v>
      </c>
      <c r="CB38" s="33">
        <v>-11</v>
      </c>
      <c r="CC38" s="33">
        <v>-6.8</v>
      </c>
      <c r="CD38" s="33">
        <v>-53.1</v>
      </c>
      <c r="CE38" s="33">
        <v>-39.1</v>
      </c>
      <c r="CF38" s="33">
        <v>48.4</v>
      </c>
      <c r="CG38" s="33">
        <v>58.1</v>
      </c>
      <c r="CH38" s="33">
        <v>46.9</v>
      </c>
      <c r="CI38" s="33">
        <v>-26.2</v>
      </c>
      <c r="CJ38" s="33">
        <v>-9.9</v>
      </c>
      <c r="CK38" s="33">
        <v>5.4</v>
      </c>
      <c r="CL38" s="33">
        <v>10.8</v>
      </c>
      <c r="CM38" s="33">
        <v>962.10818200000006</v>
      </c>
      <c r="CN38" s="33">
        <v>3254.37</v>
      </c>
      <c r="CO38" s="33">
        <v>412.50272699999999</v>
      </c>
      <c r="CP38" s="33">
        <v>8.9979999999999993</v>
      </c>
      <c r="CQ38" s="33">
        <v>6.23</v>
      </c>
      <c r="CR38" s="33">
        <v>67.5</v>
      </c>
      <c r="CS38" s="65"/>
      <c r="CT38" s="33">
        <v>83.4</v>
      </c>
      <c r="CU38" s="33">
        <v>71.900000000000006</v>
      </c>
      <c r="CV38" s="33"/>
      <c r="CW38" s="33"/>
      <c r="CX38" s="33"/>
      <c r="CY38" s="33">
        <v>1.85</v>
      </c>
      <c r="CZ38" s="33"/>
      <c r="DA38" s="33">
        <v>1.67</v>
      </c>
      <c r="DB38" s="33">
        <v>12.74</v>
      </c>
      <c r="DC38" s="33"/>
      <c r="DD38" s="33"/>
      <c r="DE38" s="33"/>
      <c r="DF38" s="33"/>
      <c r="DG38" s="33">
        <v>358.92200000000003</v>
      </c>
      <c r="DH38" s="33">
        <v>772.85299999999995</v>
      </c>
      <c r="DI38" s="33">
        <v>365.83600000000001</v>
      </c>
      <c r="DJ38" s="33">
        <v>99.154499999999999</v>
      </c>
      <c r="DK38" s="33">
        <v>99.146600000000007</v>
      </c>
      <c r="DL38" s="33">
        <v>102.1</v>
      </c>
      <c r="DM38" s="33">
        <v>102.6799</v>
      </c>
      <c r="DN38" s="33">
        <v>97.555099999999996</v>
      </c>
      <c r="DO38" s="33">
        <v>97.152500000000003</v>
      </c>
      <c r="DP38" s="33">
        <v>99.824399999999997</v>
      </c>
      <c r="DQ38" s="33">
        <v>99.8065</v>
      </c>
      <c r="DR38" s="104">
        <v>527774</v>
      </c>
      <c r="DS38" s="104">
        <v>29182.534900836334</v>
      </c>
      <c r="DT38" s="103" t="s">
        <v>243</v>
      </c>
      <c r="DU38">
        <v>135.07635498046875</v>
      </c>
      <c r="DV38" t="s">
        <v>243</v>
      </c>
      <c r="DW38">
        <v>1034</v>
      </c>
      <c r="DX38">
        <v>296750</v>
      </c>
      <c r="DY38" s="102">
        <f t="shared" si="8"/>
        <v>59.099999999999994</v>
      </c>
    </row>
    <row r="39" spans="1:129" x14ac:dyDescent="0.25">
      <c r="A39" s="1">
        <v>33909</v>
      </c>
      <c r="B39" s="33">
        <v>75.599999999999994</v>
      </c>
      <c r="C39" s="88">
        <v>8.86</v>
      </c>
      <c r="D39" s="33">
        <v>8.25</v>
      </c>
      <c r="E39" s="72">
        <v>8.89</v>
      </c>
      <c r="F39" s="33">
        <v>7.17</v>
      </c>
      <c r="G39" s="33">
        <v>7.28</v>
      </c>
      <c r="H39" s="33">
        <v>7.38</v>
      </c>
      <c r="I39" s="33">
        <f t="shared" si="0"/>
        <v>-1.4799999999999995</v>
      </c>
      <c r="J39" s="33">
        <f t="shared" si="9"/>
        <v>-0.87000000000000011</v>
      </c>
      <c r="K39" s="33">
        <f t="shared" si="10"/>
        <v>-1.5100000000000007</v>
      </c>
      <c r="L39" s="33">
        <f t="shared" si="11"/>
        <v>-0.60999999999999943</v>
      </c>
      <c r="M39" s="33">
        <v>103.3</v>
      </c>
      <c r="N39" s="33">
        <v>1472.57</v>
      </c>
      <c r="O39" s="33">
        <v>20.170000000000002</v>
      </c>
      <c r="P39" s="34" t="s">
        <v>312</v>
      </c>
      <c r="Q39" s="34" t="str">
        <f t="shared" si="4"/>
        <v/>
      </c>
      <c r="R39" s="71">
        <v>882.9418784696561</v>
      </c>
      <c r="S39" s="34">
        <f t="shared" si="5"/>
        <v>1300.3562274958115</v>
      </c>
      <c r="T39" s="71">
        <v>870.44006782040435</v>
      </c>
      <c r="U39" s="34">
        <f t="shared" si="6"/>
        <v>1281.9441352288723</v>
      </c>
      <c r="V39" s="116">
        <v>576296</v>
      </c>
      <c r="W39" s="116">
        <v>1145342</v>
      </c>
      <c r="X39" s="117">
        <v>2860628</v>
      </c>
      <c r="Y39" s="117">
        <v>501350</v>
      </c>
      <c r="Z39" s="33">
        <v>67.7</v>
      </c>
      <c r="AA39" s="33">
        <v>50.3</v>
      </c>
      <c r="AB39" s="33">
        <v>78.099999999999994</v>
      </c>
      <c r="AC39" s="33">
        <v>44.3</v>
      </c>
      <c r="AD39" s="33">
        <v>38111</v>
      </c>
      <c r="AE39" s="33">
        <v>8</v>
      </c>
      <c r="AF39" s="33">
        <v>301</v>
      </c>
      <c r="AG39" s="33">
        <v>65.900000000000006</v>
      </c>
      <c r="AH39" s="33">
        <v>67.900000000000006</v>
      </c>
      <c r="AI39" s="33">
        <v>76.3</v>
      </c>
      <c r="AJ39" s="33">
        <v>77.599999999999994</v>
      </c>
      <c r="AK39" s="33">
        <v>155.23082400000001</v>
      </c>
      <c r="AL39" s="33">
        <v>81.900000000000006</v>
      </c>
      <c r="AM39" s="123"/>
      <c r="AN39" s="123">
        <v>11.319917322033973</v>
      </c>
      <c r="AO39" s="123"/>
      <c r="AP39" s="33">
        <v>14.87</v>
      </c>
      <c r="AQ39" s="33">
        <f t="shared" si="7"/>
        <v>0.19488859764089123</v>
      </c>
      <c r="AR39" s="33">
        <v>81.8</v>
      </c>
      <c r="AS39" s="33">
        <v>84.4</v>
      </c>
      <c r="AT39" s="33">
        <v>79.2</v>
      </c>
      <c r="AU39" s="33">
        <v>76.900000000000006</v>
      </c>
      <c r="AV39" s="65">
        <v>80.599999999999994</v>
      </c>
      <c r="AW39" s="33">
        <v>73.3</v>
      </c>
      <c r="AX39" s="33">
        <v>-39.200000000000003</v>
      </c>
      <c r="AY39" s="33">
        <v>-38.4</v>
      </c>
      <c r="AZ39" s="33">
        <v>-36.1</v>
      </c>
      <c r="BA39" s="33">
        <v>-23.2</v>
      </c>
      <c r="BB39" s="33">
        <v>84.7</v>
      </c>
      <c r="BC39" s="33">
        <v>84.8</v>
      </c>
      <c r="BD39" s="33">
        <v>84.7</v>
      </c>
      <c r="BE39" s="33">
        <v>-81.2</v>
      </c>
      <c r="BF39" s="33">
        <v>-59.3</v>
      </c>
      <c r="BG39" s="33">
        <v>-24.4</v>
      </c>
      <c r="BH39" s="33">
        <v>183.5</v>
      </c>
      <c r="BI39" s="33">
        <v>23.5</v>
      </c>
      <c r="BJ39" s="34" t="s">
        <v>243</v>
      </c>
      <c r="BK39" s="45" t="s">
        <v>243</v>
      </c>
      <c r="BL39" s="45" t="s">
        <v>243</v>
      </c>
      <c r="BM39" s="33">
        <v>96.852699999999999</v>
      </c>
      <c r="BN39" s="33">
        <v>97.297600000000003</v>
      </c>
      <c r="BO39" s="33">
        <v>-55.5</v>
      </c>
      <c r="BP39" s="33">
        <v>-55.8</v>
      </c>
      <c r="BQ39" s="33">
        <v>29.8</v>
      </c>
      <c r="BR39" s="33">
        <v>-26</v>
      </c>
      <c r="BS39" s="33">
        <v>-2.8</v>
      </c>
      <c r="BT39" s="45" t="s">
        <v>243</v>
      </c>
      <c r="BU39" s="33">
        <v>-37.1</v>
      </c>
      <c r="BV39" s="33">
        <v>0</v>
      </c>
      <c r="BW39" s="33">
        <v>-19.899999999999999</v>
      </c>
      <c r="BX39" s="33">
        <v>-27.9</v>
      </c>
      <c r="BY39" s="33">
        <v>-21.3</v>
      </c>
      <c r="BZ39" s="33">
        <v>74.7</v>
      </c>
      <c r="CA39" s="33">
        <v>-19.899999999999999</v>
      </c>
      <c r="CB39" s="33">
        <v>-12.7</v>
      </c>
      <c r="CC39" s="33">
        <v>-9.4</v>
      </c>
      <c r="CD39" s="33">
        <v>-55.9</v>
      </c>
      <c r="CE39" s="33">
        <v>-44.9</v>
      </c>
      <c r="CF39" s="33">
        <v>48.6</v>
      </c>
      <c r="CG39" s="33">
        <v>63.6</v>
      </c>
      <c r="CH39" s="33">
        <v>50</v>
      </c>
      <c r="CI39" s="33">
        <v>-26.8</v>
      </c>
      <c r="CJ39" s="33">
        <v>-12.7</v>
      </c>
      <c r="CK39" s="33">
        <v>2.7</v>
      </c>
      <c r="CL39" s="33">
        <v>10.9</v>
      </c>
      <c r="CM39" s="33">
        <v>997.64904799999999</v>
      </c>
      <c r="CN39" s="33">
        <v>3262.21</v>
      </c>
      <c r="CO39" s="33">
        <v>423.14618999999999</v>
      </c>
      <c r="CP39" s="33">
        <v>8.2940000000000005</v>
      </c>
      <c r="CQ39" s="33">
        <v>6.88</v>
      </c>
      <c r="CR39" s="33">
        <v>78.2</v>
      </c>
      <c r="CS39" s="65"/>
      <c r="CT39" s="33">
        <v>81.5</v>
      </c>
      <c r="CU39" s="33">
        <v>69.5</v>
      </c>
      <c r="CV39" s="33"/>
      <c r="CW39" s="33"/>
      <c r="CX39" s="33"/>
      <c r="CY39" s="33">
        <v>1.74</v>
      </c>
      <c r="CZ39" s="33"/>
      <c r="DA39" s="33">
        <v>1.75</v>
      </c>
      <c r="DB39" s="33">
        <v>12.79</v>
      </c>
      <c r="DC39" s="33"/>
      <c r="DD39" s="33"/>
      <c r="DE39" s="33"/>
      <c r="DF39" s="33"/>
      <c r="DG39" s="33">
        <v>324.85300000000001</v>
      </c>
      <c r="DH39" s="33">
        <v>541.45399999999995</v>
      </c>
      <c r="DI39" s="33">
        <v>295.36</v>
      </c>
      <c r="DJ39" s="33">
        <v>99.149100000000004</v>
      </c>
      <c r="DK39" s="33">
        <v>99.143699999999995</v>
      </c>
      <c r="DL39" s="33">
        <v>102.12</v>
      </c>
      <c r="DM39" s="33">
        <v>102.7056</v>
      </c>
      <c r="DN39" s="33">
        <v>97.297600000000003</v>
      </c>
      <c r="DO39" s="33">
        <v>96.852699999999999</v>
      </c>
      <c r="DP39" s="33">
        <v>99.956999999999994</v>
      </c>
      <c r="DQ39" s="33">
        <v>99.952399999999997</v>
      </c>
      <c r="DR39" s="104">
        <v>667165</v>
      </c>
      <c r="DS39" s="104">
        <v>29151.045995635021</v>
      </c>
      <c r="DT39" s="103" t="s">
        <v>243</v>
      </c>
      <c r="DU39">
        <v>113.55889129638672</v>
      </c>
      <c r="DV39" t="s">
        <v>243</v>
      </c>
      <c r="DW39">
        <v>1113</v>
      </c>
      <c r="DX39">
        <v>317800</v>
      </c>
      <c r="DY39" s="102">
        <f t="shared" si="8"/>
        <v>59.3</v>
      </c>
    </row>
    <row r="40" spans="1:129" x14ac:dyDescent="0.25">
      <c r="A40" s="1">
        <v>33939</v>
      </c>
      <c r="B40" s="33">
        <v>75.099999999999994</v>
      </c>
      <c r="C40" s="88">
        <v>8.91</v>
      </c>
      <c r="D40" s="33">
        <v>8.25</v>
      </c>
      <c r="E40" s="72">
        <v>8.98</v>
      </c>
      <c r="F40" s="33">
        <v>7.13</v>
      </c>
      <c r="G40" s="33">
        <v>7.22</v>
      </c>
      <c r="H40" s="33">
        <v>7.33</v>
      </c>
      <c r="I40" s="33">
        <f t="shared" si="0"/>
        <v>-1.58</v>
      </c>
      <c r="J40" s="33">
        <f t="shared" si="9"/>
        <v>-0.91999999999999993</v>
      </c>
      <c r="K40" s="33">
        <f t="shared" si="10"/>
        <v>-1.6500000000000004</v>
      </c>
      <c r="L40" s="33">
        <f t="shared" si="11"/>
        <v>-0.66000000000000014</v>
      </c>
      <c r="M40" s="33">
        <v>104.1</v>
      </c>
      <c r="N40" s="33">
        <v>1544.89</v>
      </c>
      <c r="O40" s="33">
        <v>15.54</v>
      </c>
      <c r="P40" s="34" t="s">
        <v>312</v>
      </c>
      <c r="Q40" s="34" t="str">
        <f t="shared" si="4"/>
        <v/>
      </c>
      <c r="R40" s="71">
        <v>875.69527125975401</v>
      </c>
      <c r="S40" s="34">
        <f t="shared" si="5"/>
        <v>1287.7871636172854</v>
      </c>
      <c r="T40" s="71">
        <v>871.48787267332898</v>
      </c>
      <c r="U40" s="34">
        <f t="shared" si="6"/>
        <v>1281.5998127548955</v>
      </c>
      <c r="V40" s="116">
        <v>565145</v>
      </c>
      <c r="W40" s="116">
        <v>1144131</v>
      </c>
      <c r="X40" s="117">
        <v>2853356</v>
      </c>
      <c r="Y40" s="117">
        <v>511730</v>
      </c>
      <c r="Z40" s="33">
        <v>67</v>
      </c>
      <c r="AA40" s="33">
        <v>51.3</v>
      </c>
      <c r="AB40" s="33">
        <v>78.8</v>
      </c>
      <c r="AC40" s="33">
        <v>47</v>
      </c>
      <c r="AD40" s="33">
        <v>38076</v>
      </c>
      <c r="AE40" s="33">
        <v>8.1</v>
      </c>
      <c r="AF40" s="33">
        <v>278</v>
      </c>
      <c r="AG40" s="33">
        <v>65.900000000000006</v>
      </c>
      <c r="AH40" s="33">
        <v>68</v>
      </c>
      <c r="AI40" s="33">
        <v>76.2</v>
      </c>
      <c r="AJ40" s="33">
        <v>77.599999999999994</v>
      </c>
      <c r="AK40" s="33">
        <v>154.87478999999999</v>
      </c>
      <c r="AL40" s="33">
        <v>49.2</v>
      </c>
      <c r="AM40" s="123"/>
      <c r="AN40" s="123">
        <v>10.822050587963036</v>
      </c>
      <c r="AO40" s="123"/>
      <c r="AP40" s="33">
        <v>14.24</v>
      </c>
      <c r="AQ40" s="33">
        <f t="shared" si="7"/>
        <v>0.1868766404199475</v>
      </c>
      <c r="AR40" s="33">
        <v>82.8</v>
      </c>
      <c r="AS40" s="33">
        <v>85.6</v>
      </c>
      <c r="AT40" s="33">
        <v>80.099999999999994</v>
      </c>
      <c r="AU40" s="33">
        <v>77.900000000000006</v>
      </c>
      <c r="AV40" s="65">
        <v>82.8</v>
      </c>
      <c r="AW40" s="33">
        <v>73.3</v>
      </c>
      <c r="AX40" s="33">
        <v>-35.799999999999997</v>
      </c>
      <c r="AY40" s="33">
        <v>-38.4</v>
      </c>
      <c r="AZ40" s="33">
        <v>-35.1</v>
      </c>
      <c r="BA40" s="33">
        <v>-21.6</v>
      </c>
      <c r="BB40" s="33">
        <v>86.7</v>
      </c>
      <c r="BC40" s="33">
        <v>86.9</v>
      </c>
      <c r="BD40" s="33">
        <v>86.6</v>
      </c>
      <c r="BE40" s="33">
        <v>-89.8</v>
      </c>
      <c r="BF40" s="33">
        <v>-62.2</v>
      </c>
      <c r="BG40" s="33">
        <v>-28.3</v>
      </c>
      <c r="BH40" s="33">
        <v>181.2</v>
      </c>
      <c r="BI40" s="33">
        <v>28</v>
      </c>
      <c r="BJ40" s="34" t="s">
        <v>243</v>
      </c>
      <c r="BK40" s="45" t="s">
        <v>243</v>
      </c>
      <c r="BL40" s="45" t="s">
        <v>243</v>
      </c>
      <c r="BM40" s="33">
        <v>96.657399999999996</v>
      </c>
      <c r="BN40" s="33">
        <v>97.129800000000003</v>
      </c>
      <c r="BO40" s="33">
        <v>-54.8</v>
      </c>
      <c r="BP40" s="33">
        <v>-56.7</v>
      </c>
      <c r="BQ40" s="33">
        <v>27.4</v>
      </c>
      <c r="BR40" s="33">
        <v>-24.8</v>
      </c>
      <c r="BS40" s="33">
        <v>-0.4</v>
      </c>
      <c r="BT40" s="45" t="s">
        <v>243</v>
      </c>
      <c r="BU40" s="33">
        <v>-35.700000000000003</v>
      </c>
      <c r="BV40" s="33">
        <v>0</v>
      </c>
      <c r="BW40" s="33">
        <v>-21.1</v>
      </c>
      <c r="BX40" s="33">
        <v>-25</v>
      </c>
      <c r="BY40" s="33">
        <v>-19.899999999999999</v>
      </c>
      <c r="BZ40" s="33">
        <v>75.3</v>
      </c>
      <c r="CA40" s="33">
        <v>-21.1</v>
      </c>
      <c r="CB40" s="33">
        <v>-13.3</v>
      </c>
      <c r="CC40" s="33">
        <v>-10.3</v>
      </c>
      <c r="CD40" s="33">
        <v>-60.1</v>
      </c>
      <c r="CE40" s="33">
        <v>-46.8</v>
      </c>
      <c r="CF40" s="33">
        <v>48.6</v>
      </c>
      <c r="CG40" s="33">
        <v>63.9</v>
      </c>
      <c r="CH40" s="33">
        <v>53.2</v>
      </c>
      <c r="CI40" s="33">
        <v>-24.9</v>
      </c>
      <c r="CJ40" s="33">
        <v>-14.1</v>
      </c>
      <c r="CK40" s="33">
        <v>3.2</v>
      </c>
      <c r="CL40" s="33">
        <v>9.8000000000000007</v>
      </c>
      <c r="CM40" s="33">
        <v>1010.033043</v>
      </c>
      <c r="CN40" s="33">
        <v>3294.36</v>
      </c>
      <c r="CO40" s="33">
        <v>435.81912999999997</v>
      </c>
      <c r="CP40" s="33">
        <v>8.52</v>
      </c>
      <c r="CQ40" s="33">
        <v>6.94</v>
      </c>
      <c r="CR40" s="33">
        <v>89.5</v>
      </c>
      <c r="CS40" s="65"/>
      <c r="CT40" s="33">
        <v>78.900000000000006</v>
      </c>
      <c r="CU40" s="33">
        <v>66.3</v>
      </c>
      <c r="CV40" s="33"/>
      <c r="CW40" s="33"/>
      <c r="CX40" s="33"/>
      <c r="CY40" s="33">
        <v>1.97</v>
      </c>
      <c r="CZ40" s="33"/>
      <c r="DA40" s="33">
        <v>1.89</v>
      </c>
      <c r="DB40" s="33">
        <v>13.1</v>
      </c>
      <c r="DC40" s="33"/>
      <c r="DD40" s="33"/>
      <c r="DE40" s="33"/>
      <c r="DF40" s="33"/>
      <c r="DG40" s="33">
        <v>558.60199999999998</v>
      </c>
      <c r="DH40" s="33">
        <v>607.70100000000002</v>
      </c>
      <c r="DI40" s="33">
        <v>276.25</v>
      </c>
      <c r="DJ40" s="33">
        <v>99.167699999999996</v>
      </c>
      <c r="DK40" s="33">
        <v>99.165499999999994</v>
      </c>
      <c r="DL40" s="33">
        <v>102.11</v>
      </c>
      <c r="DM40" s="33">
        <v>102.69029999999999</v>
      </c>
      <c r="DN40" s="33">
        <v>97.129800000000003</v>
      </c>
      <c r="DO40" s="33">
        <v>96.657399999999996</v>
      </c>
      <c r="DP40" s="33">
        <v>100.07599999999999</v>
      </c>
      <c r="DQ40" s="33">
        <v>100.08320000000001</v>
      </c>
      <c r="DR40" s="104">
        <v>826972</v>
      </c>
      <c r="DS40" s="104">
        <v>29121.861156667946</v>
      </c>
      <c r="DT40" s="103" t="s">
        <v>243</v>
      </c>
      <c r="DU40">
        <v>98.885536193847656</v>
      </c>
      <c r="DV40" t="s">
        <v>243</v>
      </c>
      <c r="DW40">
        <v>1322</v>
      </c>
      <c r="DX40">
        <v>326950</v>
      </c>
      <c r="DY40" s="102">
        <f t="shared" si="8"/>
        <v>58.099999999999994</v>
      </c>
    </row>
    <row r="41" spans="1:129" x14ac:dyDescent="0.25">
      <c r="A41" s="1">
        <v>33970</v>
      </c>
      <c r="B41" s="33">
        <v>74.3</v>
      </c>
      <c r="C41" s="88">
        <v>8.69</v>
      </c>
      <c r="D41" s="33">
        <v>8.25</v>
      </c>
      <c r="E41" s="72">
        <v>8.52</v>
      </c>
      <c r="F41" s="33">
        <v>6.83</v>
      </c>
      <c r="G41" s="33">
        <v>6.97</v>
      </c>
      <c r="H41" s="33">
        <v>7.15</v>
      </c>
      <c r="I41" s="33">
        <f t="shared" si="0"/>
        <v>-1.5399999999999991</v>
      </c>
      <c r="J41" s="33">
        <f t="shared" si="9"/>
        <v>-1.0999999999999996</v>
      </c>
      <c r="K41" s="33">
        <f t="shared" si="10"/>
        <v>-1.3699999999999992</v>
      </c>
      <c r="L41" s="33">
        <f t="shared" si="11"/>
        <v>-0.4399999999999995</v>
      </c>
      <c r="M41" s="33">
        <v>104.4</v>
      </c>
      <c r="N41" s="33">
        <v>1545.05</v>
      </c>
      <c r="O41" s="33">
        <v>14.81</v>
      </c>
      <c r="P41" s="34" t="s">
        <v>312</v>
      </c>
      <c r="Q41" s="34" t="str">
        <f t="shared" si="4"/>
        <v/>
      </c>
      <c r="R41" s="71">
        <v>873.21616879320845</v>
      </c>
      <c r="S41" s="34">
        <f t="shared" si="5"/>
        <v>1267.3674438217829</v>
      </c>
      <c r="T41" s="71">
        <v>866.82037832848312</v>
      </c>
      <c r="U41" s="34">
        <f t="shared" si="6"/>
        <v>1258.0847290689157</v>
      </c>
      <c r="V41" s="116">
        <v>562252</v>
      </c>
      <c r="W41" s="116">
        <v>1139862</v>
      </c>
      <c r="X41" s="117">
        <v>2861813</v>
      </c>
      <c r="Y41" s="117">
        <v>516446</v>
      </c>
      <c r="Z41" s="33">
        <v>66.2</v>
      </c>
      <c r="AA41" s="33">
        <v>50.4</v>
      </c>
      <c r="AB41" s="33">
        <v>79.3</v>
      </c>
      <c r="AC41" s="33">
        <v>44.3</v>
      </c>
      <c r="AD41" s="33">
        <v>38089</v>
      </c>
      <c r="AE41" s="33">
        <v>8.1999999999999993</v>
      </c>
      <c r="AF41" s="33">
        <v>258</v>
      </c>
      <c r="AG41" s="33">
        <v>66.8</v>
      </c>
      <c r="AH41" s="33">
        <v>68.900000000000006</v>
      </c>
      <c r="AI41" s="33">
        <v>76</v>
      </c>
      <c r="AJ41" s="33">
        <v>77.599999999999994</v>
      </c>
      <c r="AK41" s="33">
        <v>155.408841</v>
      </c>
      <c r="AL41" s="33">
        <v>49.8</v>
      </c>
      <c r="AM41" s="123"/>
      <c r="AN41" s="123">
        <v>10.71328626044582</v>
      </c>
      <c r="AO41" s="123"/>
      <c r="AP41" s="33">
        <v>14.01</v>
      </c>
      <c r="AQ41" s="33">
        <f t="shared" si="7"/>
        <v>0.18434210526315789</v>
      </c>
      <c r="AR41" s="33">
        <v>82</v>
      </c>
      <c r="AS41" s="33">
        <v>87.6</v>
      </c>
      <c r="AT41" s="33">
        <v>76.7</v>
      </c>
      <c r="AU41" s="33">
        <v>78.099999999999994</v>
      </c>
      <c r="AV41" s="65">
        <v>85.2</v>
      </c>
      <c r="AW41" s="33">
        <v>71.599999999999994</v>
      </c>
      <c r="AX41" s="33">
        <v>-34</v>
      </c>
      <c r="AY41" s="33">
        <v>-28.1</v>
      </c>
      <c r="AZ41" s="33">
        <v>-34</v>
      </c>
      <c r="BA41" s="33">
        <v>-19.899999999999999</v>
      </c>
      <c r="BB41" s="33">
        <v>82.6</v>
      </c>
      <c r="BC41" s="33">
        <v>85</v>
      </c>
      <c r="BD41" s="33">
        <v>80.400000000000006</v>
      </c>
      <c r="BE41" s="33">
        <v>-93.3</v>
      </c>
      <c r="BF41" s="33">
        <v>-49.7</v>
      </c>
      <c r="BG41" s="33">
        <v>-31.5</v>
      </c>
      <c r="BH41" s="33">
        <v>181.4</v>
      </c>
      <c r="BI41" s="33">
        <v>57.6</v>
      </c>
      <c r="BJ41" s="34" t="s">
        <v>243</v>
      </c>
      <c r="BK41" s="45">
        <v>-29.97951442856343</v>
      </c>
      <c r="BL41" s="45" t="s">
        <v>243</v>
      </c>
      <c r="BM41" s="33">
        <v>96.5501</v>
      </c>
      <c r="BN41" s="33">
        <v>97.037599999999998</v>
      </c>
      <c r="BO41" s="33">
        <v>-56.3</v>
      </c>
      <c r="BP41" s="33">
        <v>-56.1</v>
      </c>
      <c r="BQ41" s="33">
        <v>29.1</v>
      </c>
      <c r="BR41" s="33">
        <v>-19.600000000000001</v>
      </c>
      <c r="BS41" s="33">
        <v>-5</v>
      </c>
      <c r="BT41" s="45" t="s">
        <v>243</v>
      </c>
      <c r="BU41" s="33">
        <v>-35</v>
      </c>
      <c r="BV41" s="33">
        <v>0</v>
      </c>
      <c r="BW41" s="33">
        <v>-22.2</v>
      </c>
      <c r="BX41" s="33">
        <v>-28.7</v>
      </c>
      <c r="BY41" s="33">
        <v>-18</v>
      </c>
      <c r="BZ41" s="33">
        <v>75.2</v>
      </c>
      <c r="CA41" s="33">
        <v>-22.2</v>
      </c>
      <c r="CB41" s="33">
        <v>-14.2</v>
      </c>
      <c r="CC41" s="33">
        <v>-11.5</v>
      </c>
      <c r="CD41" s="33">
        <v>-61.7</v>
      </c>
      <c r="CE41" s="33">
        <v>-49</v>
      </c>
      <c r="CF41" s="33">
        <v>49.8</v>
      </c>
      <c r="CG41" s="33">
        <v>65.8</v>
      </c>
      <c r="CH41" s="33">
        <v>54.9</v>
      </c>
      <c r="CI41" s="33">
        <v>-32.1</v>
      </c>
      <c r="CJ41" s="33">
        <v>-14.1</v>
      </c>
      <c r="CK41" s="33">
        <v>2.9</v>
      </c>
      <c r="CL41" s="33">
        <v>9.6999999999999993</v>
      </c>
      <c r="CM41" s="33">
        <v>1035.8</v>
      </c>
      <c r="CN41" s="33">
        <v>3301.11</v>
      </c>
      <c r="CO41" s="33">
        <v>435.25190500000002</v>
      </c>
      <c r="CP41" s="33">
        <v>8.26</v>
      </c>
      <c r="CQ41" s="33">
        <v>6.7</v>
      </c>
      <c r="CR41" s="33">
        <v>83.4</v>
      </c>
      <c r="CS41" s="65"/>
      <c r="CT41" s="33">
        <v>76.5</v>
      </c>
      <c r="CU41" s="33">
        <v>63.2</v>
      </c>
      <c r="CV41" s="33"/>
      <c r="CW41" s="33"/>
      <c r="CX41" s="33"/>
      <c r="CY41" s="33">
        <v>1.89</v>
      </c>
      <c r="CZ41" s="33">
        <v>13480.675999999999</v>
      </c>
      <c r="DA41" s="33">
        <v>1.62</v>
      </c>
      <c r="DB41" s="33">
        <v>11.56</v>
      </c>
      <c r="DC41" s="33">
        <v>14.2</v>
      </c>
      <c r="DD41" s="33">
        <v>4.6399999999999997</v>
      </c>
      <c r="DE41" s="33">
        <v>2799.6109999999999</v>
      </c>
      <c r="DF41" s="33">
        <v>686.91399999999999</v>
      </c>
      <c r="DG41" s="33">
        <v>327.57900000000001</v>
      </c>
      <c r="DH41" s="33">
        <v>564.94100000000003</v>
      </c>
      <c r="DI41" s="33">
        <v>282.62400000000002</v>
      </c>
      <c r="DJ41" s="33">
        <v>99.214600000000004</v>
      </c>
      <c r="DK41" s="33">
        <v>99.2166</v>
      </c>
      <c r="DL41" s="33">
        <v>102.07</v>
      </c>
      <c r="DM41" s="33">
        <v>102.64109999999999</v>
      </c>
      <c r="DN41" s="33">
        <v>97.037599999999998</v>
      </c>
      <c r="DO41" s="33">
        <v>96.5501</v>
      </c>
      <c r="DP41" s="33">
        <v>100.1339</v>
      </c>
      <c r="DQ41" s="33">
        <v>100.1469</v>
      </c>
      <c r="DR41" s="104">
        <v>981853</v>
      </c>
      <c r="DS41" s="104">
        <v>28768.82086309883</v>
      </c>
      <c r="DT41" s="103" t="s">
        <v>243</v>
      </c>
      <c r="DU41">
        <v>182.15576171875</v>
      </c>
      <c r="DV41">
        <v>178.75274658203125</v>
      </c>
      <c r="DW41">
        <v>1373</v>
      </c>
      <c r="DX41">
        <v>342400</v>
      </c>
      <c r="DY41" s="102">
        <f t="shared" si="8"/>
        <v>57.599999999999994</v>
      </c>
    </row>
    <row r="42" spans="1:129" x14ac:dyDescent="0.25">
      <c r="A42" s="1">
        <v>34001</v>
      </c>
      <c r="B42" s="33">
        <v>73.400000000000006</v>
      </c>
      <c r="C42" s="88">
        <v>8.65</v>
      </c>
      <c r="D42" s="33">
        <v>8</v>
      </c>
      <c r="E42" s="72">
        <v>8.34</v>
      </c>
      <c r="F42" s="33">
        <v>6.58</v>
      </c>
      <c r="G42" s="33">
        <v>6.75</v>
      </c>
      <c r="H42" s="33">
        <v>6.94</v>
      </c>
      <c r="I42" s="33">
        <f t="shared" si="0"/>
        <v>-1.71</v>
      </c>
      <c r="J42" s="33">
        <f t="shared" si="9"/>
        <v>-1.0599999999999996</v>
      </c>
      <c r="K42" s="33">
        <f t="shared" si="10"/>
        <v>-1.3999999999999995</v>
      </c>
      <c r="L42" s="33">
        <f t="shared" si="11"/>
        <v>-0.65000000000000036</v>
      </c>
      <c r="M42" s="33">
        <v>105</v>
      </c>
      <c r="N42" s="33">
        <v>1585.16</v>
      </c>
      <c r="O42" s="33">
        <v>14.74</v>
      </c>
      <c r="P42" s="34" t="s">
        <v>312</v>
      </c>
      <c r="Q42" s="34" t="str">
        <f t="shared" si="4"/>
        <v/>
      </c>
      <c r="R42" s="71">
        <v>878.46042401090074</v>
      </c>
      <c r="S42" s="34">
        <f t="shared" si="5"/>
        <v>1269.4514797845386</v>
      </c>
      <c r="T42" s="71">
        <v>868.91598803433214</v>
      </c>
      <c r="U42" s="34">
        <f t="shared" si="6"/>
        <v>1255.6589422461445</v>
      </c>
      <c r="V42" s="116">
        <v>567023</v>
      </c>
      <c r="W42" s="116">
        <v>1141771</v>
      </c>
      <c r="X42" s="117">
        <v>2876975</v>
      </c>
      <c r="Y42" s="117">
        <v>519782</v>
      </c>
      <c r="Z42" s="33">
        <v>65.400000000000006</v>
      </c>
      <c r="AA42" s="33">
        <v>49</v>
      </c>
      <c r="AB42" s="33">
        <v>74.5</v>
      </c>
      <c r="AC42" s="33">
        <v>42.5</v>
      </c>
      <c r="AD42" s="33">
        <v>38061</v>
      </c>
      <c r="AE42" s="33">
        <v>8.3000000000000007</v>
      </c>
      <c r="AF42" s="33">
        <v>238</v>
      </c>
      <c r="AG42" s="33">
        <v>67.099999999999994</v>
      </c>
      <c r="AH42" s="33">
        <v>69.2</v>
      </c>
      <c r="AI42" s="33">
        <v>76.099999999999994</v>
      </c>
      <c r="AJ42" s="33">
        <v>77.599999999999994</v>
      </c>
      <c r="AK42" s="33">
        <v>155.23082400000001</v>
      </c>
      <c r="AL42" s="33">
        <v>49.9</v>
      </c>
      <c r="AM42" s="123"/>
      <c r="AN42" s="123">
        <v>11.384691121454686</v>
      </c>
      <c r="AO42" s="123"/>
      <c r="AP42" s="33">
        <v>15.13</v>
      </c>
      <c r="AQ42" s="33">
        <f t="shared" si="7"/>
        <v>0.19881734559789752</v>
      </c>
      <c r="AR42" s="33">
        <v>80.2</v>
      </c>
      <c r="AS42" s="33">
        <v>86.4</v>
      </c>
      <c r="AT42" s="33">
        <v>74.400000000000006</v>
      </c>
      <c r="AU42" s="33">
        <v>75.8</v>
      </c>
      <c r="AV42" s="65">
        <v>84.5</v>
      </c>
      <c r="AW42" s="33">
        <v>68</v>
      </c>
      <c r="AX42" s="33">
        <v>-39.200000000000003</v>
      </c>
      <c r="AY42" s="33">
        <v>-27.4</v>
      </c>
      <c r="AZ42" s="33">
        <v>-38.799999999999997</v>
      </c>
      <c r="BA42" s="33">
        <v>-18.899999999999999</v>
      </c>
      <c r="BB42" s="33">
        <v>80</v>
      </c>
      <c r="BC42" s="33">
        <v>81.599999999999994</v>
      </c>
      <c r="BD42" s="33">
        <v>78.5</v>
      </c>
      <c r="BE42" s="33">
        <v>-96.2</v>
      </c>
      <c r="BF42" s="33">
        <v>-36.799999999999997</v>
      </c>
      <c r="BG42" s="33">
        <v>-31</v>
      </c>
      <c r="BH42" s="33">
        <v>183.9</v>
      </c>
      <c r="BI42" s="33">
        <v>66.2</v>
      </c>
      <c r="BJ42" s="34" t="s">
        <v>243</v>
      </c>
      <c r="BK42" s="45">
        <v>-31.540329568986134</v>
      </c>
      <c r="BL42" s="45" t="s">
        <v>243</v>
      </c>
      <c r="BM42" s="33">
        <v>96.517200000000003</v>
      </c>
      <c r="BN42" s="33">
        <v>97.009299999999996</v>
      </c>
      <c r="BO42" s="33">
        <v>-62.6</v>
      </c>
      <c r="BP42" s="33">
        <v>-60.1</v>
      </c>
      <c r="BQ42" s="33">
        <v>28.4</v>
      </c>
      <c r="BR42" s="33">
        <v>-20</v>
      </c>
      <c r="BS42" s="33">
        <v>-4.2</v>
      </c>
      <c r="BT42" s="45" t="s">
        <v>243</v>
      </c>
      <c r="BU42" s="33">
        <v>-37</v>
      </c>
      <c r="BV42" s="33">
        <v>0</v>
      </c>
      <c r="BW42" s="33">
        <v>-20.7</v>
      </c>
      <c r="BX42" s="33">
        <v>-30.5</v>
      </c>
      <c r="BY42" s="33">
        <v>-21.1</v>
      </c>
      <c r="BZ42" s="33">
        <v>75.2</v>
      </c>
      <c r="CA42" s="33">
        <v>-20.7</v>
      </c>
      <c r="CB42" s="33">
        <v>-14</v>
      </c>
      <c r="CC42" s="33">
        <v>-9.6</v>
      </c>
      <c r="CD42" s="33">
        <v>-60.9</v>
      </c>
      <c r="CE42" s="33">
        <v>-48.1</v>
      </c>
      <c r="CF42" s="33">
        <v>52</v>
      </c>
      <c r="CG42" s="33">
        <v>63.8</v>
      </c>
      <c r="CH42" s="33">
        <v>56.4</v>
      </c>
      <c r="CI42" s="33">
        <v>-29.7</v>
      </c>
      <c r="CJ42" s="33">
        <v>-11.2</v>
      </c>
      <c r="CK42" s="33">
        <v>6.3</v>
      </c>
      <c r="CL42" s="33">
        <v>9</v>
      </c>
      <c r="CM42" s="33">
        <v>1097.5219999999999</v>
      </c>
      <c r="CN42" s="33">
        <v>3332.18</v>
      </c>
      <c r="CO42" s="33">
        <v>441.84800000000001</v>
      </c>
      <c r="CP42" s="33">
        <v>7.9649999999999999</v>
      </c>
      <c r="CQ42" s="33">
        <v>6.38</v>
      </c>
      <c r="CR42" s="33">
        <v>80.599999999999994</v>
      </c>
      <c r="CS42" s="65"/>
      <c r="CT42" s="33">
        <v>77.400000000000006</v>
      </c>
      <c r="CU42" s="33">
        <v>68.3</v>
      </c>
      <c r="CV42" s="33"/>
      <c r="CW42" s="33"/>
      <c r="CX42" s="33"/>
      <c r="CY42" s="33">
        <v>1.85</v>
      </c>
      <c r="CZ42" s="33">
        <v>16037.725</v>
      </c>
      <c r="DA42" s="33">
        <v>1.79</v>
      </c>
      <c r="DB42" s="33">
        <v>11.66</v>
      </c>
      <c r="DC42" s="33">
        <v>16.079999999999998</v>
      </c>
      <c r="DD42" s="33">
        <v>4.71</v>
      </c>
      <c r="DE42" s="33">
        <v>3253.32</v>
      </c>
      <c r="DF42" s="33">
        <v>780.94600000000003</v>
      </c>
      <c r="DG42" s="33">
        <v>371.18</v>
      </c>
      <c r="DH42" s="33">
        <v>577.00699999999995</v>
      </c>
      <c r="DI42" s="33">
        <v>454.11799999999999</v>
      </c>
      <c r="DJ42" s="33">
        <v>99.284300000000002</v>
      </c>
      <c r="DK42" s="33">
        <v>99.291700000000006</v>
      </c>
      <c r="DL42" s="33">
        <v>102.01</v>
      </c>
      <c r="DM42" s="33">
        <v>102.56310000000001</v>
      </c>
      <c r="DN42" s="33">
        <v>97.009299999999996</v>
      </c>
      <c r="DO42" s="33">
        <v>96.517200000000003</v>
      </c>
      <c r="DP42" s="33">
        <v>100.11839999999999</v>
      </c>
      <c r="DQ42" s="33">
        <v>100.13</v>
      </c>
      <c r="DR42" s="104">
        <v>1162511</v>
      </c>
      <c r="DS42" s="104">
        <v>28755.165137365446</v>
      </c>
      <c r="DT42" s="103" t="s">
        <v>243</v>
      </c>
      <c r="DU42">
        <v>120.84517669677734</v>
      </c>
      <c r="DV42">
        <v>114.21302795410156</v>
      </c>
      <c r="DW42">
        <v>1277</v>
      </c>
      <c r="DX42">
        <v>313500</v>
      </c>
      <c r="DY42" s="102">
        <f t="shared" si="8"/>
        <v>56.8</v>
      </c>
    </row>
    <row r="43" spans="1:129" x14ac:dyDescent="0.25">
      <c r="A43" s="1">
        <v>34029</v>
      </c>
      <c r="B43" s="33">
        <v>73.3</v>
      </c>
      <c r="C43" s="88">
        <v>8.34</v>
      </c>
      <c r="D43" s="33">
        <v>7.5</v>
      </c>
      <c r="E43" s="72">
        <v>7.91</v>
      </c>
      <c r="F43" s="33">
        <v>6.18</v>
      </c>
      <c r="G43" s="33">
        <v>6.38</v>
      </c>
      <c r="H43" s="33">
        <v>6.66</v>
      </c>
      <c r="I43" s="33">
        <f t="shared" si="0"/>
        <v>-1.6799999999999997</v>
      </c>
      <c r="J43" s="33">
        <f t="shared" si="9"/>
        <v>-0.83999999999999986</v>
      </c>
      <c r="K43" s="33">
        <f t="shared" si="10"/>
        <v>-1.25</v>
      </c>
      <c r="L43" s="33">
        <f t="shared" si="11"/>
        <v>-0.83999999999999986</v>
      </c>
      <c r="M43" s="33">
        <v>105.1</v>
      </c>
      <c r="N43" s="33">
        <v>1700.95</v>
      </c>
      <c r="O43" s="33">
        <v>14.69</v>
      </c>
      <c r="P43" s="34" t="s">
        <v>312</v>
      </c>
      <c r="Q43" s="34" t="str">
        <f t="shared" si="4"/>
        <v/>
      </c>
      <c r="R43" s="71">
        <v>889.71173520522245</v>
      </c>
      <c r="S43" s="34">
        <f t="shared" si="5"/>
        <v>1282.00538214009</v>
      </c>
      <c r="T43" s="71">
        <v>878.82250664380047</v>
      </c>
      <c r="U43" s="34">
        <f t="shared" si="6"/>
        <v>1266.3148510717585</v>
      </c>
      <c r="V43" s="116">
        <v>559435</v>
      </c>
      <c r="W43" s="116">
        <v>1152504</v>
      </c>
      <c r="X43" s="117">
        <v>2905799</v>
      </c>
      <c r="Y43" s="117">
        <v>535397</v>
      </c>
      <c r="Z43" s="33">
        <v>65.2</v>
      </c>
      <c r="AA43" s="33">
        <v>48</v>
      </c>
      <c r="AB43" s="33">
        <v>75.2</v>
      </c>
      <c r="AC43" s="33">
        <v>41.6</v>
      </c>
      <c r="AD43" s="33">
        <v>38005</v>
      </c>
      <c r="AE43" s="33">
        <v>8.4</v>
      </c>
      <c r="AF43" s="33">
        <v>241</v>
      </c>
      <c r="AG43" s="33">
        <v>67.2</v>
      </c>
      <c r="AH43" s="33">
        <v>69.400000000000006</v>
      </c>
      <c r="AI43" s="33">
        <v>76.2</v>
      </c>
      <c r="AJ43" s="33">
        <v>77.599999999999994</v>
      </c>
      <c r="AK43" s="33">
        <v>155.23082400000001</v>
      </c>
      <c r="AL43" s="33">
        <v>50</v>
      </c>
      <c r="AM43" s="123"/>
      <c r="AN43" s="123">
        <v>11.696212520300461</v>
      </c>
      <c r="AO43" s="123"/>
      <c r="AP43" s="33">
        <v>15.59</v>
      </c>
      <c r="AQ43" s="33">
        <f t="shared" si="7"/>
        <v>0.20459317585301837</v>
      </c>
      <c r="AR43" s="33">
        <v>81.599999999999994</v>
      </c>
      <c r="AS43" s="33">
        <v>89.3</v>
      </c>
      <c r="AT43" s="33">
        <v>74.599999999999994</v>
      </c>
      <c r="AU43" s="33">
        <v>77</v>
      </c>
      <c r="AV43" s="65">
        <v>87.2</v>
      </c>
      <c r="AW43" s="33">
        <v>67.900000000000006</v>
      </c>
      <c r="AX43" s="33">
        <v>-41.8</v>
      </c>
      <c r="AY43" s="33">
        <v>-27.8</v>
      </c>
      <c r="AZ43" s="33">
        <v>-37.700000000000003</v>
      </c>
      <c r="BA43" s="33">
        <v>-13.8</v>
      </c>
      <c r="BB43" s="33">
        <v>82.8</v>
      </c>
      <c r="BC43" s="33">
        <v>86.4</v>
      </c>
      <c r="BD43" s="33">
        <v>79.3</v>
      </c>
      <c r="BE43" s="33">
        <v>-96.2</v>
      </c>
      <c r="BF43" s="33">
        <v>-29.4</v>
      </c>
      <c r="BG43" s="33">
        <v>-33.200000000000003</v>
      </c>
      <c r="BH43" s="33">
        <v>182.6</v>
      </c>
      <c r="BI43" s="33">
        <v>28.7</v>
      </c>
      <c r="BJ43" s="34" t="s">
        <v>243</v>
      </c>
      <c r="BK43" s="45">
        <v>-33.698388274075107</v>
      </c>
      <c r="BL43" s="45" t="s">
        <v>243</v>
      </c>
      <c r="BM43" s="33">
        <v>96.556899999999999</v>
      </c>
      <c r="BN43" s="33">
        <v>97.043400000000005</v>
      </c>
      <c r="BO43" s="33">
        <v>-61.6</v>
      </c>
      <c r="BP43" s="33">
        <v>-59.8</v>
      </c>
      <c r="BQ43" s="33">
        <v>28</v>
      </c>
      <c r="BR43" s="33">
        <v>-18.600000000000001</v>
      </c>
      <c r="BS43" s="33">
        <v>-3.3</v>
      </c>
      <c r="BT43" s="45" t="s">
        <v>243</v>
      </c>
      <c r="BU43" s="33">
        <v>-36.1</v>
      </c>
      <c r="BV43" s="33">
        <v>0</v>
      </c>
      <c r="BW43" s="33">
        <v>-23.6</v>
      </c>
      <c r="BX43" s="33">
        <v>-24</v>
      </c>
      <c r="BY43" s="33">
        <v>-22</v>
      </c>
      <c r="BZ43" s="33">
        <v>74.599999999999994</v>
      </c>
      <c r="CA43" s="33">
        <v>-23.6</v>
      </c>
      <c r="CB43" s="33">
        <v>-16.2</v>
      </c>
      <c r="CC43" s="33">
        <v>-11.9</v>
      </c>
      <c r="CD43" s="33">
        <v>-66.3</v>
      </c>
      <c r="CE43" s="33">
        <v>-52.3</v>
      </c>
      <c r="CF43" s="33">
        <v>52.5</v>
      </c>
      <c r="CG43" s="33">
        <v>63.9</v>
      </c>
      <c r="CH43" s="33">
        <v>58.1</v>
      </c>
      <c r="CI43" s="33">
        <v>-29.1</v>
      </c>
      <c r="CJ43" s="33">
        <v>-13.9</v>
      </c>
      <c r="CK43" s="33">
        <v>1.8</v>
      </c>
      <c r="CL43" s="33">
        <v>8.9</v>
      </c>
      <c r="CM43" s="33">
        <v>1136.253913</v>
      </c>
      <c r="CN43" s="33">
        <v>3355.41</v>
      </c>
      <c r="CO43" s="33">
        <v>450.15521699999999</v>
      </c>
      <c r="CP43" s="33">
        <v>7.6959999999999997</v>
      </c>
      <c r="CQ43" s="33">
        <v>5.94</v>
      </c>
      <c r="CR43" s="33">
        <v>75.8</v>
      </c>
      <c r="CS43" s="65"/>
      <c r="CT43" s="33">
        <v>76</v>
      </c>
      <c r="CU43" s="33">
        <v>67</v>
      </c>
      <c r="CV43" s="33"/>
      <c r="CW43" s="33"/>
      <c r="CX43" s="33"/>
      <c r="CY43" s="33">
        <v>1.89</v>
      </c>
      <c r="CZ43" s="33">
        <v>16473.726999999999</v>
      </c>
      <c r="DA43" s="33">
        <v>1.77</v>
      </c>
      <c r="DB43" s="33">
        <v>11.07</v>
      </c>
      <c r="DC43" s="33">
        <v>14.99</v>
      </c>
      <c r="DD43" s="33">
        <v>4.6100000000000003</v>
      </c>
      <c r="DE43" s="33">
        <v>3314.9549999999999</v>
      </c>
      <c r="DF43" s="33">
        <v>716.07500000000005</v>
      </c>
      <c r="DG43" s="33">
        <v>423.82400000000001</v>
      </c>
      <c r="DH43" s="33">
        <v>614.947</v>
      </c>
      <c r="DI43" s="33">
        <v>413.92500000000001</v>
      </c>
      <c r="DJ43" s="33">
        <v>99.37</v>
      </c>
      <c r="DK43" s="33">
        <v>99.383399999999995</v>
      </c>
      <c r="DL43" s="33">
        <v>101.92</v>
      </c>
      <c r="DM43" s="33">
        <v>102.4426</v>
      </c>
      <c r="DN43" s="33">
        <v>97.043400000000005</v>
      </c>
      <c r="DO43" s="33">
        <v>96.556899999999999</v>
      </c>
      <c r="DP43" s="33">
        <v>100.0355</v>
      </c>
      <c r="DQ43" s="33">
        <v>100.03879999999999</v>
      </c>
      <c r="DR43" s="104">
        <v>1189571</v>
      </c>
      <c r="DS43" s="104">
        <v>28711.922005876386</v>
      </c>
      <c r="DT43" s="103" t="s">
        <v>243</v>
      </c>
      <c r="DU43">
        <v>152.96632385253906</v>
      </c>
      <c r="DV43">
        <v>139.10310363769531</v>
      </c>
      <c r="DW43">
        <v>1370</v>
      </c>
      <c r="DX43">
        <v>333075</v>
      </c>
      <c r="DY43" s="102">
        <f t="shared" si="8"/>
        <v>55.900000000000006</v>
      </c>
    </row>
    <row r="44" spans="1:129" x14ac:dyDescent="0.25">
      <c r="A44" s="1">
        <v>34060</v>
      </c>
      <c r="B44" s="33">
        <v>72.8</v>
      </c>
      <c r="C44" s="88">
        <v>8.0500000000000007</v>
      </c>
      <c r="D44" s="33">
        <v>7.25</v>
      </c>
      <c r="E44" s="72">
        <v>7.8500000000000005</v>
      </c>
      <c r="F44" s="33">
        <v>6.24</v>
      </c>
      <c r="G44" s="33">
        <v>6.48</v>
      </c>
      <c r="H44" s="33">
        <v>6.68</v>
      </c>
      <c r="I44" s="33">
        <f t="shared" si="0"/>
        <v>-1.370000000000001</v>
      </c>
      <c r="J44" s="33">
        <f t="shared" si="9"/>
        <v>-0.57000000000000028</v>
      </c>
      <c r="K44" s="33">
        <f t="shared" si="10"/>
        <v>-1.1700000000000008</v>
      </c>
      <c r="L44" s="33">
        <f t="shared" si="11"/>
        <v>-0.80000000000000071</v>
      </c>
      <c r="M44" s="33">
        <v>104.9</v>
      </c>
      <c r="N44" s="33">
        <v>1671.58</v>
      </c>
      <c r="O44" s="33">
        <v>14.48</v>
      </c>
      <c r="P44" s="34" t="s">
        <v>312</v>
      </c>
      <c r="Q44" s="34" t="str">
        <f t="shared" si="4"/>
        <v/>
      </c>
      <c r="R44" s="71">
        <v>897.53044298432746</v>
      </c>
      <c r="S44" s="34">
        <f t="shared" si="5"/>
        <v>1289.5552341728844</v>
      </c>
      <c r="T44" s="71">
        <v>892.25345975856044</v>
      </c>
      <c r="U44" s="34">
        <f t="shared" si="6"/>
        <v>1281.9733617220697</v>
      </c>
      <c r="V44" s="116">
        <v>554120</v>
      </c>
      <c r="W44" s="116">
        <v>1155244</v>
      </c>
      <c r="X44" s="117">
        <v>2918598</v>
      </c>
      <c r="Y44" s="117">
        <v>531925</v>
      </c>
      <c r="Z44" s="33">
        <v>65.099999999999994</v>
      </c>
      <c r="AA44" s="33">
        <v>48.1</v>
      </c>
      <c r="AB44" s="33">
        <v>74.099999999999994</v>
      </c>
      <c r="AC44" s="33">
        <v>41.5</v>
      </c>
      <c r="AD44" s="33">
        <v>37946</v>
      </c>
      <c r="AE44" s="33">
        <v>8.5</v>
      </c>
      <c r="AF44" s="33">
        <v>239</v>
      </c>
      <c r="AG44" s="33">
        <v>67.599999999999994</v>
      </c>
      <c r="AH44" s="33">
        <v>69.599999999999994</v>
      </c>
      <c r="AI44" s="33">
        <v>75.599999999999994</v>
      </c>
      <c r="AJ44" s="33">
        <v>77.599999999999994</v>
      </c>
      <c r="AK44" s="33">
        <v>155.58685800000001</v>
      </c>
      <c r="AL44" s="33">
        <v>50.7</v>
      </c>
      <c r="AM44" s="123"/>
      <c r="AN44" s="123">
        <v>11.3223609785557</v>
      </c>
      <c r="AO44" s="123"/>
      <c r="AP44" s="33">
        <v>15.05</v>
      </c>
      <c r="AQ44" s="33">
        <f t="shared" si="7"/>
        <v>0.1990740740740741</v>
      </c>
      <c r="AR44" s="33">
        <v>81.599999999999994</v>
      </c>
      <c r="AS44" s="33">
        <v>88.2</v>
      </c>
      <c r="AT44" s="33">
        <v>75.400000000000006</v>
      </c>
      <c r="AU44" s="33">
        <v>76.3</v>
      </c>
      <c r="AV44" s="65">
        <v>86</v>
      </c>
      <c r="AW44" s="33">
        <v>67.599999999999994</v>
      </c>
      <c r="AX44" s="33">
        <v>-42.1</v>
      </c>
      <c r="AY44" s="33">
        <v>-22.1</v>
      </c>
      <c r="AZ44" s="33">
        <v>-38</v>
      </c>
      <c r="BA44" s="33">
        <v>-18.600000000000001</v>
      </c>
      <c r="BB44" s="33">
        <v>85.2</v>
      </c>
      <c r="BC44" s="33">
        <v>86.9</v>
      </c>
      <c r="BD44" s="33">
        <v>83.5</v>
      </c>
      <c r="BE44" s="33">
        <v>-96.3</v>
      </c>
      <c r="BF44" s="33">
        <v>-24.1</v>
      </c>
      <c r="BG44" s="33">
        <v>-25.1</v>
      </c>
      <c r="BH44" s="33">
        <v>184.4</v>
      </c>
      <c r="BI44" s="33">
        <v>1.6</v>
      </c>
      <c r="BJ44" s="34" t="s">
        <v>243</v>
      </c>
      <c r="BK44" s="45">
        <v>-53.768375707509954</v>
      </c>
      <c r="BL44" s="45" t="s">
        <v>243</v>
      </c>
      <c r="BM44" s="33">
        <v>96.660499999999999</v>
      </c>
      <c r="BN44" s="33">
        <v>97.132400000000004</v>
      </c>
      <c r="BO44" s="33">
        <v>-63.9</v>
      </c>
      <c r="BP44" s="33">
        <v>-60.6</v>
      </c>
      <c r="BQ44" s="33">
        <v>28.3</v>
      </c>
      <c r="BR44" s="33">
        <v>-18.7</v>
      </c>
      <c r="BS44" s="33">
        <v>-6</v>
      </c>
      <c r="BT44" s="45" t="s">
        <v>243</v>
      </c>
      <c r="BU44" s="33">
        <v>-37</v>
      </c>
      <c r="BV44" s="33">
        <v>0</v>
      </c>
      <c r="BW44" s="33">
        <v>-20.8</v>
      </c>
      <c r="BX44" s="33">
        <v>-24.1</v>
      </c>
      <c r="BY44" s="33">
        <v>-23.2</v>
      </c>
      <c r="BZ44" s="33">
        <v>75.5</v>
      </c>
      <c r="CA44" s="33">
        <v>-20.8</v>
      </c>
      <c r="CB44" s="33">
        <v>-14.7</v>
      </c>
      <c r="CC44" s="33">
        <v>-7.9</v>
      </c>
      <c r="CD44" s="33">
        <v>-62.5</v>
      </c>
      <c r="CE44" s="33">
        <v>-46.6</v>
      </c>
      <c r="CF44" s="33">
        <v>52</v>
      </c>
      <c r="CG44" s="33">
        <v>60.4</v>
      </c>
      <c r="CH44" s="33">
        <v>58.6</v>
      </c>
      <c r="CI44" s="33">
        <v>-26.6</v>
      </c>
      <c r="CJ44" s="33">
        <v>-14.2</v>
      </c>
      <c r="CK44" s="33">
        <v>4.3</v>
      </c>
      <c r="CL44" s="33">
        <v>9.6999999999999993</v>
      </c>
      <c r="CM44" s="33">
        <v>1127.5404550000001</v>
      </c>
      <c r="CN44" s="33">
        <v>3439.44</v>
      </c>
      <c r="CO44" s="33">
        <v>443.02136400000001</v>
      </c>
      <c r="CP44" s="33">
        <v>7.7050000000000001</v>
      </c>
      <c r="CQ44" s="33">
        <v>6.06</v>
      </c>
      <c r="CR44" s="33">
        <v>76.400000000000006</v>
      </c>
      <c r="CS44" s="65"/>
      <c r="CT44" s="33">
        <v>74.3</v>
      </c>
      <c r="CU44" s="33">
        <v>68.099999999999994</v>
      </c>
      <c r="CV44" s="33"/>
      <c r="CW44" s="33"/>
      <c r="CX44" s="33"/>
      <c r="CY44" s="33">
        <v>1.84</v>
      </c>
      <c r="CZ44" s="33">
        <v>15357.431</v>
      </c>
      <c r="DA44" s="33">
        <v>1.78</v>
      </c>
      <c r="DB44" s="33">
        <v>11.28</v>
      </c>
      <c r="DC44" s="33">
        <v>14.74</v>
      </c>
      <c r="DD44" s="33">
        <v>4.93</v>
      </c>
      <c r="DE44" s="33">
        <v>3066.636</v>
      </c>
      <c r="DF44" s="33">
        <v>631.94600000000003</v>
      </c>
      <c r="DG44" s="33">
        <v>408.20600000000002</v>
      </c>
      <c r="DH44" s="33">
        <v>542.10599999999999</v>
      </c>
      <c r="DI44" s="33">
        <v>419.61399999999998</v>
      </c>
      <c r="DJ44" s="33">
        <v>99.448599999999999</v>
      </c>
      <c r="DK44" s="33">
        <v>99.465800000000002</v>
      </c>
      <c r="DL44" s="33">
        <v>101.78</v>
      </c>
      <c r="DM44" s="33">
        <v>102.2619</v>
      </c>
      <c r="DN44" s="33">
        <v>97.132400000000004</v>
      </c>
      <c r="DO44" s="33">
        <v>96.660499999999999</v>
      </c>
      <c r="DP44" s="33">
        <v>99.913700000000006</v>
      </c>
      <c r="DQ44" s="33">
        <v>99.904799999999994</v>
      </c>
      <c r="DR44" s="104">
        <v>1186799</v>
      </c>
      <c r="DS44" s="104">
        <v>28658.057754372465</v>
      </c>
      <c r="DT44" s="103" t="s">
        <v>243</v>
      </c>
      <c r="DU44">
        <v>81.606910705566406</v>
      </c>
      <c r="DV44">
        <v>56.501213073730469</v>
      </c>
      <c r="DW44">
        <v>1499</v>
      </c>
      <c r="DX44">
        <v>362125</v>
      </c>
      <c r="DY44" s="102">
        <f t="shared" si="8"/>
        <v>55.8</v>
      </c>
    </row>
    <row r="45" spans="1:129" x14ac:dyDescent="0.25">
      <c r="A45" s="1">
        <v>34090</v>
      </c>
      <c r="B45" s="33">
        <v>72.599999999999994</v>
      </c>
      <c r="C45" s="88">
        <v>7.8500000000000005</v>
      </c>
      <c r="D45" s="33">
        <v>7.25</v>
      </c>
      <c r="E45" s="72">
        <v>7.45</v>
      </c>
      <c r="F45" s="33">
        <v>6.3</v>
      </c>
      <c r="G45" s="33">
        <v>6.61</v>
      </c>
      <c r="H45" s="33">
        <v>6.83</v>
      </c>
      <c r="I45" s="33">
        <f t="shared" si="0"/>
        <v>-1.0200000000000005</v>
      </c>
      <c r="J45" s="33">
        <f t="shared" si="9"/>
        <v>-0.41999999999999993</v>
      </c>
      <c r="K45" s="33">
        <f t="shared" si="10"/>
        <v>-0.62000000000000011</v>
      </c>
      <c r="L45" s="33">
        <f t="shared" si="11"/>
        <v>-0.60000000000000053</v>
      </c>
      <c r="M45" s="33">
        <v>104</v>
      </c>
      <c r="N45" s="33">
        <v>1629.16</v>
      </c>
      <c r="O45" s="33">
        <v>14.35</v>
      </c>
      <c r="P45" s="34" t="s">
        <v>312</v>
      </c>
      <c r="Q45" s="34" t="str">
        <f t="shared" si="4"/>
        <v/>
      </c>
      <c r="R45" s="71">
        <v>901.82119725334849</v>
      </c>
      <c r="S45" s="34">
        <f t="shared" si="5"/>
        <v>1292.0074459217026</v>
      </c>
      <c r="T45" s="71">
        <v>896.25416919699956</v>
      </c>
      <c r="U45" s="34">
        <f t="shared" si="6"/>
        <v>1284.03176102722</v>
      </c>
      <c r="V45" s="116">
        <v>554132</v>
      </c>
      <c r="W45" s="116">
        <v>1159512</v>
      </c>
      <c r="X45" s="117">
        <v>2937506</v>
      </c>
      <c r="Y45" s="117">
        <v>532026</v>
      </c>
      <c r="Z45" s="33">
        <v>64.400000000000006</v>
      </c>
      <c r="AA45" s="33">
        <v>49.1</v>
      </c>
      <c r="AB45" s="33">
        <v>77.099999999999994</v>
      </c>
      <c r="AC45" s="33">
        <v>43.6</v>
      </c>
      <c r="AD45" s="33">
        <v>37871</v>
      </c>
      <c r="AE45" s="33">
        <v>8.6999999999999993</v>
      </c>
      <c r="AF45" s="33">
        <v>239</v>
      </c>
      <c r="AG45" s="33">
        <v>67.599999999999994</v>
      </c>
      <c r="AH45" s="33">
        <v>69.8</v>
      </c>
      <c r="AI45" s="33">
        <v>75.400000000000006</v>
      </c>
      <c r="AJ45" s="33">
        <v>77.599999999999994</v>
      </c>
      <c r="AK45" s="33">
        <v>155.408841</v>
      </c>
      <c r="AL45" s="33">
        <v>51.2</v>
      </c>
      <c r="AM45" s="123"/>
      <c r="AN45" s="123">
        <v>11.267398061184069</v>
      </c>
      <c r="AO45" s="123"/>
      <c r="AP45" s="33">
        <v>14.88</v>
      </c>
      <c r="AQ45" s="33">
        <f t="shared" si="7"/>
        <v>0.19734748010610079</v>
      </c>
      <c r="AR45" s="33">
        <v>80.8</v>
      </c>
      <c r="AS45" s="33">
        <v>88.2</v>
      </c>
      <c r="AT45" s="33">
        <v>74</v>
      </c>
      <c r="AU45" s="33">
        <v>76.099999999999994</v>
      </c>
      <c r="AV45" s="65">
        <v>86.3</v>
      </c>
      <c r="AW45" s="33">
        <v>67.099999999999994</v>
      </c>
      <c r="AX45" s="33">
        <v>-41.4</v>
      </c>
      <c r="AY45" s="33">
        <v>-20.100000000000001</v>
      </c>
      <c r="AZ45" s="33">
        <v>-38.700000000000003</v>
      </c>
      <c r="BA45" s="33">
        <v>-15.1</v>
      </c>
      <c r="BB45" s="33">
        <v>83.9</v>
      </c>
      <c r="BC45" s="33">
        <v>86.7</v>
      </c>
      <c r="BD45" s="33">
        <v>81.2</v>
      </c>
      <c r="BE45" s="33">
        <v>-97.2</v>
      </c>
      <c r="BF45" s="33">
        <v>-14</v>
      </c>
      <c r="BG45" s="33">
        <v>-26.6</v>
      </c>
      <c r="BH45" s="33">
        <v>184.4</v>
      </c>
      <c r="BI45" s="33">
        <v>0.6</v>
      </c>
      <c r="BJ45" s="34" t="s">
        <v>243</v>
      </c>
      <c r="BK45" s="45">
        <v>-38.939776067185718</v>
      </c>
      <c r="BL45" s="45" t="s">
        <v>243</v>
      </c>
      <c r="BM45" s="33">
        <v>96.813500000000005</v>
      </c>
      <c r="BN45" s="33">
        <v>97.263900000000007</v>
      </c>
      <c r="BO45" s="33">
        <v>-64.7</v>
      </c>
      <c r="BP45" s="33">
        <v>-61.9</v>
      </c>
      <c r="BQ45" s="33">
        <v>29.1</v>
      </c>
      <c r="BR45" s="33">
        <v>-16.100000000000001</v>
      </c>
      <c r="BS45" s="33">
        <v>-6.6</v>
      </c>
      <c r="BT45" s="45" t="s">
        <v>243</v>
      </c>
      <c r="BU45" s="33">
        <v>-36.6</v>
      </c>
      <c r="BV45" s="33">
        <v>0</v>
      </c>
      <c r="BW45" s="33">
        <v>-21</v>
      </c>
      <c r="BX45" s="33">
        <v>-26.8</v>
      </c>
      <c r="BY45" s="33">
        <v>-24.6</v>
      </c>
      <c r="BZ45" s="33">
        <v>75.5</v>
      </c>
      <c r="CA45" s="33">
        <v>-21</v>
      </c>
      <c r="CB45" s="33">
        <v>-14.7</v>
      </c>
      <c r="CC45" s="33">
        <v>-7.2</v>
      </c>
      <c r="CD45" s="33">
        <v>-64.400000000000006</v>
      </c>
      <c r="CE45" s="33">
        <v>-48.5</v>
      </c>
      <c r="CF45" s="33">
        <v>52</v>
      </c>
      <c r="CG45" s="33">
        <v>57.6</v>
      </c>
      <c r="CH45" s="33">
        <v>59.7</v>
      </c>
      <c r="CI45" s="33">
        <v>-25.6</v>
      </c>
      <c r="CJ45" s="33">
        <v>-13.6</v>
      </c>
      <c r="CK45" s="33">
        <v>3.2</v>
      </c>
      <c r="CL45" s="33">
        <v>8.3000000000000007</v>
      </c>
      <c r="CM45" s="33">
        <v>1110.7485710000001</v>
      </c>
      <c r="CN45" s="33">
        <v>3446.46</v>
      </c>
      <c r="CO45" s="33">
        <v>445.48190499999998</v>
      </c>
      <c r="CP45" s="33">
        <v>8.11</v>
      </c>
      <c r="CQ45" s="33">
        <v>5.96</v>
      </c>
      <c r="CR45" s="33">
        <v>68.5</v>
      </c>
      <c r="CS45" s="65"/>
      <c r="CT45" s="33">
        <v>74.7</v>
      </c>
      <c r="CU45" s="33">
        <v>71.5</v>
      </c>
      <c r="CV45" s="33"/>
      <c r="CW45" s="33"/>
      <c r="CX45" s="33"/>
      <c r="CY45" s="33">
        <v>1.86</v>
      </c>
      <c r="CZ45" s="33">
        <v>14837.255999999999</v>
      </c>
      <c r="DA45" s="33">
        <v>1.68</v>
      </c>
      <c r="DB45" s="33">
        <v>11.05</v>
      </c>
      <c r="DC45" s="33">
        <v>15.01</v>
      </c>
      <c r="DD45" s="33">
        <v>4.75</v>
      </c>
      <c r="DE45" s="33">
        <v>2882.1489999999999</v>
      </c>
      <c r="DF45" s="33">
        <v>642.64400000000001</v>
      </c>
      <c r="DG45" s="33">
        <v>493.94900000000001</v>
      </c>
      <c r="DH45" s="33">
        <v>496.57299999999998</v>
      </c>
      <c r="DI45" s="33">
        <v>374.90800000000002</v>
      </c>
      <c r="DJ45" s="33">
        <v>99.503900000000002</v>
      </c>
      <c r="DK45" s="33">
        <v>99.520700000000005</v>
      </c>
      <c r="DL45" s="33">
        <v>101.58</v>
      </c>
      <c r="DM45" s="33">
        <v>102.01609999999999</v>
      </c>
      <c r="DN45" s="33">
        <v>97.263900000000007</v>
      </c>
      <c r="DO45" s="33">
        <v>96.813500000000005</v>
      </c>
      <c r="DP45" s="33">
        <v>99.772199999999998</v>
      </c>
      <c r="DQ45" s="33">
        <v>99.748999999999995</v>
      </c>
      <c r="DR45" s="104">
        <v>1092532</v>
      </c>
      <c r="DS45" s="104">
        <v>28605.710805727816</v>
      </c>
      <c r="DT45" s="103" t="s">
        <v>243</v>
      </c>
      <c r="DU45">
        <v>143.73660278320313</v>
      </c>
      <c r="DV45">
        <v>120.82399749755859</v>
      </c>
      <c r="DW45">
        <v>1554</v>
      </c>
      <c r="DX45">
        <v>392375</v>
      </c>
      <c r="DY45" s="102">
        <f t="shared" si="8"/>
        <v>55.3</v>
      </c>
    </row>
    <row r="46" spans="1:129" x14ac:dyDescent="0.25">
      <c r="A46" s="1">
        <v>34121</v>
      </c>
      <c r="B46" s="33">
        <v>72.5</v>
      </c>
      <c r="C46" s="88">
        <v>7.82</v>
      </c>
      <c r="D46" s="33">
        <v>7.25</v>
      </c>
      <c r="E46" s="72">
        <v>7.55</v>
      </c>
      <c r="F46" s="33">
        <v>6.38</v>
      </c>
      <c r="G46" s="33">
        <v>6.63</v>
      </c>
      <c r="H46" s="33">
        <v>6.81</v>
      </c>
      <c r="I46" s="33">
        <f t="shared" si="0"/>
        <v>-1.0100000000000007</v>
      </c>
      <c r="J46" s="33">
        <f t="shared" si="9"/>
        <v>-0.44000000000000039</v>
      </c>
      <c r="K46" s="33">
        <f t="shared" si="10"/>
        <v>-0.74000000000000021</v>
      </c>
      <c r="L46" s="33">
        <f t="shared" si="11"/>
        <v>-0.57000000000000028</v>
      </c>
      <c r="M46" s="33">
        <v>103.2</v>
      </c>
      <c r="N46" s="33">
        <v>1619.89</v>
      </c>
      <c r="O46" s="33">
        <v>12.16</v>
      </c>
      <c r="P46" s="34" t="s">
        <v>312</v>
      </c>
      <c r="Q46" s="34" t="str">
        <f t="shared" si="4"/>
        <v/>
      </c>
      <c r="R46" s="71">
        <v>912.78645816306891</v>
      </c>
      <c r="S46" s="34">
        <f t="shared" si="5"/>
        <v>1300.2656099189016</v>
      </c>
      <c r="T46" s="71">
        <v>902.7315082878057</v>
      </c>
      <c r="U46" s="34">
        <f t="shared" si="6"/>
        <v>1285.9423194982985</v>
      </c>
      <c r="V46" s="116">
        <v>546278</v>
      </c>
      <c r="W46" s="116">
        <v>1166557</v>
      </c>
      <c r="X46" s="117">
        <v>2950419</v>
      </c>
      <c r="Y46" s="117">
        <v>529066</v>
      </c>
      <c r="Z46" s="33">
        <v>64.8</v>
      </c>
      <c r="AA46" s="33">
        <v>48.3</v>
      </c>
      <c r="AB46" s="33">
        <v>73.3</v>
      </c>
      <c r="AC46" s="33">
        <v>42.2</v>
      </c>
      <c r="AD46" s="33">
        <v>37840</v>
      </c>
      <c r="AE46" s="33">
        <v>8.8000000000000007</v>
      </c>
      <c r="AF46" s="33">
        <v>239</v>
      </c>
      <c r="AG46" s="33">
        <v>68</v>
      </c>
      <c r="AH46" s="33">
        <v>70.2</v>
      </c>
      <c r="AI46" s="33">
        <v>75.7</v>
      </c>
      <c r="AJ46" s="33">
        <v>77.7</v>
      </c>
      <c r="AK46" s="33">
        <v>155.23082400000001</v>
      </c>
      <c r="AL46" s="33">
        <v>51.5</v>
      </c>
      <c r="AM46" s="123"/>
      <c r="AN46" s="123">
        <v>11.10410243710894</v>
      </c>
      <c r="AO46" s="123"/>
      <c r="AP46" s="33">
        <v>14.53</v>
      </c>
      <c r="AQ46" s="33">
        <f t="shared" si="7"/>
        <v>0.19194187582562747</v>
      </c>
      <c r="AR46" s="33">
        <v>81.599999999999994</v>
      </c>
      <c r="AS46" s="33">
        <v>90.1</v>
      </c>
      <c r="AT46" s="33">
        <v>73.900000000000006</v>
      </c>
      <c r="AU46" s="33">
        <v>77.7</v>
      </c>
      <c r="AV46" s="65">
        <v>89.4</v>
      </c>
      <c r="AW46" s="33">
        <v>67.5</v>
      </c>
      <c r="AX46" s="33">
        <v>-39.5</v>
      </c>
      <c r="AY46" s="33">
        <v>-22.5</v>
      </c>
      <c r="AZ46" s="33">
        <v>-34.4</v>
      </c>
      <c r="BA46" s="33">
        <v>-8.6</v>
      </c>
      <c r="BB46" s="33">
        <v>84.7</v>
      </c>
      <c r="BC46" s="33">
        <v>88.8</v>
      </c>
      <c r="BD46" s="33">
        <v>80.7</v>
      </c>
      <c r="BE46" s="33">
        <v>-98.1</v>
      </c>
      <c r="BF46" s="33">
        <v>-7.6</v>
      </c>
      <c r="BG46" s="33">
        <v>-26.8</v>
      </c>
      <c r="BH46" s="33">
        <v>182.3</v>
      </c>
      <c r="BI46" s="33">
        <v>0.7</v>
      </c>
      <c r="BJ46" s="34" t="s">
        <v>243</v>
      </c>
      <c r="BK46" s="45">
        <v>-50.252696819414489</v>
      </c>
      <c r="BL46" s="45" t="s">
        <v>243</v>
      </c>
      <c r="BM46" s="33">
        <v>97.005499999999998</v>
      </c>
      <c r="BN46" s="33">
        <v>97.428899999999999</v>
      </c>
      <c r="BO46" s="33">
        <v>-60.7</v>
      </c>
      <c r="BP46" s="33">
        <v>-59.4</v>
      </c>
      <c r="BQ46" s="33">
        <v>28.9</v>
      </c>
      <c r="BR46" s="33">
        <v>-12</v>
      </c>
      <c r="BS46" s="33">
        <v>-5.2</v>
      </c>
      <c r="BT46" s="45" t="s">
        <v>243</v>
      </c>
      <c r="BU46" s="33">
        <v>-33.9</v>
      </c>
      <c r="BV46" s="33">
        <v>0</v>
      </c>
      <c r="BW46" s="33">
        <v>-21.7</v>
      </c>
      <c r="BX46" s="33">
        <v>-27.9</v>
      </c>
      <c r="BY46" s="33">
        <v>-25.2</v>
      </c>
      <c r="BZ46" s="33">
        <v>76.2</v>
      </c>
      <c r="CA46" s="33">
        <v>-21.7</v>
      </c>
      <c r="CB46" s="33">
        <v>-15.1</v>
      </c>
      <c r="CC46" s="33">
        <v>-9.3000000000000007</v>
      </c>
      <c r="CD46" s="33">
        <v>-65</v>
      </c>
      <c r="CE46" s="33">
        <v>-47.4</v>
      </c>
      <c r="CF46" s="33">
        <v>46.8</v>
      </c>
      <c r="CG46" s="33">
        <v>56.9</v>
      </c>
      <c r="CH46" s="33">
        <v>60.6</v>
      </c>
      <c r="CI46" s="33">
        <v>-29</v>
      </c>
      <c r="CJ46" s="33">
        <v>-15.2</v>
      </c>
      <c r="CK46" s="33">
        <v>1</v>
      </c>
      <c r="CL46" s="33">
        <v>8.1</v>
      </c>
      <c r="CM46" s="33">
        <v>1135.9549999999999</v>
      </c>
      <c r="CN46" s="33">
        <v>3552.34</v>
      </c>
      <c r="CO46" s="33">
        <v>448.05954500000001</v>
      </c>
      <c r="CP46" s="33">
        <v>8.093</v>
      </c>
      <c r="CQ46" s="33">
        <v>6.07</v>
      </c>
      <c r="CR46" s="33">
        <v>70.400000000000006</v>
      </c>
      <c r="CS46" s="65"/>
      <c r="CT46" s="33">
        <v>73.2</v>
      </c>
      <c r="CU46" s="33">
        <v>71.8</v>
      </c>
      <c r="CV46" s="33"/>
      <c r="CW46" s="33"/>
      <c r="CX46" s="33"/>
      <c r="CY46" s="33">
        <v>2.0299999999999998</v>
      </c>
      <c r="CZ46" s="33">
        <v>15258.879000000001</v>
      </c>
      <c r="DA46" s="33">
        <v>1.63</v>
      </c>
      <c r="DB46" s="33">
        <v>10.7</v>
      </c>
      <c r="DC46" s="33">
        <v>14.27</v>
      </c>
      <c r="DD46" s="33">
        <v>4.7</v>
      </c>
      <c r="DE46" s="33">
        <v>3304.819</v>
      </c>
      <c r="DF46" s="33">
        <v>675.88199999999995</v>
      </c>
      <c r="DG46" s="33">
        <v>494.18</v>
      </c>
      <c r="DH46" s="33">
        <v>666.46799999999996</v>
      </c>
      <c r="DI46" s="33">
        <v>458.363</v>
      </c>
      <c r="DJ46" s="33">
        <v>99.521000000000001</v>
      </c>
      <c r="DK46" s="33">
        <v>99.531199999999998</v>
      </c>
      <c r="DL46" s="33">
        <v>101.34</v>
      </c>
      <c r="DM46" s="33">
        <v>101.70440000000001</v>
      </c>
      <c r="DN46" s="33">
        <v>97.428899999999999</v>
      </c>
      <c r="DO46" s="33">
        <v>97.005499999999998</v>
      </c>
      <c r="DP46" s="33">
        <v>99.653300000000002</v>
      </c>
      <c r="DQ46" s="33">
        <v>99.618300000000005</v>
      </c>
      <c r="DR46" s="104">
        <v>1050795</v>
      </c>
      <c r="DS46" s="104">
        <v>28573.088794253614</v>
      </c>
      <c r="DT46" s="103" t="s">
        <v>243</v>
      </c>
      <c r="DU46">
        <v>105.10145568847656</v>
      </c>
      <c r="DV46">
        <v>88.193756103515625</v>
      </c>
      <c r="DW46">
        <v>1623</v>
      </c>
      <c r="DX46">
        <v>420400</v>
      </c>
      <c r="DY46" s="102">
        <f t="shared" si="8"/>
        <v>55.099999999999994</v>
      </c>
    </row>
    <row r="47" spans="1:129" x14ac:dyDescent="0.25">
      <c r="A47" s="1">
        <v>34151</v>
      </c>
      <c r="B47" s="33">
        <v>70.900000000000006</v>
      </c>
      <c r="C47" s="88">
        <v>7.28</v>
      </c>
      <c r="D47" s="33">
        <v>6.75</v>
      </c>
      <c r="E47" s="72">
        <v>7.18</v>
      </c>
      <c r="F47" s="33">
        <v>6.13</v>
      </c>
      <c r="G47" s="33">
        <v>6.43</v>
      </c>
      <c r="H47" s="33">
        <v>6.62</v>
      </c>
      <c r="I47" s="33">
        <f t="shared" si="0"/>
        <v>-0.66000000000000014</v>
      </c>
      <c r="J47" s="33">
        <f t="shared" si="9"/>
        <v>-0.12999999999999989</v>
      </c>
      <c r="K47" s="33">
        <f t="shared" si="10"/>
        <v>-0.55999999999999961</v>
      </c>
      <c r="L47" s="33">
        <f t="shared" si="11"/>
        <v>-0.53000000000000025</v>
      </c>
      <c r="M47" s="33">
        <v>102.9</v>
      </c>
      <c r="N47" s="33">
        <v>1706.63</v>
      </c>
      <c r="O47" s="33">
        <v>12.84</v>
      </c>
      <c r="P47" s="34" t="s">
        <v>312</v>
      </c>
      <c r="Q47" s="34" t="str">
        <f t="shared" si="4"/>
        <v/>
      </c>
      <c r="R47" s="71">
        <v>922.32146764978233</v>
      </c>
      <c r="S47" s="34">
        <f t="shared" si="5"/>
        <v>1313.8482445153593</v>
      </c>
      <c r="T47" s="71">
        <v>911.49496705772003</v>
      </c>
      <c r="U47" s="34">
        <f t="shared" si="6"/>
        <v>1298.4258789996011</v>
      </c>
      <c r="V47" s="116">
        <v>547083</v>
      </c>
      <c r="W47" s="116">
        <v>1170031</v>
      </c>
      <c r="X47" s="117">
        <v>2962145</v>
      </c>
      <c r="Y47" s="117">
        <v>524919</v>
      </c>
      <c r="Z47" s="33">
        <v>64.099999999999994</v>
      </c>
      <c r="AA47" s="33">
        <v>49</v>
      </c>
      <c r="AB47" s="33">
        <v>75.2</v>
      </c>
      <c r="AC47" s="33">
        <v>42.8</v>
      </c>
      <c r="AD47" s="33">
        <v>37804</v>
      </c>
      <c r="AE47" s="33">
        <v>9.1</v>
      </c>
      <c r="AF47" s="33">
        <v>236</v>
      </c>
      <c r="AG47" s="33">
        <v>68</v>
      </c>
      <c r="AH47" s="33">
        <v>70.2</v>
      </c>
      <c r="AI47" s="33">
        <v>76.400000000000006</v>
      </c>
      <c r="AJ47" s="33">
        <v>77.900000000000006</v>
      </c>
      <c r="AK47" s="33">
        <v>155.408841</v>
      </c>
      <c r="AL47" s="33">
        <v>70.3</v>
      </c>
      <c r="AM47" s="123"/>
      <c r="AN47" s="123">
        <v>10.914056674126636</v>
      </c>
      <c r="AO47" s="123"/>
      <c r="AP47" s="33">
        <v>14.49</v>
      </c>
      <c r="AQ47" s="33">
        <f t="shared" si="7"/>
        <v>0.18965968586387433</v>
      </c>
      <c r="AR47" s="33">
        <v>82.1</v>
      </c>
      <c r="AS47" s="33">
        <v>91.3</v>
      </c>
      <c r="AT47" s="33">
        <v>73.8</v>
      </c>
      <c r="AU47" s="33">
        <v>77.7</v>
      </c>
      <c r="AV47" s="65">
        <v>90.5</v>
      </c>
      <c r="AW47" s="33">
        <v>66.7</v>
      </c>
      <c r="AX47" s="33">
        <v>-40.1</v>
      </c>
      <c r="AY47" s="33">
        <v>-23.6</v>
      </c>
      <c r="AZ47" s="33">
        <v>-35</v>
      </c>
      <c r="BA47" s="33">
        <v>-10.7</v>
      </c>
      <c r="BB47" s="33">
        <v>85.5</v>
      </c>
      <c r="BC47" s="33">
        <v>90.3</v>
      </c>
      <c r="BD47" s="33">
        <v>80.900000000000006</v>
      </c>
      <c r="BE47" s="33">
        <v>-96.9</v>
      </c>
      <c r="BF47" s="33">
        <v>24.3</v>
      </c>
      <c r="BG47" s="33">
        <v>-24.9</v>
      </c>
      <c r="BH47" s="33">
        <v>181.9</v>
      </c>
      <c r="BI47" s="33">
        <v>5.4</v>
      </c>
      <c r="BJ47" s="34" t="s">
        <v>243</v>
      </c>
      <c r="BK47" s="45">
        <v>-26.555131501281245</v>
      </c>
      <c r="BL47" s="45" t="s">
        <v>243</v>
      </c>
      <c r="BM47" s="33">
        <v>97.228200000000001</v>
      </c>
      <c r="BN47" s="33">
        <v>97.620199999999997</v>
      </c>
      <c r="BO47" s="33">
        <v>-63.8</v>
      </c>
      <c r="BP47" s="33">
        <v>-62.7</v>
      </c>
      <c r="BQ47" s="33">
        <v>30.5</v>
      </c>
      <c r="BR47" s="33">
        <v>-12.2</v>
      </c>
      <c r="BS47" s="33">
        <v>-5.5</v>
      </c>
      <c r="BT47" s="45" t="s">
        <v>243</v>
      </c>
      <c r="BU47" s="33">
        <v>-35.5</v>
      </c>
      <c r="BV47" s="33">
        <v>0</v>
      </c>
      <c r="BW47" s="33">
        <v>-23.4</v>
      </c>
      <c r="BX47" s="33">
        <v>-20.6</v>
      </c>
      <c r="BY47" s="33">
        <v>-26.6</v>
      </c>
      <c r="BZ47" s="33">
        <v>74.8</v>
      </c>
      <c r="CA47" s="33">
        <v>-23.4</v>
      </c>
      <c r="CB47" s="33">
        <v>-15.9</v>
      </c>
      <c r="CC47" s="33">
        <v>-11.3</v>
      </c>
      <c r="CD47" s="33">
        <v>-69.599999999999994</v>
      </c>
      <c r="CE47" s="33">
        <v>-48.4</v>
      </c>
      <c r="CF47" s="33">
        <v>51.7</v>
      </c>
      <c r="CG47" s="33">
        <v>60.3</v>
      </c>
      <c r="CH47" s="33">
        <v>61.6</v>
      </c>
      <c r="CI47" s="33">
        <v>-31.9</v>
      </c>
      <c r="CJ47" s="33">
        <v>-18</v>
      </c>
      <c r="CK47" s="33">
        <v>1.4</v>
      </c>
      <c r="CL47" s="33">
        <v>8.6999999999999993</v>
      </c>
      <c r="CM47" s="33">
        <v>1185.179091</v>
      </c>
      <c r="CN47" s="33">
        <v>3510.54</v>
      </c>
      <c r="CO47" s="33">
        <v>447.22136399999999</v>
      </c>
      <c r="CP47" s="33">
        <v>7.64</v>
      </c>
      <c r="CQ47" s="33">
        <v>5.8</v>
      </c>
      <c r="CR47" s="33">
        <v>64.7</v>
      </c>
      <c r="CS47" s="65"/>
      <c r="CT47" s="33">
        <v>74</v>
      </c>
      <c r="CU47" s="33">
        <v>69.400000000000006</v>
      </c>
      <c r="CV47" s="33"/>
      <c r="CW47" s="33"/>
      <c r="CX47" s="33"/>
      <c r="CY47" s="33">
        <v>1.99</v>
      </c>
      <c r="CZ47" s="33">
        <v>13954.573</v>
      </c>
      <c r="DA47" s="33">
        <v>1.66</v>
      </c>
      <c r="DB47" s="33">
        <v>11</v>
      </c>
      <c r="DC47" s="33">
        <v>14.51</v>
      </c>
      <c r="DD47" s="33">
        <v>4.76</v>
      </c>
      <c r="DE47" s="33">
        <v>3313.74</v>
      </c>
      <c r="DF47" s="33">
        <v>633.70600000000002</v>
      </c>
      <c r="DG47" s="33">
        <v>446.89600000000002</v>
      </c>
      <c r="DH47" s="33">
        <v>625.78099999999995</v>
      </c>
      <c r="DI47" s="33">
        <v>459.33199999999999</v>
      </c>
      <c r="DJ47" s="33">
        <v>99.498599999999996</v>
      </c>
      <c r="DK47" s="33">
        <v>99.496099999999998</v>
      </c>
      <c r="DL47" s="33">
        <v>101.05</v>
      </c>
      <c r="DM47" s="33">
        <v>101.3357</v>
      </c>
      <c r="DN47" s="33">
        <v>97.620199999999997</v>
      </c>
      <c r="DO47" s="33">
        <v>97.228200000000001</v>
      </c>
      <c r="DP47" s="33">
        <v>99.588700000000003</v>
      </c>
      <c r="DQ47" s="33">
        <v>99.547200000000004</v>
      </c>
      <c r="DR47" s="104">
        <v>650060</v>
      </c>
      <c r="DS47" s="104">
        <v>28555.639811372064</v>
      </c>
      <c r="DT47" s="103" t="s">
        <v>243</v>
      </c>
      <c r="DU47">
        <v>111.65464019775391</v>
      </c>
      <c r="DV47">
        <v>97.813919067382813</v>
      </c>
      <c r="DW47">
        <v>1458</v>
      </c>
      <c r="DX47">
        <v>447075</v>
      </c>
      <c r="DY47" s="102">
        <f t="shared" si="8"/>
        <v>55</v>
      </c>
    </row>
    <row r="48" spans="1:129" x14ac:dyDescent="0.25">
      <c r="A48" s="1">
        <v>34182</v>
      </c>
      <c r="B48" s="33">
        <v>73.8</v>
      </c>
      <c r="C48" s="88">
        <v>6.84</v>
      </c>
      <c r="D48" s="33">
        <v>6.75</v>
      </c>
      <c r="E48" s="72">
        <v>6.5600000000000005</v>
      </c>
      <c r="F48" s="33">
        <v>5.91</v>
      </c>
      <c r="G48" s="33">
        <v>6.19</v>
      </c>
      <c r="H48" s="33">
        <v>6.41</v>
      </c>
      <c r="I48" s="33">
        <f t="shared" si="0"/>
        <v>-0.42999999999999972</v>
      </c>
      <c r="J48" s="33">
        <f t="shared" si="9"/>
        <v>-0.33999999999999986</v>
      </c>
      <c r="K48" s="33">
        <f t="shared" si="10"/>
        <v>-0.15000000000000036</v>
      </c>
      <c r="L48" s="33">
        <f t="shared" si="11"/>
        <v>-8.9999999999999858E-2</v>
      </c>
      <c r="M48" s="33">
        <v>104.5</v>
      </c>
      <c r="N48" s="33">
        <v>1815.08</v>
      </c>
      <c r="O48" s="33">
        <v>14.98</v>
      </c>
      <c r="P48" s="34"/>
      <c r="Q48" s="34" t="str">
        <f t="shared" si="4"/>
        <v/>
      </c>
      <c r="R48" s="71">
        <v>922.60751793438362</v>
      </c>
      <c r="S48" s="34">
        <f t="shared" si="5"/>
        <v>1306.8095154877956</v>
      </c>
      <c r="T48" s="71">
        <v>916.82924630897219</v>
      </c>
      <c r="U48" s="34">
        <f t="shared" si="6"/>
        <v>1298.6249947719155</v>
      </c>
      <c r="V48" s="116">
        <v>544408</v>
      </c>
      <c r="W48" s="116">
        <v>1175388</v>
      </c>
      <c r="X48" s="117">
        <v>2977872</v>
      </c>
      <c r="Y48" s="117">
        <v>525657</v>
      </c>
      <c r="Z48" s="33">
        <v>65.7</v>
      </c>
      <c r="AA48" s="33">
        <v>48.7</v>
      </c>
      <c r="AB48" s="33">
        <v>78</v>
      </c>
      <c r="AC48" s="33">
        <v>42.3</v>
      </c>
      <c r="AD48" s="33">
        <v>37779</v>
      </c>
      <c r="AE48" s="33">
        <v>9.1999999999999993</v>
      </c>
      <c r="AF48" s="33">
        <v>231</v>
      </c>
      <c r="AG48" s="33">
        <v>68.2</v>
      </c>
      <c r="AH48" s="33">
        <v>70.599999999999994</v>
      </c>
      <c r="AI48" s="33">
        <v>76.099999999999994</v>
      </c>
      <c r="AJ48" s="33">
        <v>77.8</v>
      </c>
      <c r="AK48" s="33">
        <v>155.23082400000001</v>
      </c>
      <c r="AL48" s="33">
        <v>51.8</v>
      </c>
      <c r="AM48" s="123"/>
      <c r="AN48" s="123">
        <v>10.997582618061278</v>
      </c>
      <c r="AO48" s="123"/>
      <c r="AP48" s="33">
        <v>14.59</v>
      </c>
      <c r="AQ48" s="33">
        <f t="shared" si="7"/>
        <v>0.19172141918528254</v>
      </c>
      <c r="AR48" s="33">
        <v>83.9</v>
      </c>
      <c r="AS48" s="33">
        <v>93.1</v>
      </c>
      <c r="AT48" s="33">
        <v>75.7</v>
      </c>
      <c r="AU48" s="33">
        <v>80</v>
      </c>
      <c r="AV48" s="65">
        <v>92.9</v>
      </c>
      <c r="AW48" s="33">
        <v>68.900000000000006</v>
      </c>
      <c r="AX48" s="33">
        <v>-35.4</v>
      </c>
      <c r="AY48" s="33">
        <v>-16.600000000000001</v>
      </c>
      <c r="AZ48" s="33">
        <v>-30.2</v>
      </c>
      <c r="BA48" s="33">
        <v>-4.8</v>
      </c>
      <c r="BB48" s="33">
        <v>87.4</v>
      </c>
      <c r="BC48" s="33">
        <v>92.2</v>
      </c>
      <c r="BD48" s="33">
        <v>82.9</v>
      </c>
      <c r="BE48" s="33">
        <v>-97.1</v>
      </c>
      <c r="BF48" s="33">
        <v>26.8</v>
      </c>
      <c r="BG48" s="33">
        <v>-21.9</v>
      </c>
      <c r="BH48" s="33">
        <v>179.9</v>
      </c>
      <c r="BI48" s="33">
        <v>2.4</v>
      </c>
      <c r="BJ48" s="34" t="s">
        <v>243</v>
      </c>
      <c r="BK48" s="45">
        <v>-11.175045494261767</v>
      </c>
      <c r="BL48" s="45" t="s">
        <v>243</v>
      </c>
      <c r="BM48" s="33">
        <v>97.476100000000002</v>
      </c>
      <c r="BN48" s="33">
        <v>97.833200000000005</v>
      </c>
      <c r="BO48" s="33">
        <v>-60.3</v>
      </c>
      <c r="BP48" s="33">
        <v>-60.4</v>
      </c>
      <c r="BQ48" s="33">
        <v>28.1</v>
      </c>
      <c r="BR48" s="33">
        <v>-9.3000000000000007</v>
      </c>
      <c r="BS48" s="33">
        <v>-5.9</v>
      </c>
      <c r="BT48" s="45" t="s">
        <v>243</v>
      </c>
      <c r="BU48" s="33">
        <v>-32.5</v>
      </c>
      <c r="BV48" s="33">
        <v>0</v>
      </c>
      <c r="BW48" s="33">
        <v>-21.4</v>
      </c>
      <c r="BX48" s="33">
        <v>-18.8</v>
      </c>
      <c r="BY48" s="33">
        <v>-25.9</v>
      </c>
      <c r="BZ48" s="33">
        <v>77.8</v>
      </c>
      <c r="CA48" s="33">
        <v>-21.4</v>
      </c>
      <c r="CB48" s="33">
        <v>-15.5</v>
      </c>
      <c r="CC48" s="33">
        <v>-8.8000000000000007</v>
      </c>
      <c r="CD48" s="33">
        <v>-65.900000000000006</v>
      </c>
      <c r="CE48" s="33">
        <v>-45.1</v>
      </c>
      <c r="CF48" s="33">
        <v>48.4</v>
      </c>
      <c r="CG48" s="33">
        <v>57</v>
      </c>
      <c r="CH48" s="33">
        <v>61.6</v>
      </c>
      <c r="CI48" s="33">
        <v>-30.2</v>
      </c>
      <c r="CJ48" s="33">
        <v>-16.2</v>
      </c>
      <c r="CK48" s="33">
        <v>0.6</v>
      </c>
      <c r="CL48" s="33">
        <v>8.4</v>
      </c>
      <c r="CM48" s="33">
        <v>1276.8645449999999</v>
      </c>
      <c r="CN48" s="33">
        <v>3560.99</v>
      </c>
      <c r="CO48" s="33">
        <v>454.12772699999999</v>
      </c>
      <c r="CP48" s="33">
        <v>7.3170000000000002</v>
      </c>
      <c r="CQ48" s="33">
        <v>5.85</v>
      </c>
      <c r="CR48" s="33">
        <v>65.8</v>
      </c>
      <c r="CS48" s="65"/>
      <c r="CT48" s="33">
        <v>76.400000000000006</v>
      </c>
      <c r="CU48" s="33">
        <v>70.900000000000006</v>
      </c>
      <c r="CV48" s="33"/>
      <c r="CW48" s="33"/>
      <c r="CX48" s="33"/>
      <c r="CY48" s="33">
        <v>2.0699999999999998</v>
      </c>
      <c r="CZ48" s="33">
        <v>12858.066000000001</v>
      </c>
      <c r="DA48" s="33">
        <v>1.74</v>
      </c>
      <c r="DB48" s="33">
        <v>11.46</v>
      </c>
      <c r="DC48" s="33">
        <v>14.68</v>
      </c>
      <c r="DD48" s="33">
        <v>4.91</v>
      </c>
      <c r="DE48" s="33">
        <v>3258.0419999999999</v>
      </c>
      <c r="DF48" s="33">
        <v>718.30799999999999</v>
      </c>
      <c r="DG48" s="33">
        <v>472.70499999999998</v>
      </c>
      <c r="DH48" s="33">
        <v>655.21900000000005</v>
      </c>
      <c r="DI48" s="33">
        <v>386.66899999999998</v>
      </c>
      <c r="DJ48" s="33">
        <v>99.452299999999994</v>
      </c>
      <c r="DK48" s="33">
        <v>99.433999999999997</v>
      </c>
      <c r="DL48" s="33">
        <v>100.75</v>
      </c>
      <c r="DM48" s="33">
        <v>100.9539</v>
      </c>
      <c r="DN48" s="33">
        <v>97.833200000000005</v>
      </c>
      <c r="DO48" s="33">
        <v>97.476100000000002</v>
      </c>
      <c r="DP48" s="33">
        <v>99.601699999999994</v>
      </c>
      <c r="DQ48" s="33">
        <v>99.561499999999995</v>
      </c>
      <c r="DR48" s="104">
        <v>517338</v>
      </c>
      <c r="DS48" s="104">
        <v>28532.121617053454</v>
      </c>
      <c r="DT48" s="103" t="s">
        <v>243</v>
      </c>
      <c r="DU48">
        <v>118.42284393310547</v>
      </c>
      <c r="DV48">
        <v>123.00511932373047</v>
      </c>
      <c r="DW48">
        <v>1337</v>
      </c>
      <c r="DX48">
        <v>464325</v>
      </c>
      <c r="DY48" s="102">
        <f t="shared" si="8"/>
        <v>53.400000000000006</v>
      </c>
    </row>
    <row r="49" spans="1:129" x14ac:dyDescent="0.25">
      <c r="A49" s="1">
        <v>34213</v>
      </c>
      <c r="B49" s="33">
        <v>73.2</v>
      </c>
      <c r="C49" s="88">
        <v>6.99</v>
      </c>
      <c r="D49" s="33">
        <v>6.25</v>
      </c>
      <c r="E49" s="72">
        <v>6.57</v>
      </c>
      <c r="F49" s="33">
        <v>5.73</v>
      </c>
      <c r="G49" s="33">
        <v>6.03</v>
      </c>
      <c r="H49" s="33">
        <v>6.2</v>
      </c>
      <c r="I49" s="33">
        <f t="shared" si="0"/>
        <v>-0.79</v>
      </c>
      <c r="J49" s="33">
        <f t="shared" si="9"/>
        <v>-4.9999999999999822E-2</v>
      </c>
      <c r="K49" s="33">
        <f t="shared" si="10"/>
        <v>-0.37000000000000011</v>
      </c>
      <c r="L49" s="33">
        <f t="shared" si="11"/>
        <v>-0.74000000000000021</v>
      </c>
      <c r="M49" s="33">
        <v>106.2</v>
      </c>
      <c r="N49" s="33">
        <v>1918.58</v>
      </c>
      <c r="O49" s="33">
        <v>16.239999999999998</v>
      </c>
      <c r="P49" s="34"/>
      <c r="Q49" s="34" t="str">
        <f t="shared" si="4"/>
        <v/>
      </c>
      <c r="R49" s="71">
        <v>927.47037277260745</v>
      </c>
      <c r="S49" s="34">
        <f t="shared" si="5"/>
        <v>1315.5608124434148</v>
      </c>
      <c r="T49" s="71">
        <v>918.16281612178534</v>
      </c>
      <c r="U49" s="34">
        <f t="shared" si="6"/>
        <v>1302.3586044280644</v>
      </c>
      <c r="V49" s="116">
        <v>544835</v>
      </c>
      <c r="W49" s="116">
        <v>1183230</v>
      </c>
      <c r="X49" s="117">
        <v>2989060</v>
      </c>
      <c r="Y49" s="117">
        <v>526091</v>
      </c>
      <c r="Z49" s="33">
        <v>65.7</v>
      </c>
      <c r="AA49" s="33">
        <v>50.7</v>
      </c>
      <c r="AB49" s="33">
        <v>74.599999999999994</v>
      </c>
      <c r="AC49" s="33">
        <v>45.9</v>
      </c>
      <c r="AD49" s="33">
        <v>37770</v>
      </c>
      <c r="AE49" s="33">
        <v>9.4</v>
      </c>
      <c r="AF49" s="33">
        <v>223</v>
      </c>
      <c r="AG49" s="33">
        <v>68.2</v>
      </c>
      <c r="AH49" s="33">
        <v>70.5</v>
      </c>
      <c r="AI49" s="33">
        <v>75.2</v>
      </c>
      <c r="AJ49" s="33">
        <v>77.599999999999994</v>
      </c>
      <c r="AK49" s="33">
        <v>155.052807</v>
      </c>
      <c r="AL49" s="33">
        <v>51.9</v>
      </c>
      <c r="AM49" s="123"/>
      <c r="AN49" s="123">
        <v>10.298912663502094</v>
      </c>
      <c r="AO49" s="123"/>
      <c r="AP49" s="33">
        <v>13.44</v>
      </c>
      <c r="AQ49" s="33">
        <f t="shared" si="7"/>
        <v>0.17872340425531913</v>
      </c>
      <c r="AR49" s="33">
        <v>84</v>
      </c>
      <c r="AS49" s="33">
        <v>93.4</v>
      </c>
      <c r="AT49" s="33">
        <v>75.5</v>
      </c>
      <c r="AU49" s="33">
        <v>80.400000000000006</v>
      </c>
      <c r="AV49" s="65">
        <v>93.6</v>
      </c>
      <c r="AW49" s="33">
        <v>69</v>
      </c>
      <c r="AX49" s="33">
        <v>-36</v>
      </c>
      <c r="AY49" s="33">
        <v>-18.7</v>
      </c>
      <c r="AZ49" s="33">
        <v>-26.2</v>
      </c>
      <c r="BA49" s="33">
        <v>-3.5</v>
      </c>
      <c r="BB49" s="33">
        <v>86.4</v>
      </c>
      <c r="BC49" s="33">
        <v>90</v>
      </c>
      <c r="BD49" s="33">
        <v>82.9</v>
      </c>
      <c r="BE49" s="33">
        <v>-96</v>
      </c>
      <c r="BF49" s="33">
        <v>29.6</v>
      </c>
      <c r="BG49" s="33">
        <v>-17.899999999999999</v>
      </c>
      <c r="BH49" s="33">
        <v>179.7</v>
      </c>
      <c r="BI49" s="33">
        <v>5.5</v>
      </c>
      <c r="BJ49" s="34" t="s">
        <v>243</v>
      </c>
      <c r="BK49" s="45">
        <v>-16.71835750944954</v>
      </c>
      <c r="BL49" s="45" t="s">
        <v>243</v>
      </c>
      <c r="BM49" s="33">
        <v>97.728700000000003</v>
      </c>
      <c r="BN49" s="33">
        <v>98.050200000000004</v>
      </c>
      <c r="BO49" s="33">
        <v>-59.3</v>
      </c>
      <c r="BP49" s="33">
        <v>-60.6</v>
      </c>
      <c r="BQ49" s="33">
        <v>27.1</v>
      </c>
      <c r="BR49" s="33">
        <v>-9.1</v>
      </c>
      <c r="BS49" s="33">
        <v>-5.9</v>
      </c>
      <c r="BT49" s="45" t="s">
        <v>243</v>
      </c>
      <c r="BU49" s="33">
        <v>-31.8</v>
      </c>
      <c r="BV49" s="33">
        <v>0</v>
      </c>
      <c r="BW49" s="33">
        <v>-19.7</v>
      </c>
      <c r="BX49" s="33">
        <v>-23.8</v>
      </c>
      <c r="BY49" s="33">
        <v>-26.5</v>
      </c>
      <c r="BZ49" s="33">
        <v>78.900000000000006</v>
      </c>
      <c r="CA49" s="33">
        <v>-19.7</v>
      </c>
      <c r="CB49" s="33">
        <v>-15.1</v>
      </c>
      <c r="CC49" s="33">
        <v>-8.1999999999999993</v>
      </c>
      <c r="CD49" s="33">
        <v>-67.3</v>
      </c>
      <c r="CE49" s="33">
        <v>-44.4</v>
      </c>
      <c r="CF49" s="33">
        <v>50.1</v>
      </c>
      <c r="CG49" s="33">
        <v>56.2</v>
      </c>
      <c r="CH49" s="33">
        <v>61</v>
      </c>
      <c r="CI49" s="33">
        <v>-25.4</v>
      </c>
      <c r="CJ49" s="33">
        <v>-11.2</v>
      </c>
      <c r="CK49" s="33">
        <v>4.8</v>
      </c>
      <c r="CL49" s="33">
        <v>9.9</v>
      </c>
      <c r="CM49" s="33">
        <v>1279.5790910000001</v>
      </c>
      <c r="CN49" s="33">
        <v>3645.1</v>
      </c>
      <c r="CO49" s="33">
        <v>459.33090900000002</v>
      </c>
      <c r="CP49" s="33">
        <v>6.81</v>
      </c>
      <c r="CQ49" s="33">
        <v>5.46</v>
      </c>
      <c r="CR49" s="33">
        <v>66.8</v>
      </c>
      <c r="CS49" s="65"/>
      <c r="CT49" s="33">
        <v>79.3</v>
      </c>
      <c r="CU49" s="33">
        <v>77.8</v>
      </c>
      <c r="CV49" s="33"/>
      <c r="CW49" s="33"/>
      <c r="CX49" s="33"/>
      <c r="CY49" s="33">
        <v>1.85</v>
      </c>
      <c r="CZ49" s="33">
        <v>15215.796</v>
      </c>
      <c r="DA49" s="33">
        <v>1.64</v>
      </c>
      <c r="DB49" s="33">
        <v>11.45</v>
      </c>
      <c r="DC49" s="33">
        <v>15.36</v>
      </c>
      <c r="DD49" s="33">
        <v>4.7300000000000004</v>
      </c>
      <c r="DE49" s="33">
        <v>3197.9760000000001</v>
      </c>
      <c r="DF49" s="33">
        <v>663.33100000000002</v>
      </c>
      <c r="DG49" s="33">
        <v>494.48200000000003</v>
      </c>
      <c r="DH49" s="33">
        <v>637.88800000000003</v>
      </c>
      <c r="DI49" s="33">
        <v>371.03100000000001</v>
      </c>
      <c r="DJ49" s="33">
        <v>99.3947</v>
      </c>
      <c r="DK49" s="33">
        <v>99.361099999999993</v>
      </c>
      <c r="DL49" s="33">
        <v>100.49</v>
      </c>
      <c r="DM49" s="33">
        <v>100.6255</v>
      </c>
      <c r="DN49" s="33">
        <v>98.050200000000004</v>
      </c>
      <c r="DO49" s="33">
        <v>97.728700000000003</v>
      </c>
      <c r="DP49" s="33">
        <v>99.697599999999994</v>
      </c>
      <c r="DQ49" s="33">
        <v>99.667000000000002</v>
      </c>
      <c r="DR49" s="104">
        <v>710028</v>
      </c>
      <c r="DS49" s="104">
        <v>28523.776451327492</v>
      </c>
      <c r="DT49" s="103" t="s">
        <v>243</v>
      </c>
      <c r="DU49">
        <v>164.53683471679688</v>
      </c>
      <c r="DV49">
        <v>170.83865356445313</v>
      </c>
      <c r="DW49">
        <v>1422</v>
      </c>
      <c r="DX49">
        <v>517250</v>
      </c>
      <c r="DY49" s="102">
        <f t="shared" si="8"/>
        <v>56.3</v>
      </c>
    </row>
    <row r="50" spans="1:129" x14ac:dyDescent="0.25">
      <c r="A50" s="1">
        <v>34243</v>
      </c>
      <c r="B50" s="33">
        <v>73.400000000000006</v>
      </c>
      <c r="C50" s="88">
        <v>6.74</v>
      </c>
      <c r="D50" s="33">
        <v>5.75</v>
      </c>
      <c r="E50" s="72">
        <v>6.58</v>
      </c>
      <c r="F50" s="33">
        <v>5.51</v>
      </c>
      <c r="G50" s="33">
        <v>5.81</v>
      </c>
      <c r="H50" s="33">
        <v>6</v>
      </c>
      <c r="I50" s="33">
        <f t="shared" si="0"/>
        <v>-0.74000000000000021</v>
      </c>
      <c r="J50" s="33">
        <f t="shared" si="9"/>
        <v>0.25</v>
      </c>
      <c r="K50" s="33">
        <f t="shared" si="10"/>
        <v>-0.58000000000000007</v>
      </c>
      <c r="L50" s="33">
        <f t="shared" si="11"/>
        <v>-0.99000000000000021</v>
      </c>
      <c r="M50" s="33">
        <v>106.3</v>
      </c>
      <c r="N50" s="33">
        <v>1912.09</v>
      </c>
      <c r="O50" s="33">
        <v>14.9</v>
      </c>
      <c r="P50" s="34"/>
      <c r="Q50" s="34" t="str">
        <f t="shared" si="4"/>
        <v/>
      </c>
      <c r="R50" s="71">
        <v>933.38207865436971</v>
      </c>
      <c r="S50" s="34">
        <f t="shared" si="5"/>
        <v>1316.4768387226652</v>
      </c>
      <c r="T50" s="71">
        <v>925.78321505214558</v>
      </c>
      <c r="U50" s="34">
        <f t="shared" si="6"/>
        <v>1305.7591185502756</v>
      </c>
      <c r="V50" s="116">
        <v>540337</v>
      </c>
      <c r="W50" s="116">
        <v>1198003</v>
      </c>
      <c r="X50" s="117">
        <v>3013455</v>
      </c>
      <c r="Y50" s="117">
        <v>527448</v>
      </c>
      <c r="Z50" s="33">
        <v>66.099999999999994</v>
      </c>
      <c r="AA50" s="33">
        <v>50.2</v>
      </c>
      <c r="AB50" s="33">
        <v>74.2</v>
      </c>
      <c r="AC50" s="33">
        <v>45</v>
      </c>
      <c r="AD50" s="33">
        <v>37729</v>
      </c>
      <c r="AE50" s="33">
        <v>9.6</v>
      </c>
      <c r="AF50" s="33">
        <v>222</v>
      </c>
      <c r="AG50" s="33">
        <v>68.5</v>
      </c>
      <c r="AH50" s="33">
        <v>70.900000000000006</v>
      </c>
      <c r="AI50" s="33">
        <v>75.2</v>
      </c>
      <c r="AJ50" s="33">
        <v>77.7</v>
      </c>
      <c r="AK50" s="33">
        <v>154.87478999999999</v>
      </c>
      <c r="AL50" s="33">
        <v>52</v>
      </c>
      <c r="AM50" s="123"/>
      <c r="AN50" s="123">
        <v>10.824069683170755</v>
      </c>
      <c r="AO50" s="123"/>
      <c r="AP50" s="33">
        <v>14.04</v>
      </c>
      <c r="AQ50" s="33">
        <f t="shared" si="7"/>
        <v>0.18670212765957445</v>
      </c>
      <c r="AR50" s="33">
        <v>84.3</v>
      </c>
      <c r="AS50" s="33">
        <v>94.4</v>
      </c>
      <c r="AT50" s="33">
        <v>75.3</v>
      </c>
      <c r="AU50" s="33">
        <v>81.900000000000006</v>
      </c>
      <c r="AV50" s="65">
        <v>95.7</v>
      </c>
      <c r="AW50" s="33">
        <v>70.2</v>
      </c>
      <c r="AX50" s="33">
        <v>-31</v>
      </c>
      <c r="AY50" s="33">
        <v>-7.4</v>
      </c>
      <c r="AZ50" s="33">
        <v>-23.4</v>
      </c>
      <c r="BA50" s="33">
        <v>-3.4</v>
      </c>
      <c r="BB50" s="33">
        <v>87.2</v>
      </c>
      <c r="BC50" s="33">
        <v>91.9</v>
      </c>
      <c r="BD50" s="33">
        <v>82.7</v>
      </c>
      <c r="BE50" s="33">
        <v>-96.5</v>
      </c>
      <c r="BF50" s="33">
        <v>31.1</v>
      </c>
      <c r="BG50" s="33">
        <v>-23.7</v>
      </c>
      <c r="BH50" s="33">
        <v>179.3</v>
      </c>
      <c r="BI50" s="33">
        <v>5</v>
      </c>
      <c r="BJ50" s="34" t="s">
        <v>243</v>
      </c>
      <c r="BK50" s="45">
        <v>7.4568466791476329</v>
      </c>
      <c r="BL50" s="45" t="s">
        <v>243</v>
      </c>
      <c r="BM50" s="33">
        <v>97.986699999999999</v>
      </c>
      <c r="BN50" s="33">
        <v>98.271799999999999</v>
      </c>
      <c r="BO50" s="33">
        <v>-57.9</v>
      </c>
      <c r="BP50" s="33">
        <v>-59.8</v>
      </c>
      <c r="BQ50" s="33">
        <v>26</v>
      </c>
      <c r="BR50" s="33">
        <v>-4.3</v>
      </c>
      <c r="BS50" s="33">
        <v>-6.9</v>
      </c>
      <c r="BT50" s="45" t="s">
        <v>243</v>
      </c>
      <c r="BU50" s="33">
        <v>-29.4</v>
      </c>
      <c r="BV50" s="33">
        <v>0</v>
      </c>
      <c r="BW50" s="33">
        <v>-23</v>
      </c>
      <c r="BX50" s="33">
        <v>-30.1</v>
      </c>
      <c r="BY50" s="33">
        <v>-25.8</v>
      </c>
      <c r="BZ50" s="33">
        <v>78.2</v>
      </c>
      <c r="CA50" s="33">
        <v>-23</v>
      </c>
      <c r="CB50" s="33">
        <v>-18.100000000000001</v>
      </c>
      <c r="CC50" s="33">
        <v>-11.4</v>
      </c>
      <c r="CD50" s="33">
        <v>-70.599999999999994</v>
      </c>
      <c r="CE50" s="33">
        <v>-46.2</v>
      </c>
      <c r="CF50" s="33">
        <v>45.2</v>
      </c>
      <c r="CG50" s="33">
        <v>56.6</v>
      </c>
      <c r="CH50" s="33">
        <v>61.3</v>
      </c>
      <c r="CI50" s="33">
        <v>-27.8</v>
      </c>
      <c r="CJ50" s="33">
        <v>-16.399999999999999</v>
      </c>
      <c r="CK50" s="33">
        <v>1.3</v>
      </c>
      <c r="CL50" s="33">
        <v>8.5</v>
      </c>
      <c r="CM50" s="33">
        <v>1333.0338099999999</v>
      </c>
      <c r="CN50" s="33">
        <v>3581.11</v>
      </c>
      <c r="CO50" s="33">
        <v>463.90047600000003</v>
      </c>
      <c r="CP50" s="33">
        <v>6.9130000000000003</v>
      </c>
      <c r="CQ50" s="33">
        <v>5.34</v>
      </c>
      <c r="CR50" s="33">
        <v>72.5</v>
      </c>
      <c r="CS50" s="65"/>
      <c r="CT50" s="33">
        <v>79.5</v>
      </c>
      <c r="CU50" s="33">
        <v>78.599999999999994</v>
      </c>
      <c r="CV50" s="33">
        <v>133</v>
      </c>
      <c r="CW50" s="33"/>
      <c r="CX50" s="33"/>
      <c r="CY50" s="33">
        <v>2.09</v>
      </c>
      <c r="CZ50" s="33">
        <v>15567.418</v>
      </c>
      <c r="DA50" s="33">
        <v>1.68</v>
      </c>
      <c r="DB50" s="33">
        <v>10.99</v>
      </c>
      <c r="DC50" s="33">
        <v>14.93</v>
      </c>
      <c r="DD50" s="33">
        <v>4.8099999999999996</v>
      </c>
      <c r="DE50" s="33">
        <v>3699.125</v>
      </c>
      <c r="DF50" s="33">
        <v>737.28</v>
      </c>
      <c r="DG50" s="33">
        <v>570.79100000000005</v>
      </c>
      <c r="DH50" s="33">
        <v>967.63900000000001</v>
      </c>
      <c r="DI50" s="33">
        <v>326.79300000000001</v>
      </c>
      <c r="DJ50" s="33">
        <v>99.3523</v>
      </c>
      <c r="DK50" s="33">
        <v>99.3078</v>
      </c>
      <c r="DL50" s="33">
        <v>100.3</v>
      </c>
      <c r="DM50" s="33">
        <v>100.38890000000001</v>
      </c>
      <c r="DN50" s="33">
        <v>98.271799999999999</v>
      </c>
      <c r="DO50" s="33">
        <v>97.986699999999999</v>
      </c>
      <c r="DP50" s="33">
        <v>99.867500000000007</v>
      </c>
      <c r="DQ50" s="33">
        <v>99.853999999999999</v>
      </c>
      <c r="DR50" s="104">
        <v>768599</v>
      </c>
      <c r="DS50" s="104">
        <v>28497.223651290351</v>
      </c>
      <c r="DT50" s="103" t="s">
        <v>243</v>
      </c>
      <c r="DU50">
        <v>108.80492401123047</v>
      </c>
      <c r="DV50">
        <v>103.00763702392578</v>
      </c>
      <c r="DW50">
        <v>1416</v>
      </c>
      <c r="DX50">
        <v>601725</v>
      </c>
      <c r="DY50" s="102">
        <f t="shared" ref="DY50:DY81" si="12">DY51-(B50-B49)</f>
        <v>55.7</v>
      </c>
    </row>
    <row r="51" spans="1:129" x14ac:dyDescent="0.25">
      <c r="A51" s="1">
        <v>34274</v>
      </c>
      <c r="B51" s="33">
        <v>72.8</v>
      </c>
      <c r="C51" s="88">
        <v>6.43</v>
      </c>
      <c r="D51" s="33">
        <v>5.75</v>
      </c>
      <c r="E51" s="72">
        <v>6.26</v>
      </c>
      <c r="F51" s="33">
        <v>5.25</v>
      </c>
      <c r="G51" s="33">
        <v>5.64</v>
      </c>
      <c r="H51" s="33">
        <v>5.98</v>
      </c>
      <c r="I51" s="33">
        <f t="shared" si="0"/>
        <v>-0.44999999999999929</v>
      </c>
      <c r="J51" s="33">
        <f t="shared" si="9"/>
        <v>0.23000000000000043</v>
      </c>
      <c r="K51" s="33">
        <f t="shared" si="10"/>
        <v>-0.27999999999999936</v>
      </c>
      <c r="L51" s="33">
        <f t="shared" si="11"/>
        <v>-0.67999999999999972</v>
      </c>
      <c r="M51" s="33">
        <v>104.7</v>
      </c>
      <c r="N51" s="33">
        <v>2062.12</v>
      </c>
      <c r="O51" s="33">
        <v>14.83</v>
      </c>
      <c r="P51" s="34"/>
      <c r="Q51" s="34" t="str">
        <f t="shared" si="4"/>
        <v/>
      </c>
      <c r="R51" s="71">
        <v>947.01714222036969</v>
      </c>
      <c r="S51" s="34">
        <f t="shared" si="5"/>
        <v>1333.8269608737601</v>
      </c>
      <c r="T51" s="71">
        <v>934.26090886217128</v>
      </c>
      <c r="U51" s="34">
        <f t="shared" si="6"/>
        <v>1315.8604350171427</v>
      </c>
      <c r="V51" s="116">
        <v>533827</v>
      </c>
      <c r="W51" s="116">
        <v>1213444</v>
      </c>
      <c r="X51" s="117">
        <v>3037935</v>
      </c>
      <c r="Y51" s="117">
        <v>525001</v>
      </c>
      <c r="Z51" s="33">
        <v>65.900000000000006</v>
      </c>
      <c r="AA51" s="33">
        <v>50.2</v>
      </c>
      <c r="AB51" s="33">
        <v>76.099999999999994</v>
      </c>
      <c r="AC51" s="33">
        <v>44.3</v>
      </c>
      <c r="AD51" s="33">
        <v>37718</v>
      </c>
      <c r="AE51" s="33">
        <v>9.6</v>
      </c>
      <c r="AF51" s="33">
        <v>219</v>
      </c>
      <c r="AG51" s="33">
        <v>68.599999999999994</v>
      </c>
      <c r="AH51" s="33">
        <v>71</v>
      </c>
      <c r="AI51" s="33">
        <v>75.599999999999994</v>
      </c>
      <c r="AJ51" s="33">
        <v>77.8</v>
      </c>
      <c r="AK51" s="33">
        <v>154.87478999999999</v>
      </c>
      <c r="AL51" s="33">
        <v>87.8</v>
      </c>
      <c r="AM51" s="123"/>
      <c r="AN51" s="123">
        <v>10.345363898657062</v>
      </c>
      <c r="AO51" s="123"/>
      <c r="AP51" s="33">
        <v>13.31</v>
      </c>
      <c r="AQ51" s="33">
        <f t="shared" si="7"/>
        <v>0.17605820105820108</v>
      </c>
      <c r="AR51" s="33">
        <v>85</v>
      </c>
      <c r="AS51" s="33">
        <v>94.2</v>
      </c>
      <c r="AT51" s="33">
        <v>76.8</v>
      </c>
      <c r="AU51" s="33">
        <v>82.5</v>
      </c>
      <c r="AV51" s="65">
        <v>95.3</v>
      </c>
      <c r="AW51" s="33">
        <v>71.400000000000006</v>
      </c>
      <c r="AX51" s="33">
        <v>-33.6</v>
      </c>
      <c r="AY51" s="33">
        <v>-6.4</v>
      </c>
      <c r="AZ51" s="33">
        <v>-22.8</v>
      </c>
      <c r="BA51" s="33">
        <v>-1.1000000000000001</v>
      </c>
      <c r="BB51" s="33">
        <v>86</v>
      </c>
      <c r="BC51" s="33">
        <v>89.7</v>
      </c>
      <c r="BD51" s="33">
        <v>82.5</v>
      </c>
      <c r="BE51" s="33">
        <v>-98.5</v>
      </c>
      <c r="BF51" s="33">
        <v>19.600000000000001</v>
      </c>
      <c r="BG51" s="33">
        <v>-26.5</v>
      </c>
      <c r="BH51" s="33">
        <v>179.9</v>
      </c>
      <c r="BI51" s="33">
        <v>52.7</v>
      </c>
      <c r="BJ51" s="34" t="s">
        <v>243</v>
      </c>
      <c r="BK51" s="45">
        <v>22.705860271895585</v>
      </c>
      <c r="BL51" s="45" t="s">
        <v>243</v>
      </c>
      <c r="BM51" s="33">
        <v>98.274199999999993</v>
      </c>
      <c r="BN51" s="33">
        <v>98.518799999999999</v>
      </c>
      <c r="BO51" s="33">
        <v>-55.1</v>
      </c>
      <c r="BP51" s="33">
        <v>-57.9</v>
      </c>
      <c r="BQ51" s="33">
        <v>24.1</v>
      </c>
      <c r="BR51" s="33">
        <v>-1.9</v>
      </c>
      <c r="BS51" s="33">
        <v>-10.199999999999999</v>
      </c>
      <c r="BT51" s="45" t="s">
        <v>243</v>
      </c>
      <c r="BU51" s="33">
        <v>-27</v>
      </c>
      <c r="BV51" s="33">
        <v>0</v>
      </c>
      <c r="BW51" s="33">
        <v>-21.8</v>
      </c>
      <c r="BX51" s="33">
        <v>-24.1</v>
      </c>
      <c r="BY51" s="33">
        <v>-25.6</v>
      </c>
      <c r="BZ51" s="33">
        <v>80.7</v>
      </c>
      <c r="CA51" s="33">
        <v>-21.8</v>
      </c>
      <c r="CB51" s="33">
        <v>-15.6</v>
      </c>
      <c r="CC51" s="33">
        <v>-10.4</v>
      </c>
      <c r="CD51" s="33">
        <v>-68.900000000000006</v>
      </c>
      <c r="CE51" s="33">
        <v>-45.6</v>
      </c>
      <c r="CF51" s="33">
        <v>45.6</v>
      </c>
      <c r="CG51" s="33">
        <v>55.3</v>
      </c>
      <c r="CH51" s="33">
        <v>60.6</v>
      </c>
      <c r="CI51" s="33">
        <v>-26.5</v>
      </c>
      <c r="CJ51" s="33">
        <v>-15.5</v>
      </c>
      <c r="CK51" s="33">
        <v>3.4</v>
      </c>
      <c r="CL51" s="33">
        <v>9.6</v>
      </c>
      <c r="CM51" s="33">
        <v>1330.576364</v>
      </c>
      <c r="CN51" s="33">
        <v>3692.61</v>
      </c>
      <c r="CO51" s="33">
        <v>462.86636399999998</v>
      </c>
      <c r="CP51" s="33">
        <v>6.9029999999999996</v>
      </c>
      <c r="CQ51" s="33">
        <v>5.56</v>
      </c>
      <c r="CR51" s="33">
        <v>70.3</v>
      </c>
      <c r="CS51" s="65"/>
      <c r="CT51" s="33">
        <v>82.5</v>
      </c>
      <c r="CU51" s="33">
        <v>79.099999999999994</v>
      </c>
      <c r="CV51" s="33">
        <v>136.69999999999999</v>
      </c>
      <c r="CW51" s="33"/>
      <c r="CX51" s="33"/>
      <c r="CY51" s="33">
        <v>2.1800000000000002</v>
      </c>
      <c r="CZ51" s="33">
        <v>15582.848</v>
      </c>
      <c r="DA51" s="33">
        <v>1.73</v>
      </c>
      <c r="DB51" s="33">
        <v>11.82</v>
      </c>
      <c r="DC51" s="33">
        <v>15.24</v>
      </c>
      <c r="DD51" s="33">
        <v>4.67</v>
      </c>
      <c r="DE51" s="33">
        <v>3622.8130000000001</v>
      </c>
      <c r="DF51" s="33">
        <v>716.52</v>
      </c>
      <c r="DG51" s="33">
        <v>557.42600000000004</v>
      </c>
      <c r="DH51" s="33">
        <v>875.78099999999995</v>
      </c>
      <c r="DI51" s="33">
        <v>364.71499999999997</v>
      </c>
      <c r="DJ51" s="33">
        <v>99.354200000000006</v>
      </c>
      <c r="DK51" s="33">
        <v>99.306899999999999</v>
      </c>
      <c r="DL51" s="33">
        <v>100.2</v>
      </c>
      <c r="DM51" s="33">
        <v>100.2627</v>
      </c>
      <c r="DN51" s="33">
        <v>98.518799999999999</v>
      </c>
      <c r="DO51" s="33">
        <v>98.274199999999993</v>
      </c>
      <c r="DP51" s="33">
        <v>100.08320000000001</v>
      </c>
      <c r="DQ51" s="33">
        <v>100.0912</v>
      </c>
      <c r="DR51" s="104">
        <v>734399</v>
      </c>
      <c r="DS51" s="104">
        <v>28479.016016979171</v>
      </c>
      <c r="DT51" s="103" t="s">
        <v>243</v>
      </c>
      <c r="DU51">
        <v>111.52358245849609</v>
      </c>
      <c r="DV51">
        <v>93.767662048339844</v>
      </c>
      <c r="DW51">
        <v>1316</v>
      </c>
      <c r="DX51">
        <v>612250</v>
      </c>
      <c r="DY51" s="102">
        <f t="shared" si="12"/>
        <v>55.900000000000006</v>
      </c>
    </row>
    <row r="52" spans="1:129" x14ac:dyDescent="0.25">
      <c r="A52" s="1">
        <v>34304</v>
      </c>
      <c r="B52" s="33">
        <v>73.400000000000006</v>
      </c>
      <c r="C52" s="88">
        <v>6.19</v>
      </c>
      <c r="D52" s="33">
        <v>5.75</v>
      </c>
      <c r="E52" s="72">
        <v>6.05</v>
      </c>
      <c r="F52" s="33">
        <v>5.0999999999999996</v>
      </c>
      <c r="G52" s="33">
        <v>5.5</v>
      </c>
      <c r="H52" s="33">
        <v>5.85</v>
      </c>
      <c r="I52" s="33">
        <f t="shared" si="0"/>
        <v>-0.34000000000000075</v>
      </c>
      <c r="J52" s="33">
        <f t="shared" si="9"/>
        <v>9.9999999999999645E-2</v>
      </c>
      <c r="K52" s="33">
        <f t="shared" si="10"/>
        <v>-0.20000000000000018</v>
      </c>
      <c r="L52" s="33">
        <f t="shared" si="11"/>
        <v>-0.44000000000000039</v>
      </c>
      <c r="M52" s="33">
        <v>104.2</v>
      </c>
      <c r="N52" s="33">
        <v>2089.87</v>
      </c>
      <c r="O52" s="33">
        <v>15.22</v>
      </c>
      <c r="P52" s="34"/>
      <c r="Q52" s="34" t="str">
        <f t="shared" si="4"/>
        <v/>
      </c>
      <c r="R52" s="71">
        <v>965.22901033999221</v>
      </c>
      <c r="S52" s="34">
        <f t="shared" si="5"/>
        <v>1361.3949370098619</v>
      </c>
      <c r="T52" s="71">
        <v>948.35864688333777</v>
      </c>
      <c r="U52" s="34">
        <f t="shared" si="6"/>
        <v>1337.6003482134524</v>
      </c>
      <c r="V52" s="116">
        <v>537911</v>
      </c>
      <c r="W52" s="116">
        <v>1221682</v>
      </c>
      <c r="X52" s="117">
        <v>3067025</v>
      </c>
      <c r="Y52" s="117">
        <v>521531</v>
      </c>
      <c r="Z52" s="33">
        <v>66.099999999999994</v>
      </c>
      <c r="AA52" s="33">
        <v>52.1</v>
      </c>
      <c r="AB52" s="33">
        <v>75.400000000000006</v>
      </c>
      <c r="AC52" s="33">
        <v>46.5</v>
      </c>
      <c r="AD52" s="33">
        <v>37748</v>
      </c>
      <c r="AE52" s="33">
        <v>9.6</v>
      </c>
      <c r="AF52" s="33">
        <v>217</v>
      </c>
      <c r="AG52" s="33">
        <v>68.599999999999994</v>
      </c>
      <c r="AH52" s="33">
        <v>70.900000000000006</v>
      </c>
      <c r="AI52" s="33">
        <v>75.7</v>
      </c>
      <c r="AJ52" s="33">
        <v>78.099999999999994</v>
      </c>
      <c r="AK52" s="33">
        <v>154.69677300000001</v>
      </c>
      <c r="AL52" s="33">
        <v>52.1</v>
      </c>
      <c r="AM52" s="123"/>
      <c r="AN52" s="123">
        <v>9.3385158306612421</v>
      </c>
      <c r="AO52" s="123"/>
      <c r="AP52" s="33">
        <v>11.88</v>
      </c>
      <c r="AQ52" s="33">
        <f t="shared" si="7"/>
        <v>0.15693527080581243</v>
      </c>
      <c r="AR52" s="33">
        <v>85.9</v>
      </c>
      <c r="AS52" s="33">
        <v>95.9</v>
      </c>
      <c r="AT52" s="33">
        <v>76.8</v>
      </c>
      <c r="AU52" s="33">
        <v>83.7</v>
      </c>
      <c r="AV52" s="65">
        <v>97.4</v>
      </c>
      <c r="AW52" s="33">
        <v>72</v>
      </c>
      <c r="AX52" s="33">
        <v>-28.6</v>
      </c>
      <c r="AY52" s="33">
        <v>-5.3</v>
      </c>
      <c r="AZ52" s="33">
        <v>-20.399999999999999</v>
      </c>
      <c r="BA52" s="33">
        <v>2.4</v>
      </c>
      <c r="BB52" s="33">
        <v>86.5</v>
      </c>
      <c r="BC52" s="33">
        <v>92.2</v>
      </c>
      <c r="BD52" s="33">
        <v>81.099999999999994</v>
      </c>
      <c r="BE52" s="33">
        <v>-97.5</v>
      </c>
      <c r="BF52" s="33">
        <v>29.6</v>
      </c>
      <c r="BG52" s="33">
        <v>-23.7</v>
      </c>
      <c r="BH52" s="33">
        <v>175.2</v>
      </c>
      <c r="BI52" s="33">
        <v>57.7</v>
      </c>
      <c r="BJ52" s="34" t="s">
        <v>243</v>
      </c>
      <c r="BK52" s="45">
        <v>51.315724855532423</v>
      </c>
      <c r="BL52" s="45" t="s">
        <v>243</v>
      </c>
      <c r="BM52" s="33">
        <v>98.609700000000004</v>
      </c>
      <c r="BN52" s="33">
        <v>98.807000000000002</v>
      </c>
      <c r="BO52" s="33">
        <v>-55.4</v>
      </c>
      <c r="BP52" s="33">
        <v>-56.8</v>
      </c>
      <c r="BQ52" s="33">
        <v>23.1</v>
      </c>
      <c r="BR52" s="33">
        <v>-2.1</v>
      </c>
      <c r="BS52" s="33">
        <v>-10.199999999999999</v>
      </c>
      <c r="BT52" s="45" t="s">
        <v>243</v>
      </c>
      <c r="BU52" s="33">
        <v>-26.8</v>
      </c>
      <c r="BV52" s="33">
        <v>0</v>
      </c>
      <c r="BW52" s="33">
        <v>-21</v>
      </c>
      <c r="BX52" s="33">
        <v>-22.2</v>
      </c>
      <c r="BY52" s="33">
        <v>-23.8</v>
      </c>
      <c r="BZ52" s="33">
        <v>81.400000000000006</v>
      </c>
      <c r="CA52" s="33">
        <v>-21</v>
      </c>
      <c r="CB52" s="33">
        <v>-16.600000000000001</v>
      </c>
      <c r="CC52" s="33">
        <v>-10.4</v>
      </c>
      <c r="CD52" s="33">
        <v>-69.400000000000006</v>
      </c>
      <c r="CE52" s="33">
        <v>-42.3</v>
      </c>
      <c r="CF52" s="33">
        <v>40.6</v>
      </c>
      <c r="CG52" s="33">
        <v>54.4</v>
      </c>
      <c r="CH52" s="33">
        <v>57.8</v>
      </c>
      <c r="CI52" s="33">
        <v>-27.4</v>
      </c>
      <c r="CJ52" s="33">
        <v>-14.7</v>
      </c>
      <c r="CK52" s="33">
        <v>3.4</v>
      </c>
      <c r="CL52" s="33">
        <v>10.7</v>
      </c>
      <c r="CM52" s="33">
        <v>1393.6917390000001</v>
      </c>
      <c r="CN52" s="33">
        <v>3697.08</v>
      </c>
      <c r="CO52" s="33">
        <v>466.00739099999998</v>
      </c>
      <c r="CP52" s="33">
        <v>6.5090000000000003</v>
      </c>
      <c r="CQ52" s="33">
        <v>5.82</v>
      </c>
      <c r="CR52" s="33">
        <v>78.8</v>
      </c>
      <c r="CS52" s="65"/>
      <c r="CT52" s="33">
        <v>86.2</v>
      </c>
      <c r="CU52" s="33">
        <v>82</v>
      </c>
      <c r="CV52" s="33">
        <v>135.9</v>
      </c>
      <c r="CW52" s="33"/>
      <c r="CX52" s="33"/>
      <c r="CY52" s="33">
        <v>2.2400000000000002</v>
      </c>
      <c r="CZ52" s="33">
        <v>15083.029</v>
      </c>
      <c r="DA52" s="33">
        <v>1.83</v>
      </c>
      <c r="DB52" s="33">
        <v>11.32</v>
      </c>
      <c r="DC52" s="33">
        <v>15.29</v>
      </c>
      <c r="DD52" s="33">
        <v>4.97</v>
      </c>
      <c r="DE52" s="33">
        <v>4351.5929999999998</v>
      </c>
      <c r="DF52" s="33">
        <v>886.74400000000003</v>
      </c>
      <c r="DG52" s="33">
        <v>763.899</v>
      </c>
      <c r="DH52" s="33">
        <v>840.05799999999999</v>
      </c>
      <c r="DI52" s="33">
        <v>595.274</v>
      </c>
      <c r="DJ52" s="33">
        <v>99.419300000000007</v>
      </c>
      <c r="DK52" s="33">
        <v>99.378799999999998</v>
      </c>
      <c r="DL52" s="33">
        <v>100.19</v>
      </c>
      <c r="DM52" s="33">
        <v>100.2381</v>
      </c>
      <c r="DN52" s="33">
        <v>98.807000000000002</v>
      </c>
      <c r="DO52" s="33">
        <v>98.609700000000004</v>
      </c>
      <c r="DP52" s="33">
        <v>100.322</v>
      </c>
      <c r="DQ52" s="33">
        <v>100.35380000000001</v>
      </c>
      <c r="DR52" s="104">
        <v>638243</v>
      </c>
      <c r="DS52" s="104">
        <v>28491.913091282924</v>
      </c>
      <c r="DT52" s="103" t="s">
        <v>243</v>
      </c>
      <c r="DU52">
        <v>60.995674133300781</v>
      </c>
      <c r="DV52">
        <v>39.293594360351563</v>
      </c>
      <c r="DW52">
        <v>1249</v>
      </c>
      <c r="DX52">
        <v>590500</v>
      </c>
      <c r="DY52" s="102">
        <f t="shared" si="12"/>
        <v>55.3</v>
      </c>
    </row>
    <row r="53" spans="1:129" x14ac:dyDescent="0.25">
      <c r="A53" s="1">
        <v>34335</v>
      </c>
      <c r="B53" s="33">
        <v>73.7</v>
      </c>
      <c r="C53" s="88">
        <v>6.15</v>
      </c>
      <c r="D53" s="33">
        <v>5.75</v>
      </c>
      <c r="E53" s="72">
        <v>5.83</v>
      </c>
      <c r="F53" s="33">
        <v>5.07</v>
      </c>
      <c r="G53" s="33">
        <v>5.5</v>
      </c>
      <c r="H53" s="33">
        <v>5.8</v>
      </c>
      <c r="I53" s="33">
        <f t="shared" si="0"/>
        <v>-0.35000000000000053</v>
      </c>
      <c r="J53" s="33">
        <f t="shared" si="9"/>
        <v>4.9999999999999822E-2</v>
      </c>
      <c r="K53" s="33">
        <f t="shared" si="10"/>
        <v>-3.0000000000000249E-2</v>
      </c>
      <c r="L53" s="33">
        <f t="shared" si="11"/>
        <v>-0.40000000000000036</v>
      </c>
      <c r="M53" s="33">
        <v>103.4</v>
      </c>
      <c r="N53" s="33">
        <v>2267.98</v>
      </c>
      <c r="O53" s="33">
        <v>17.91</v>
      </c>
      <c r="P53" s="34"/>
      <c r="Q53" s="34" t="str">
        <f t="shared" si="4"/>
        <v/>
      </c>
      <c r="R53" s="71">
        <v>969.90116498848181</v>
      </c>
      <c r="S53" s="34">
        <f t="shared" si="5"/>
        <v>1362.2207373433732</v>
      </c>
      <c r="T53" s="71">
        <v>964.64724959698287</v>
      </c>
      <c r="U53" s="34">
        <f t="shared" si="6"/>
        <v>1354.8416426923916</v>
      </c>
      <c r="V53" s="116">
        <v>533935</v>
      </c>
      <c r="W53" s="116">
        <v>1234252</v>
      </c>
      <c r="X53" s="117">
        <v>3085865</v>
      </c>
      <c r="Y53" s="117">
        <v>512564</v>
      </c>
      <c r="Z53" s="33">
        <v>67</v>
      </c>
      <c r="AA53" s="33">
        <v>49.6</v>
      </c>
      <c r="AB53" s="33">
        <v>76</v>
      </c>
      <c r="AC53" s="33">
        <v>41.9</v>
      </c>
      <c r="AD53" s="33">
        <v>37819</v>
      </c>
      <c r="AE53" s="33">
        <v>9.6999999999999993</v>
      </c>
      <c r="AF53" s="33">
        <v>219</v>
      </c>
      <c r="AG53" s="33">
        <v>69</v>
      </c>
      <c r="AH53" s="33">
        <v>71.2</v>
      </c>
      <c r="AI53" s="33">
        <v>75.900000000000006</v>
      </c>
      <c r="AJ53" s="33">
        <v>78.2</v>
      </c>
      <c r="AK53" s="33">
        <v>155.408841</v>
      </c>
      <c r="AL53" s="33">
        <v>52</v>
      </c>
      <c r="AM53" s="123"/>
      <c r="AN53" s="123">
        <v>9.6294353269435238</v>
      </c>
      <c r="AO53" s="123"/>
      <c r="AP53" s="33">
        <v>12.69</v>
      </c>
      <c r="AQ53" s="33">
        <f t="shared" si="7"/>
        <v>0.16719367588932804</v>
      </c>
      <c r="AR53" s="33">
        <v>85.7</v>
      </c>
      <c r="AS53" s="33">
        <v>96.4</v>
      </c>
      <c r="AT53" s="33">
        <v>76.2</v>
      </c>
      <c r="AU53" s="33">
        <v>84</v>
      </c>
      <c r="AV53" s="65">
        <v>98.4</v>
      </c>
      <c r="AW53" s="33">
        <v>71.7</v>
      </c>
      <c r="AX53" s="33">
        <v>-28</v>
      </c>
      <c r="AY53" s="33">
        <v>-9.1</v>
      </c>
      <c r="AZ53" s="33">
        <v>-15.4</v>
      </c>
      <c r="BA53" s="33">
        <v>4.0999999999999996</v>
      </c>
      <c r="BB53" s="33">
        <v>86.7</v>
      </c>
      <c r="BC53" s="33">
        <v>92.7</v>
      </c>
      <c r="BD53" s="33">
        <v>81</v>
      </c>
      <c r="BE53" s="33">
        <v>-96.9</v>
      </c>
      <c r="BF53" s="33">
        <v>37.200000000000003</v>
      </c>
      <c r="BG53" s="33">
        <v>-23.7</v>
      </c>
      <c r="BH53" s="33">
        <v>172.8</v>
      </c>
      <c r="BI53" s="33">
        <v>56.5</v>
      </c>
      <c r="BJ53" s="34" t="s">
        <v>243</v>
      </c>
      <c r="BK53" s="45">
        <v>60.533334356422365</v>
      </c>
      <c r="BL53" s="45" t="s">
        <v>243</v>
      </c>
      <c r="BM53" s="33">
        <v>99.0017</v>
      </c>
      <c r="BN53" s="33">
        <v>99.143799999999999</v>
      </c>
      <c r="BO53" s="33">
        <v>-52.7</v>
      </c>
      <c r="BP53" s="33">
        <v>-54.7</v>
      </c>
      <c r="BQ53" s="33">
        <v>19.899999999999999</v>
      </c>
      <c r="BR53" s="33">
        <v>-0.6</v>
      </c>
      <c r="BS53" s="33">
        <v>-6.9</v>
      </c>
      <c r="BT53" s="45" t="s">
        <v>243</v>
      </c>
      <c r="BU53" s="33">
        <v>-24.4</v>
      </c>
      <c r="BV53" s="33">
        <v>0</v>
      </c>
      <c r="BW53" s="33">
        <v>-21.9</v>
      </c>
      <c r="BX53" s="33">
        <v>-26.4</v>
      </c>
      <c r="BY53" s="33">
        <v>-21.2</v>
      </c>
      <c r="BZ53" s="33">
        <v>82.4</v>
      </c>
      <c r="CA53" s="33">
        <v>-21.9</v>
      </c>
      <c r="CB53" s="33">
        <v>-18.5</v>
      </c>
      <c r="CC53" s="33">
        <v>-11.3</v>
      </c>
      <c r="CD53" s="33">
        <v>-70.2</v>
      </c>
      <c r="CE53" s="33">
        <v>-41.3</v>
      </c>
      <c r="CF53" s="33">
        <v>48</v>
      </c>
      <c r="CG53" s="33">
        <v>55.2</v>
      </c>
      <c r="CH53" s="33">
        <v>54.8</v>
      </c>
      <c r="CI53" s="33">
        <v>-30</v>
      </c>
      <c r="CJ53" s="33">
        <v>-16.5</v>
      </c>
      <c r="CK53" s="33">
        <v>2.2000000000000002</v>
      </c>
      <c r="CL53" s="33">
        <v>7.5</v>
      </c>
      <c r="CM53" s="33">
        <v>1423.210476</v>
      </c>
      <c r="CN53" s="33">
        <v>3756.6</v>
      </c>
      <c r="CO53" s="33">
        <v>472.99285700000001</v>
      </c>
      <c r="CP53" s="33">
        <v>6.101</v>
      </c>
      <c r="CQ53" s="33">
        <v>5.92</v>
      </c>
      <c r="CR53" s="33">
        <v>86.4</v>
      </c>
      <c r="CS53" s="65"/>
      <c r="CT53" s="33">
        <v>90.5</v>
      </c>
      <c r="CU53" s="33">
        <v>83.2</v>
      </c>
      <c r="CV53" s="33">
        <v>135.1</v>
      </c>
      <c r="CW53" s="33"/>
      <c r="CX53" s="33"/>
      <c r="CY53" s="33">
        <v>2.21</v>
      </c>
      <c r="CZ53" s="33">
        <v>14172.844999999999</v>
      </c>
      <c r="DA53" s="33">
        <v>2.02</v>
      </c>
      <c r="DB53" s="33">
        <v>10.95</v>
      </c>
      <c r="DC53" s="33">
        <v>14.61</v>
      </c>
      <c r="DD53" s="33">
        <v>5.1100000000000003</v>
      </c>
      <c r="DE53" s="33">
        <v>3344.4520000000002</v>
      </c>
      <c r="DF53" s="33">
        <v>700.02700000000004</v>
      </c>
      <c r="DG53" s="33">
        <v>413.24700000000001</v>
      </c>
      <c r="DH53" s="33">
        <v>664.51599999999996</v>
      </c>
      <c r="DI53" s="33">
        <v>424.24200000000002</v>
      </c>
      <c r="DJ53" s="33">
        <v>99.5518</v>
      </c>
      <c r="DK53" s="33">
        <v>99.526499999999999</v>
      </c>
      <c r="DL53" s="33">
        <v>100.21</v>
      </c>
      <c r="DM53" s="33">
        <v>100.271</v>
      </c>
      <c r="DN53" s="33">
        <v>99.143799999999999</v>
      </c>
      <c r="DO53" s="33">
        <v>99.0017</v>
      </c>
      <c r="DP53" s="33">
        <v>100.5455</v>
      </c>
      <c r="DQ53" s="33">
        <v>100.5997</v>
      </c>
      <c r="DR53" s="104">
        <v>564195</v>
      </c>
      <c r="DS53" s="104">
        <v>28218.511943101035</v>
      </c>
      <c r="DT53" s="103" t="s">
        <v>243</v>
      </c>
      <c r="DU53">
        <v>107.00525665283203</v>
      </c>
      <c r="DV53">
        <v>94.051582336425781</v>
      </c>
      <c r="DW53">
        <v>1215</v>
      </c>
      <c r="DX53">
        <v>599500</v>
      </c>
      <c r="DY53" s="102">
        <f t="shared" si="12"/>
        <v>55.900000000000006</v>
      </c>
    </row>
    <row r="54" spans="1:129" x14ac:dyDescent="0.25">
      <c r="A54" s="1">
        <v>34366</v>
      </c>
      <c r="B54" s="33">
        <v>74.5</v>
      </c>
      <c r="C54" s="88">
        <v>6.22</v>
      </c>
      <c r="D54" s="33">
        <v>5.25</v>
      </c>
      <c r="E54" s="72">
        <v>5.86</v>
      </c>
      <c r="F54" s="33">
        <v>5.36</v>
      </c>
      <c r="G54" s="33">
        <v>5.8</v>
      </c>
      <c r="H54" s="33">
        <v>6.07</v>
      </c>
      <c r="I54" s="33">
        <f t="shared" si="0"/>
        <v>-0.14999999999999947</v>
      </c>
      <c r="J54" s="33">
        <f t="shared" si="9"/>
        <v>0.82000000000000028</v>
      </c>
      <c r="K54" s="33">
        <f t="shared" si="10"/>
        <v>0.20999999999999996</v>
      </c>
      <c r="L54" s="33">
        <f t="shared" si="11"/>
        <v>-0.96999999999999975</v>
      </c>
      <c r="M54" s="33">
        <v>103</v>
      </c>
      <c r="N54" s="33">
        <v>2179.67</v>
      </c>
      <c r="O54" s="33">
        <v>19.920000000000002</v>
      </c>
      <c r="P54" s="34"/>
      <c r="Q54" s="34" t="str">
        <f t="shared" si="4"/>
        <v/>
      </c>
      <c r="R54" s="71">
        <v>970.85466593715319</v>
      </c>
      <c r="S54" s="34">
        <f t="shared" si="5"/>
        <v>1361.6474978080691</v>
      </c>
      <c r="T54" s="71">
        <v>971.9818835674547</v>
      </c>
      <c r="U54" s="34">
        <f t="shared" si="6"/>
        <v>1363.2284482011987</v>
      </c>
      <c r="V54" s="116">
        <v>523827</v>
      </c>
      <c r="W54" s="116">
        <v>1241994</v>
      </c>
      <c r="X54" s="117">
        <v>3101072</v>
      </c>
      <c r="Y54" s="117">
        <v>504994</v>
      </c>
      <c r="Z54" s="33">
        <v>67</v>
      </c>
      <c r="AA54" s="33">
        <v>51.1</v>
      </c>
      <c r="AB54" s="33">
        <v>75.8</v>
      </c>
      <c r="AC54" s="33">
        <v>44.3</v>
      </c>
      <c r="AD54" s="33">
        <v>37859</v>
      </c>
      <c r="AE54" s="33">
        <v>9.6999999999999993</v>
      </c>
      <c r="AF54" s="33">
        <v>220</v>
      </c>
      <c r="AG54" s="33">
        <v>69.099999999999994</v>
      </c>
      <c r="AH54" s="33">
        <v>71.3</v>
      </c>
      <c r="AI54" s="33">
        <v>76</v>
      </c>
      <c r="AJ54" s="33">
        <v>78.2</v>
      </c>
      <c r="AK54" s="33">
        <v>155.58685800000001</v>
      </c>
      <c r="AL54" s="33">
        <v>52.1</v>
      </c>
      <c r="AM54" s="123"/>
      <c r="AN54" s="123">
        <v>9.4629321224430587</v>
      </c>
      <c r="AO54" s="123"/>
      <c r="AP54" s="33">
        <v>12.16</v>
      </c>
      <c r="AQ54" s="33">
        <f t="shared" si="7"/>
        <v>0.16</v>
      </c>
      <c r="AR54" s="33">
        <v>88.1</v>
      </c>
      <c r="AS54" s="33">
        <v>98.2</v>
      </c>
      <c r="AT54" s="33">
        <v>79</v>
      </c>
      <c r="AU54" s="33">
        <v>86.7</v>
      </c>
      <c r="AV54" s="65">
        <v>100.6</v>
      </c>
      <c r="AW54" s="33">
        <v>74.8</v>
      </c>
      <c r="AX54" s="33">
        <v>-22</v>
      </c>
      <c r="AY54" s="33">
        <v>-1.5</v>
      </c>
      <c r="AZ54" s="33">
        <v>-11.1</v>
      </c>
      <c r="BA54" s="33">
        <v>6.2</v>
      </c>
      <c r="BB54" s="33">
        <v>87.8</v>
      </c>
      <c r="BC54" s="33">
        <v>92.8</v>
      </c>
      <c r="BD54" s="33">
        <v>83.2</v>
      </c>
      <c r="BE54" s="33">
        <v>-96.4</v>
      </c>
      <c r="BF54" s="33">
        <v>44</v>
      </c>
      <c r="BG54" s="33">
        <v>-20.3</v>
      </c>
      <c r="BH54" s="33">
        <v>170.7</v>
      </c>
      <c r="BI54" s="33">
        <v>68.3</v>
      </c>
      <c r="BJ54" s="34" t="s">
        <v>243</v>
      </c>
      <c r="BK54" s="45">
        <v>65.2985893010392</v>
      </c>
      <c r="BL54" s="45" t="s">
        <v>243</v>
      </c>
      <c r="BM54" s="33">
        <v>99.452100000000002</v>
      </c>
      <c r="BN54" s="33">
        <v>99.530799999999999</v>
      </c>
      <c r="BO54" s="33">
        <v>-50.6</v>
      </c>
      <c r="BP54" s="33">
        <v>-52.4</v>
      </c>
      <c r="BQ54" s="33">
        <v>18.100000000000001</v>
      </c>
      <c r="BR54" s="33">
        <v>3.1</v>
      </c>
      <c r="BS54" s="33">
        <v>-6.7</v>
      </c>
      <c r="BT54" s="45" t="s">
        <v>243</v>
      </c>
      <c r="BU54" s="33">
        <v>-21.9</v>
      </c>
      <c r="BV54" s="33">
        <v>0</v>
      </c>
      <c r="BW54" s="33">
        <v>-21</v>
      </c>
      <c r="BX54" s="33">
        <v>-22.8</v>
      </c>
      <c r="BY54" s="33">
        <v>-23.4</v>
      </c>
      <c r="BZ54" s="33">
        <v>84.4</v>
      </c>
      <c r="CA54" s="33">
        <v>-21</v>
      </c>
      <c r="CB54" s="33">
        <v>-19</v>
      </c>
      <c r="CC54" s="33">
        <v>-11</v>
      </c>
      <c r="CD54" s="33">
        <v>-65.599999999999994</v>
      </c>
      <c r="CE54" s="33">
        <v>-38.5</v>
      </c>
      <c r="CF54" s="33">
        <v>44.9</v>
      </c>
      <c r="CG54" s="33">
        <v>51.3</v>
      </c>
      <c r="CH54" s="33">
        <v>51.8</v>
      </c>
      <c r="CI54" s="33">
        <v>-30.1</v>
      </c>
      <c r="CJ54" s="33">
        <v>-15.6</v>
      </c>
      <c r="CK54" s="33">
        <v>1.1000000000000001</v>
      </c>
      <c r="CL54" s="33">
        <v>7.5</v>
      </c>
      <c r="CM54" s="33">
        <v>1424.0050000000001</v>
      </c>
      <c r="CN54" s="33">
        <v>3964.01</v>
      </c>
      <c r="CO54" s="33">
        <v>471.38499999999999</v>
      </c>
      <c r="CP54" s="33">
        <v>6.2679999999999998</v>
      </c>
      <c r="CQ54" s="33">
        <v>5.77</v>
      </c>
      <c r="CR54" s="33">
        <v>83.5</v>
      </c>
      <c r="CS54" s="65"/>
      <c r="CT54" s="33">
        <v>91.6</v>
      </c>
      <c r="CU54" s="33">
        <v>87</v>
      </c>
      <c r="CV54" s="33">
        <v>134.69999999999999</v>
      </c>
      <c r="CW54" s="33"/>
      <c r="CX54" s="33"/>
      <c r="CY54" s="33">
        <v>2.2200000000000002</v>
      </c>
      <c r="CZ54" s="33">
        <v>15201.37</v>
      </c>
      <c r="DA54" s="33">
        <v>1.73</v>
      </c>
      <c r="DB54" s="33">
        <v>11.34</v>
      </c>
      <c r="DC54" s="33">
        <v>15.24</v>
      </c>
      <c r="DD54" s="33">
        <v>5.05</v>
      </c>
      <c r="DE54" s="33">
        <v>3147.7289999999998</v>
      </c>
      <c r="DF54" s="33">
        <v>687.91499999999996</v>
      </c>
      <c r="DG54" s="33">
        <v>438.673</v>
      </c>
      <c r="DH54" s="33">
        <v>552.13699999999994</v>
      </c>
      <c r="DI54" s="33">
        <v>417.517</v>
      </c>
      <c r="DJ54" s="33">
        <v>99.7072</v>
      </c>
      <c r="DK54" s="33">
        <v>99.7042</v>
      </c>
      <c r="DL54" s="33">
        <v>100.26</v>
      </c>
      <c r="DM54" s="33">
        <v>100.3301</v>
      </c>
      <c r="DN54" s="33">
        <v>99.530799999999999</v>
      </c>
      <c r="DO54" s="33">
        <v>99.452100000000002</v>
      </c>
      <c r="DP54" s="33">
        <v>100.7277</v>
      </c>
      <c r="DQ54" s="33">
        <v>100.8001</v>
      </c>
      <c r="DR54" s="104">
        <v>563097</v>
      </c>
      <c r="DS54" s="104">
        <v>28244.003597751122</v>
      </c>
      <c r="DT54" s="103" t="s">
        <v>243</v>
      </c>
      <c r="DU54">
        <v>64.065284729003906</v>
      </c>
      <c r="DV54">
        <v>46.185100555419922</v>
      </c>
      <c r="DW54">
        <v>1196</v>
      </c>
      <c r="DX54">
        <v>597525</v>
      </c>
      <c r="DY54" s="102">
        <f t="shared" si="12"/>
        <v>56.2</v>
      </c>
    </row>
    <row r="55" spans="1:129" x14ac:dyDescent="0.25">
      <c r="A55" s="1">
        <v>34394</v>
      </c>
      <c r="B55" s="33">
        <v>74.599999999999994</v>
      </c>
      <c r="C55" s="88">
        <v>5.99</v>
      </c>
      <c r="D55" s="33">
        <v>5.25</v>
      </c>
      <c r="E55" s="72">
        <v>5.79</v>
      </c>
      <c r="F55" s="33">
        <v>5.75</v>
      </c>
      <c r="G55" s="33">
        <v>6.21</v>
      </c>
      <c r="H55" s="33">
        <v>6.34</v>
      </c>
      <c r="I55" s="33">
        <f t="shared" si="0"/>
        <v>0.34999999999999964</v>
      </c>
      <c r="J55" s="33">
        <f t="shared" si="9"/>
        <v>1.0899999999999999</v>
      </c>
      <c r="K55" s="33">
        <f t="shared" si="10"/>
        <v>0.54999999999999982</v>
      </c>
      <c r="L55" s="33">
        <f t="shared" si="11"/>
        <v>-0.74000000000000021</v>
      </c>
      <c r="M55" s="33">
        <v>104.3</v>
      </c>
      <c r="N55" s="33">
        <v>2067.0500000000002</v>
      </c>
      <c r="O55" s="33">
        <v>21.54</v>
      </c>
      <c r="P55" s="34"/>
      <c r="Q55" s="34" t="str">
        <f t="shared" si="4"/>
        <v/>
      </c>
      <c r="R55" s="71">
        <v>982.86877789041193</v>
      </c>
      <c r="S55" s="34">
        <f t="shared" si="5"/>
        <v>1376.5669158129019</v>
      </c>
      <c r="T55" s="71">
        <v>978.26871268500179</v>
      </c>
      <c r="U55" s="34">
        <f t="shared" si="6"/>
        <v>1370.1242474579856</v>
      </c>
      <c r="V55" s="116">
        <v>529141</v>
      </c>
      <c r="W55" s="116">
        <v>1254183</v>
      </c>
      <c r="X55" s="117">
        <v>3125371</v>
      </c>
      <c r="Y55" s="117">
        <v>497508</v>
      </c>
      <c r="Z55" s="33">
        <v>67.5</v>
      </c>
      <c r="AA55" s="33">
        <v>52.9</v>
      </c>
      <c r="AB55" s="33">
        <v>76.8</v>
      </c>
      <c r="AC55" s="33">
        <v>46.7</v>
      </c>
      <c r="AD55" s="33">
        <v>37835</v>
      </c>
      <c r="AE55" s="33">
        <v>9.6999999999999993</v>
      </c>
      <c r="AF55" s="33">
        <v>220</v>
      </c>
      <c r="AG55" s="33">
        <v>69.3</v>
      </c>
      <c r="AH55" s="33">
        <v>71.400000000000006</v>
      </c>
      <c r="AI55" s="33">
        <v>75.900000000000006</v>
      </c>
      <c r="AJ55" s="33">
        <v>78.2</v>
      </c>
      <c r="AK55" s="33">
        <v>155.76487499999999</v>
      </c>
      <c r="AL55" s="33">
        <v>52.1</v>
      </c>
      <c r="AM55" s="123"/>
      <c r="AN55" s="123">
        <v>9.0833302607977782</v>
      </c>
      <c r="AO55" s="123"/>
      <c r="AP55" s="33">
        <v>11.92</v>
      </c>
      <c r="AQ55" s="33">
        <f t="shared" si="7"/>
        <v>0.15704874835309618</v>
      </c>
      <c r="AR55" s="33">
        <v>89.3</v>
      </c>
      <c r="AS55" s="33">
        <v>100.1</v>
      </c>
      <c r="AT55" s="33">
        <v>79.7</v>
      </c>
      <c r="AU55" s="33">
        <v>88.2</v>
      </c>
      <c r="AV55" s="65">
        <v>102.3</v>
      </c>
      <c r="AW55" s="33">
        <v>76</v>
      </c>
      <c r="AX55" s="33">
        <v>-17.7</v>
      </c>
      <c r="AY55" s="33">
        <v>1.3</v>
      </c>
      <c r="AZ55" s="33">
        <v>-10.4</v>
      </c>
      <c r="BA55" s="33">
        <v>9.9</v>
      </c>
      <c r="BB55" s="33">
        <v>90.3</v>
      </c>
      <c r="BC55" s="33">
        <v>96.6</v>
      </c>
      <c r="BD55" s="33">
        <v>84.5</v>
      </c>
      <c r="BE55" s="33">
        <v>-96.1</v>
      </c>
      <c r="BF55" s="33">
        <v>61.7</v>
      </c>
      <c r="BG55" s="33">
        <v>-13.1</v>
      </c>
      <c r="BH55" s="33">
        <v>166.3</v>
      </c>
      <c r="BI55" s="33">
        <v>40.1</v>
      </c>
      <c r="BJ55" s="34" t="s">
        <v>243</v>
      </c>
      <c r="BK55" s="45">
        <v>55.190120947176155</v>
      </c>
      <c r="BL55" s="45" t="s">
        <v>243</v>
      </c>
      <c r="BM55" s="33">
        <v>99.933000000000007</v>
      </c>
      <c r="BN55" s="33">
        <v>99.943899999999999</v>
      </c>
      <c r="BO55" s="33">
        <v>-47.9</v>
      </c>
      <c r="BP55" s="33">
        <v>-50.1</v>
      </c>
      <c r="BQ55" s="33">
        <v>16.2</v>
      </c>
      <c r="BR55" s="33">
        <v>4.8</v>
      </c>
      <c r="BS55" s="33">
        <v>-3.9</v>
      </c>
      <c r="BT55" s="45" t="s">
        <v>243</v>
      </c>
      <c r="BU55" s="33">
        <v>-19.8</v>
      </c>
      <c r="BV55" s="33">
        <v>0</v>
      </c>
      <c r="BW55" s="33">
        <v>-18.899999999999999</v>
      </c>
      <c r="BX55" s="33">
        <v>-18.899999999999999</v>
      </c>
      <c r="BY55" s="33">
        <v>-22.6</v>
      </c>
      <c r="BZ55" s="33">
        <v>86.9</v>
      </c>
      <c r="CA55" s="33">
        <v>-18.899999999999999</v>
      </c>
      <c r="CB55" s="33">
        <v>-16.3</v>
      </c>
      <c r="CC55" s="33">
        <v>-9.5</v>
      </c>
      <c r="CD55" s="33">
        <v>-61.3</v>
      </c>
      <c r="CE55" s="33">
        <v>-34.299999999999997</v>
      </c>
      <c r="CF55" s="33">
        <v>42.4</v>
      </c>
      <c r="CG55" s="33">
        <v>50.4</v>
      </c>
      <c r="CH55" s="33">
        <v>48.4</v>
      </c>
      <c r="CI55" s="33">
        <v>-29</v>
      </c>
      <c r="CJ55" s="33">
        <v>-15.6</v>
      </c>
      <c r="CK55" s="33">
        <v>2.9</v>
      </c>
      <c r="CL55" s="33">
        <v>9.4</v>
      </c>
      <c r="CM55" s="33">
        <v>1387.0704350000001</v>
      </c>
      <c r="CN55" s="33">
        <v>3809.23</v>
      </c>
      <c r="CO55" s="33">
        <v>463.80782599999998</v>
      </c>
      <c r="CP55" s="33">
        <v>7.0919999999999996</v>
      </c>
      <c r="CQ55" s="33">
        <v>6.28</v>
      </c>
      <c r="CR55" s="33">
        <v>85.1</v>
      </c>
      <c r="CS55" s="65"/>
      <c r="CT55" s="33">
        <v>93.3</v>
      </c>
      <c r="CU55" s="33">
        <v>88.9</v>
      </c>
      <c r="CV55" s="33">
        <v>134.19999999999999</v>
      </c>
      <c r="CW55" s="33"/>
      <c r="CX55" s="33"/>
      <c r="CY55" s="33">
        <v>2.1800000000000002</v>
      </c>
      <c r="CZ55" s="33">
        <v>18058.227999999999</v>
      </c>
      <c r="DA55" s="33">
        <v>1.87</v>
      </c>
      <c r="DB55" s="33">
        <v>12.01</v>
      </c>
      <c r="DC55" s="33">
        <v>16.43</v>
      </c>
      <c r="DD55" s="33">
        <v>4.82</v>
      </c>
      <c r="DE55" s="33">
        <v>3710.3649999999998</v>
      </c>
      <c r="DF55" s="33">
        <v>779.12</v>
      </c>
      <c r="DG55" s="33">
        <v>488.80500000000001</v>
      </c>
      <c r="DH55" s="33">
        <v>677.24400000000003</v>
      </c>
      <c r="DI55" s="33">
        <v>484.06400000000002</v>
      </c>
      <c r="DJ55" s="33">
        <v>99.879099999999994</v>
      </c>
      <c r="DK55" s="33">
        <v>99.897499999999994</v>
      </c>
      <c r="DL55" s="33">
        <v>100.31</v>
      </c>
      <c r="DM55" s="33">
        <v>100.3927</v>
      </c>
      <c r="DN55" s="33">
        <v>99.943899999999999</v>
      </c>
      <c r="DO55" s="33">
        <v>99.933000000000007</v>
      </c>
      <c r="DP55" s="33">
        <v>100.86320000000001</v>
      </c>
      <c r="DQ55" s="33">
        <v>100.9492</v>
      </c>
      <c r="DR55" s="104">
        <v>505366</v>
      </c>
      <c r="DS55" s="104">
        <v>28214.763170358376</v>
      </c>
      <c r="DT55" s="103" t="s">
        <v>243</v>
      </c>
      <c r="DU55">
        <v>107.48511505126953</v>
      </c>
      <c r="DV55">
        <v>104.71058654785156</v>
      </c>
      <c r="DW55">
        <v>1115</v>
      </c>
      <c r="DX55">
        <v>554500</v>
      </c>
      <c r="DY55" s="102">
        <f t="shared" si="12"/>
        <v>57</v>
      </c>
    </row>
    <row r="56" spans="1:129" x14ac:dyDescent="0.25">
      <c r="A56" s="1">
        <v>34425</v>
      </c>
      <c r="B56" s="33">
        <v>75.2</v>
      </c>
      <c r="C56" s="88">
        <v>5.66</v>
      </c>
      <c r="D56" s="33">
        <v>5</v>
      </c>
      <c r="E56" s="72">
        <v>5.54</v>
      </c>
      <c r="F56" s="33">
        <v>5.79</v>
      </c>
      <c r="G56" s="33">
        <v>6.36</v>
      </c>
      <c r="H56" s="33">
        <v>6.48</v>
      </c>
      <c r="I56" s="33">
        <f t="shared" si="0"/>
        <v>0.82000000000000028</v>
      </c>
      <c r="J56" s="33">
        <f>H56-D56</f>
        <v>1.4800000000000004</v>
      </c>
      <c r="K56" s="33">
        <f>H56-E56</f>
        <v>0.94000000000000039</v>
      </c>
      <c r="L56" s="33">
        <f>D56-C56</f>
        <v>-0.66000000000000014</v>
      </c>
      <c r="M56" s="33">
        <v>103.9</v>
      </c>
      <c r="N56" s="33">
        <v>2133.11</v>
      </c>
      <c r="O56" s="33">
        <v>20.2</v>
      </c>
      <c r="P56" s="34"/>
      <c r="Q56" s="34" t="str">
        <f t="shared" si="4"/>
        <v/>
      </c>
      <c r="R56" s="71">
        <v>988.87583386704148</v>
      </c>
      <c r="S56" s="34">
        <f t="shared" si="5"/>
        <v>1383.0431242895684</v>
      </c>
      <c r="T56" s="71">
        <v>987.79421134795223</v>
      </c>
      <c r="U56" s="34">
        <f t="shared" si="6"/>
        <v>1381.5303655216114</v>
      </c>
      <c r="V56" s="116">
        <v>524729</v>
      </c>
      <c r="W56" s="116">
        <v>1257216</v>
      </c>
      <c r="X56" s="117">
        <v>3133464</v>
      </c>
      <c r="Y56" s="117">
        <v>499561</v>
      </c>
      <c r="Z56" s="33">
        <v>68.2</v>
      </c>
      <c r="AA56" s="33">
        <v>52.6</v>
      </c>
      <c r="AB56" s="33">
        <v>77.2</v>
      </c>
      <c r="AC56" s="33">
        <v>46.1</v>
      </c>
      <c r="AD56" s="33">
        <v>37797</v>
      </c>
      <c r="AE56" s="33">
        <v>9.8000000000000007</v>
      </c>
      <c r="AF56" s="33">
        <v>217</v>
      </c>
      <c r="AG56" s="33">
        <v>69.5</v>
      </c>
      <c r="AH56" s="33">
        <v>71.5</v>
      </c>
      <c r="AI56" s="33">
        <v>76</v>
      </c>
      <c r="AJ56" s="33">
        <v>78.099999999999994</v>
      </c>
      <c r="AK56" s="33">
        <v>155.76487499999999</v>
      </c>
      <c r="AL56" s="33">
        <v>52.3</v>
      </c>
      <c r="AM56" s="123"/>
      <c r="AN56" s="123">
        <v>10.054306943848577</v>
      </c>
      <c r="AO56" s="123"/>
      <c r="AP56" s="33">
        <v>13.03</v>
      </c>
      <c r="AQ56" s="33">
        <f t="shared" si="7"/>
        <v>0.17144736842105263</v>
      </c>
      <c r="AR56" s="33">
        <v>91.4</v>
      </c>
      <c r="AS56" s="33">
        <v>102</v>
      </c>
      <c r="AT56" s="33">
        <v>81.900000000000006</v>
      </c>
      <c r="AU56" s="33">
        <v>91.2</v>
      </c>
      <c r="AV56" s="65">
        <v>105.6</v>
      </c>
      <c r="AW56" s="33">
        <v>78.8</v>
      </c>
      <c r="AX56" s="33">
        <v>-7.3</v>
      </c>
      <c r="AY56" s="33">
        <v>8.8000000000000007</v>
      </c>
      <c r="AZ56" s="33">
        <v>-2.1</v>
      </c>
      <c r="BA56" s="33">
        <v>11.4</v>
      </c>
      <c r="BB56" s="33">
        <v>91.5</v>
      </c>
      <c r="BC56" s="33">
        <v>97.6</v>
      </c>
      <c r="BD56" s="33">
        <v>85.7</v>
      </c>
      <c r="BE56" s="33">
        <v>-91.1</v>
      </c>
      <c r="BF56" s="33">
        <v>78.5</v>
      </c>
      <c r="BG56" s="33">
        <v>-3</v>
      </c>
      <c r="BH56" s="33">
        <v>161.69999999999999</v>
      </c>
      <c r="BI56" s="33">
        <v>12.1</v>
      </c>
      <c r="BJ56" s="34" t="s">
        <v>243</v>
      </c>
      <c r="BK56" s="45">
        <v>61.425740209562825</v>
      </c>
      <c r="BL56" s="45" t="s">
        <v>243</v>
      </c>
      <c r="BM56" s="33">
        <v>100.4114</v>
      </c>
      <c r="BN56" s="33">
        <v>100.3549</v>
      </c>
      <c r="BO56" s="33">
        <v>-45.2</v>
      </c>
      <c r="BP56" s="33">
        <v>-48.6</v>
      </c>
      <c r="BQ56" s="33">
        <v>13.2</v>
      </c>
      <c r="BR56" s="33">
        <v>8.6999999999999993</v>
      </c>
      <c r="BS56" s="33">
        <v>0.7</v>
      </c>
      <c r="BT56" s="45" t="s">
        <v>243</v>
      </c>
      <c r="BU56" s="33">
        <v>-16.5</v>
      </c>
      <c r="BV56" s="33">
        <v>0</v>
      </c>
      <c r="BW56" s="33">
        <v>-15.9</v>
      </c>
      <c r="BX56" s="33">
        <v>-23.2</v>
      </c>
      <c r="BY56" s="33">
        <v>-22.7</v>
      </c>
      <c r="BZ56" s="33">
        <v>90.2</v>
      </c>
      <c r="CA56" s="33">
        <v>-15.9</v>
      </c>
      <c r="CB56" s="33">
        <v>-15.1</v>
      </c>
      <c r="CC56" s="33">
        <v>-6.8</v>
      </c>
      <c r="CD56" s="33">
        <v>-55.2</v>
      </c>
      <c r="CE56" s="33">
        <v>-28.7</v>
      </c>
      <c r="CF56" s="33">
        <v>36.5</v>
      </c>
      <c r="CG56" s="33">
        <v>46.9</v>
      </c>
      <c r="CH56" s="33">
        <v>44.4</v>
      </c>
      <c r="CI56" s="33">
        <v>-25.7</v>
      </c>
      <c r="CJ56" s="33">
        <v>-12.9</v>
      </c>
      <c r="CK56" s="33">
        <v>4.7</v>
      </c>
      <c r="CL56" s="33">
        <v>10.8</v>
      </c>
      <c r="CM56" s="33">
        <v>1409.0142860000001</v>
      </c>
      <c r="CN56" s="33">
        <v>3635.96</v>
      </c>
      <c r="CO56" s="33">
        <v>447.382857</v>
      </c>
      <c r="CP56" s="33">
        <v>7.5069999999999997</v>
      </c>
      <c r="CQ56" s="33">
        <v>6.77</v>
      </c>
      <c r="CR56" s="33">
        <v>82.6</v>
      </c>
      <c r="CS56" s="65"/>
      <c r="CT56" s="33">
        <v>100</v>
      </c>
      <c r="CU56" s="33">
        <v>93.3</v>
      </c>
      <c r="CV56" s="33">
        <v>140.9</v>
      </c>
      <c r="CW56" s="33"/>
      <c r="CX56" s="33"/>
      <c r="CY56" s="33">
        <v>2.21</v>
      </c>
      <c r="CZ56" s="33">
        <v>16111.512000000001</v>
      </c>
      <c r="DA56" s="33">
        <v>1.88</v>
      </c>
      <c r="DB56" s="33">
        <v>12.11</v>
      </c>
      <c r="DC56" s="33">
        <v>15.81</v>
      </c>
      <c r="DD56" s="33">
        <v>5.2</v>
      </c>
      <c r="DE56" s="33">
        <v>3615.2049999999999</v>
      </c>
      <c r="DF56" s="33">
        <v>715.21900000000005</v>
      </c>
      <c r="DG56" s="33">
        <v>414.89800000000002</v>
      </c>
      <c r="DH56" s="33">
        <v>728.38599999999997</v>
      </c>
      <c r="DI56" s="33">
        <v>504.07799999999997</v>
      </c>
      <c r="DJ56" s="33">
        <v>100.0556</v>
      </c>
      <c r="DK56" s="33">
        <v>100.0947</v>
      </c>
      <c r="DL56" s="33">
        <v>100.34</v>
      </c>
      <c r="DM56" s="33">
        <v>100.43859999999999</v>
      </c>
      <c r="DN56" s="33">
        <v>100.3549</v>
      </c>
      <c r="DO56" s="33">
        <v>100.4114</v>
      </c>
      <c r="DP56" s="33">
        <v>100.94880000000001</v>
      </c>
      <c r="DQ56" s="33">
        <v>101.04340000000001</v>
      </c>
      <c r="DR56" s="104">
        <v>426498</v>
      </c>
      <c r="DS56" s="104">
        <v>28189.271515708282</v>
      </c>
      <c r="DT56" s="103" t="s">
        <v>243</v>
      </c>
      <c r="DU56">
        <v>81.088104248046875</v>
      </c>
      <c r="DV56">
        <v>74.111930847167969</v>
      </c>
      <c r="DW56">
        <v>1206</v>
      </c>
      <c r="DX56">
        <v>504350</v>
      </c>
      <c r="DY56" s="102">
        <f t="shared" si="12"/>
        <v>57.099999999999994</v>
      </c>
    </row>
    <row r="57" spans="1:129" x14ac:dyDescent="0.25">
      <c r="A57" s="1">
        <v>34455</v>
      </c>
      <c r="B57" s="33">
        <v>75.2</v>
      </c>
      <c r="C57" s="88">
        <v>5.36</v>
      </c>
      <c r="D57" s="33">
        <v>4.5</v>
      </c>
      <c r="E57" s="72">
        <v>5.15</v>
      </c>
      <c r="F57" s="33">
        <v>5.88</v>
      </c>
      <c r="G57" s="33">
        <v>6.56</v>
      </c>
      <c r="H57" s="33">
        <v>6.66</v>
      </c>
      <c r="I57" s="33">
        <f t="shared" si="0"/>
        <v>1.2999999999999998</v>
      </c>
      <c r="J57" s="33">
        <f t="shared" ref="J57:J69" si="13">H57-D57</f>
        <v>2.16</v>
      </c>
      <c r="K57" s="33">
        <f t="shared" ref="K57:K69" si="14">H57-E57</f>
        <v>1.5099999999999998</v>
      </c>
      <c r="L57" s="33">
        <f t="shared" ref="L57:L69" si="15">D57-C57</f>
        <v>-0.86000000000000032</v>
      </c>
      <c r="M57" s="33">
        <v>104.5</v>
      </c>
      <c r="N57" s="33">
        <v>2268.65</v>
      </c>
      <c r="O57" s="33">
        <v>16.23</v>
      </c>
      <c r="P57" s="34"/>
      <c r="Q57" s="34" t="str">
        <f t="shared" si="4"/>
        <v/>
      </c>
      <c r="R57" s="71">
        <v>982.1059771314749</v>
      </c>
      <c r="S57" s="34">
        <f t="shared" si="5"/>
        <v>1371.6563926417248</v>
      </c>
      <c r="T57" s="71">
        <v>990.46135097357831</v>
      </c>
      <c r="U57" s="34">
        <f t="shared" si="6"/>
        <v>1383.3259091809755</v>
      </c>
      <c r="V57" s="116">
        <v>521623</v>
      </c>
      <c r="W57" s="116">
        <v>1251928</v>
      </c>
      <c r="X57" s="117">
        <v>3135071</v>
      </c>
      <c r="Y57" s="117">
        <v>497375</v>
      </c>
      <c r="Z57" s="33">
        <v>68.400000000000006</v>
      </c>
      <c r="AA57" s="33">
        <v>52</v>
      </c>
      <c r="AB57" s="33">
        <v>75.5</v>
      </c>
      <c r="AC57" s="33">
        <v>44.9</v>
      </c>
      <c r="AD57" s="33">
        <v>37823</v>
      </c>
      <c r="AE57" s="33">
        <v>9.8000000000000007</v>
      </c>
      <c r="AF57" s="33">
        <v>215</v>
      </c>
      <c r="AG57" s="33">
        <v>69.5</v>
      </c>
      <c r="AH57" s="33">
        <v>71.599999999999994</v>
      </c>
      <c r="AI57" s="33">
        <v>76.2</v>
      </c>
      <c r="AJ57" s="33">
        <v>78.099999999999994</v>
      </c>
      <c r="AK57" s="33">
        <v>155.942892</v>
      </c>
      <c r="AL57" s="33">
        <v>52.5</v>
      </c>
      <c r="AM57" s="123"/>
      <c r="AN57" s="123">
        <v>10.659988085044274</v>
      </c>
      <c r="AO57" s="123"/>
      <c r="AP57" s="33">
        <v>13.87</v>
      </c>
      <c r="AQ57" s="33">
        <f t="shared" si="7"/>
        <v>0.18202099737532806</v>
      </c>
      <c r="AR57" s="33">
        <v>91.6</v>
      </c>
      <c r="AS57" s="33">
        <v>101.9</v>
      </c>
      <c r="AT57" s="33">
        <v>82.3</v>
      </c>
      <c r="AU57" s="33">
        <v>90.9</v>
      </c>
      <c r="AV57" s="65">
        <v>104.9</v>
      </c>
      <c r="AW57" s="33">
        <v>78.8</v>
      </c>
      <c r="AX57" s="33">
        <v>-7.8</v>
      </c>
      <c r="AY57" s="33">
        <v>10.1</v>
      </c>
      <c r="AZ57" s="33">
        <v>-2.4</v>
      </c>
      <c r="BA57" s="33">
        <v>11.9</v>
      </c>
      <c r="BB57" s="33">
        <v>92.3</v>
      </c>
      <c r="BC57" s="33">
        <v>97.4</v>
      </c>
      <c r="BD57" s="33">
        <v>87.4</v>
      </c>
      <c r="BE57" s="33">
        <v>-81.2</v>
      </c>
      <c r="BF57" s="33">
        <v>86.4</v>
      </c>
      <c r="BG57" s="33">
        <v>16</v>
      </c>
      <c r="BH57" s="33">
        <v>162.9</v>
      </c>
      <c r="BI57" s="33">
        <v>3.8</v>
      </c>
      <c r="BJ57" s="34" t="s">
        <v>243</v>
      </c>
      <c r="BK57" s="45">
        <v>55.05395717692803</v>
      </c>
      <c r="BL57" s="45" t="s">
        <v>243</v>
      </c>
      <c r="BM57" s="33">
        <v>100.8552</v>
      </c>
      <c r="BN57" s="33">
        <v>100.7362</v>
      </c>
      <c r="BO57" s="33">
        <v>-40.9</v>
      </c>
      <c r="BP57" s="33">
        <v>-46.7</v>
      </c>
      <c r="BQ57" s="33">
        <v>14.2</v>
      </c>
      <c r="BR57" s="33">
        <v>10</v>
      </c>
      <c r="BS57" s="33">
        <v>4.2</v>
      </c>
      <c r="BT57" s="45" t="s">
        <v>243</v>
      </c>
      <c r="BU57" s="33">
        <v>-15</v>
      </c>
      <c r="BV57" s="33">
        <v>0</v>
      </c>
      <c r="BW57" s="33">
        <v>-12.7</v>
      </c>
      <c r="BX57" s="33">
        <v>-21.7</v>
      </c>
      <c r="BY57" s="33">
        <v>-21.1</v>
      </c>
      <c r="BZ57" s="33">
        <v>92.3</v>
      </c>
      <c r="CA57" s="33">
        <v>-12.7</v>
      </c>
      <c r="CB57" s="33">
        <v>-12.1</v>
      </c>
      <c r="CC57" s="33">
        <v>-3.7</v>
      </c>
      <c r="CD57" s="33">
        <v>-46.5</v>
      </c>
      <c r="CE57" s="33">
        <v>-23.2</v>
      </c>
      <c r="CF57" s="33">
        <v>37.1</v>
      </c>
      <c r="CG57" s="33">
        <v>47.8</v>
      </c>
      <c r="CH57" s="33">
        <v>39.700000000000003</v>
      </c>
      <c r="CI57" s="33">
        <v>-22.6</v>
      </c>
      <c r="CJ57" s="33">
        <v>-11.6</v>
      </c>
      <c r="CK57" s="33">
        <v>6.1</v>
      </c>
      <c r="CL57" s="33">
        <v>10</v>
      </c>
      <c r="CM57" s="33">
        <v>1413.6963639999999</v>
      </c>
      <c r="CN57" s="33">
        <v>3701.02</v>
      </c>
      <c r="CO57" s="33">
        <v>451.19045499999999</v>
      </c>
      <c r="CP57" s="33">
        <v>7.8490000000000002</v>
      </c>
      <c r="CQ57" s="33">
        <v>7.09</v>
      </c>
      <c r="CR57" s="33">
        <v>84.2</v>
      </c>
      <c r="CS57" s="65"/>
      <c r="CT57" s="33">
        <v>101.3</v>
      </c>
      <c r="CU57" s="33">
        <v>94.9</v>
      </c>
      <c r="CV57" s="33">
        <v>140.1</v>
      </c>
      <c r="CW57" s="33"/>
      <c r="CX57" s="33"/>
      <c r="CY57" s="33">
        <v>2.34</v>
      </c>
      <c r="CZ57" s="33">
        <v>16731.317999999999</v>
      </c>
      <c r="DA57" s="33">
        <v>1.87</v>
      </c>
      <c r="DB57" s="33">
        <v>12.37</v>
      </c>
      <c r="DC57" s="33">
        <v>16.61</v>
      </c>
      <c r="DD57" s="33">
        <v>5.03</v>
      </c>
      <c r="DE57" s="33">
        <v>4052.1990000000001</v>
      </c>
      <c r="DF57" s="33">
        <v>871.86</v>
      </c>
      <c r="DG57" s="33">
        <v>478.27800000000002</v>
      </c>
      <c r="DH57" s="33">
        <v>675.971</v>
      </c>
      <c r="DI57" s="33">
        <v>461.20400000000001</v>
      </c>
      <c r="DJ57" s="33">
        <v>100.2525</v>
      </c>
      <c r="DK57" s="33">
        <v>100.32550000000001</v>
      </c>
      <c r="DL57" s="33">
        <v>100.35</v>
      </c>
      <c r="DM57" s="33">
        <v>100.44840000000001</v>
      </c>
      <c r="DN57" s="33">
        <v>100.7362</v>
      </c>
      <c r="DO57" s="33">
        <v>100.8552</v>
      </c>
      <c r="DP57" s="33">
        <v>100.98690000000001</v>
      </c>
      <c r="DQ57" s="33">
        <v>101.0853</v>
      </c>
      <c r="DR57" s="104">
        <v>401477</v>
      </c>
      <c r="DS57" s="104">
        <v>28199.018324839202</v>
      </c>
      <c r="DT57" s="103" t="s">
        <v>243</v>
      </c>
      <c r="DU57">
        <v>72.145378112792969</v>
      </c>
      <c r="DV57">
        <v>59.126010894775391</v>
      </c>
      <c r="DW57">
        <v>1414</v>
      </c>
      <c r="DX57">
        <v>473450</v>
      </c>
      <c r="DY57" s="102">
        <f t="shared" si="12"/>
        <v>57.7</v>
      </c>
    </row>
    <row r="58" spans="1:129" x14ac:dyDescent="0.25">
      <c r="A58" s="1">
        <v>34486</v>
      </c>
      <c r="B58" s="33">
        <v>75.400000000000006</v>
      </c>
      <c r="C58" s="88">
        <v>5.14</v>
      </c>
      <c r="D58" s="33">
        <v>4.5</v>
      </c>
      <c r="E58" s="72">
        <v>5.01</v>
      </c>
      <c r="F58" s="33">
        <v>6.36</v>
      </c>
      <c r="G58" s="33">
        <v>7</v>
      </c>
      <c r="H58" s="33">
        <v>7.05</v>
      </c>
      <c r="I58" s="33">
        <f t="shared" si="0"/>
        <v>1.9100000000000001</v>
      </c>
      <c r="J58" s="33">
        <f t="shared" si="13"/>
        <v>2.5499999999999998</v>
      </c>
      <c r="K58" s="33">
        <f t="shared" si="14"/>
        <v>2.04</v>
      </c>
      <c r="L58" s="33">
        <f t="shared" si="15"/>
        <v>-0.63999999999999968</v>
      </c>
      <c r="M58" s="33">
        <v>105.1</v>
      </c>
      <c r="N58" s="33">
        <v>2129.6999999999998</v>
      </c>
      <c r="O58" s="33">
        <v>17.41</v>
      </c>
      <c r="P58" s="34"/>
      <c r="Q58" s="34" t="str">
        <f t="shared" si="4"/>
        <v/>
      </c>
      <c r="R58" s="71">
        <v>986.58743159023027</v>
      </c>
      <c r="S58" s="34">
        <f t="shared" si="5"/>
        <v>1372.1661079140893</v>
      </c>
      <c r="T58" s="71">
        <v>991.79492078639146</v>
      </c>
      <c r="U58" s="34">
        <f t="shared" si="6"/>
        <v>1379.4087910798212</v>
      </c>
      <c r="V58" s="116">
        <v>522152</v>
      </c>
      <c r="W58" s="116">
        <v>1260722</v>
      </c>
      <c r="X58" s="117">
        <v>3145542</v>
      </c>
      <c r="Y58" s="117">
        <v>496833</v>
      </c>
      <c r="Z58" s="33">
        <v>68.599999999999994</v>
      </c>
      <c r="AA58" s="33">
        <v>53.4</v>
      </c>
      <c r="AB58" s="33">
        <v>74.099999999999994</v>
      </c>
      <c r="AC58" s="33">
        <v>47</v>
      </c>
      <c r="AD58" s="33">
        <v>37840</v>
      </c>
      <c r="AE58" s="33">
        <v>9.6999999999999993</v>
      </c>
      <c r="AF58" s="33">
        <v>216</v>
      </c>
      <c r="AG58" s="33">
        <v>69.7</v>
      </c>
      <c r="AH58" s="33">
        <v>71.900000000000006</v>
      </c>
      <c r="AI58" s="33">
        <v>76.7</v>
      </c>
      <c r="AJ58" s="33">
        <v>78.099999999999994</v>
      </c>
      <c r="AK58" s="33">
        <v>155.942892</v>
      </c>
      <c r="AL58" s="33">
        <v>52.7</v>
      </c>
      <c r="AM58" s="123"/>
      <c r="AN58" s="123">
        <v>10.954462894023397</v>
      </c>
      <c r="AO58" s="123"/>
      <c r="AP58" s="33">
        <v>14.24</v>
      </c>
      <c r="AQ58" s="33">
        <f t="shared" si="7"/>
        <v>0.18565840938722294</v>
      </c>
      <c r="AR58" s="33">
        <v>92.5</v>
      </c>
      <c r="AS58" s="33">
        <v>102.9</v>
      </c>
      <c r="AT58" s="33">
        <v>83.1</v>
      </c>
      <c r="AU58" s="33">
        <v>92.4</v>
      </c>
      <c r="AV58" s="65">
        <v>105.6</v>
      </c>
      <c r="AW58" s="33">
        <v>81</v>
      </c>
      <c r="AX58" s="33">
        <v>-3.7</v>
      </c>
      <c r="AY58" s="33">
        <v>11.7</v>
      </c>
      <c r="AZ58" s="33">
        <v>0.5</v>
      </c>
      <c r="BA58" s="33">
        <v>13.5</v>
      </c>
      <c r="BB58" s="33">
        <v>93.4</v>
      </c>
      <c r="BC58" s="33">
        <v>99.5</v>
      </c>
      <c r="BD58" s="33">
        <v>87.7</v>
      </c>
      <c r="BE58" s="33">
        <v>-67.900000000000006</v>
      </c>
      <c r="BF58" s="33">
        <v>83.4</v>
      </c>
      <c r="BG58" s="33">
        <v>37</v>
      </c>
      <c r="BH58" s="33">
        <v>159.80000000000001</v>
      </c>
      <c r="BI58" s="33">
        <v>0.9</v>
      </c>
      <c r="BJ58" s="34" t="s">
        <v>243</v>
      </c>
      <c r="BK58" s="45">
        <v>46.03992575327598</v>
      </c>
      <c r="BL58" s="45" t="s">
        <v>243</v>
      </c>
      <c r="BM58" s="33">
        <v>101.2487</v>
      </c>
      <c r="BN58" s="33">
        <v>101.0742</v>
      </c>
      <c r="BO58" s="33">
        <v>-37</v>
      </c>
      <c r="BP58" s="33">
        <v>-45</v>
      </c>
      <c r="BQ58" s="33">
        <v>12.2</v>
      </c>
      <c r="BR58" s="33">
        <v>10.1</v>
      </c>
      <c r="BS58" s="33">
        <v>4.7</v>
      </c>
      <c r="BT58" s="45" t="s">
        <v>243</v>
      </c>
      <c r="BU58" s="33">
        <v>-13</v>
      </c>
      <c r="BV58" s="33">
        <v>0</v>
      </c>
      <c r="BW58" s="33">
        <v>-9.5</v>
      </c>
      <c r="BX58" s="33">
        <v>-20.7</v>
      </c>
      <c r="BY58" s="33">
        <v>-23.4</v>
      </c>
      <c r="BZ58" s="33">
        <v>94.8</v>
      </c>
      <c r="CA58" s="33">
        <v>-9.5</v>
      </c>
      <c r="CB58" s="33">
        <v>-7.9</v>
      </c>
      <c r="CC58" s="33">
        <v>0</v>
      </c>
      <c r="CD58" s="33">
        <v>-32.4</v>
      </c>
      <c r="CE58" s="33">
        <v>-17.3</v>
      </c>
      <c r="CF58" s="33">
        <v>31.4</v>
      </c>
      <c r="CG58" s="33">
        <v>44.5</v>
      </c>
      <c r="CH58" s="33">
        <v>35.6</v>
      </c>
      <c r="CI58" s="33">
        <v>-22.3</v>
      </c>
      <c r="CJ58" s="33">
        <v>-12.8</v>
      </c>
      <c r="CK58" s="33">
        <v>5.4</v>
      </c>
      <c r="CL58" s="33">
        <v>10.5</v>
      </c>
      <c r="CM58" s="33">
        <v>1324.987273</v>
      </c>
      <c r="CN58" s="33">
        <v>3760.83</v>
      </c>
      <c r="CO58" s="33">
        <v>454.82590900000002</v>
      </c>
      <c r="CP58" s="33">
        <v>8.8190000000000008</v>
      </c>
      <c r="CQ58" s="33">
        <v>7.12</v>
      </c>
      <c r="CR58" s="33">
        <v>82.7</v>
      </c>
      <c r="CS58" s="65"/>
      <c r="CT58" s="33">
        <v>102.1</v>
      </c>
      <c r="CU58" s="33">
        <v>96.1</v>
      </c>
      <c r="CV58" s="33">
        <v>142.30000000000001</v>
      </c>
      <c r="CW58" s="33"/>
      <c r="CX58" s="33"/>
      <c r="CY58" s="33">
        <v>2.38</v>
      </c>
      <c r="CZ58" s="33">
        <v>17672.024000000001</v>
      </c>
      <c r="DA58" s="33">
        <v>1.9</v>
      </c>
      <c r="DB58" s="33">
        <v>11.94</v>
      </c>
      <c r="DC58" s="33">
        <v>16.52</v>
      </c>
      <c r="DD58" s="33">
        <v>5.31</v>
      </c>
      <c r="DE58" s="33">
        <v>3890.547</v>
      </c>
      <c r="DF58" s="33">
        <v>656.79899999999998</v>
      </c>
      <c r="DG58" s="33">
        <v>532.71600000000001</v>
      </c>
      <c r="DH58" s="33">
        <v>981.18399999999997</v>
      </c>
      <c r="DI58" s="33">
        <v>392.98</v>
      </c>
      <c r="DJ58" s="33">
        <v>100.4248</v>
      </c>
      <c r="DK58" s="33">
        <v>100.52760000000001</v>
      </c>
      <c r="DL58" s="33">
        <v>100.33</v>
      </c>
      <c r="DM58" s="33">
        <v>100.423</v>
      </c>
      <c r="DN58" s="33">
        <v>101.0742</v>
      </c>
      <c r="DO58" s="33">
        <v>101.2487</v>
      </c>
      <c r="DP58" s="33">
        <v>100.98309999999999</v>
      </c>
      <c r="DQ58" s="33">
        <v>101.081</v>
      </c>
      <c r="DR58" s="104">
        <v>344661</v>
      </c>
      <c r="DS58" s="104">
        <v>28213.26366126131</v>
      </c>
      <c r="DT58" s="103" t="s">
        <v>243</v>
      </c>
      <c r="DU58">
        <v>103.82048797607422</v>
      </c>
      <c r="DV58">
        <v>81.186195373535156</v>
      </c>
      <c r="DW58">
        <v>1437</v>
      </c>
      <c r="DX58">
        <v>387000</v>
      </c>
      <c r="DY58" s="102">
        <f t="shared" si="12"/>
        <v>57.7</v>
      </c>
    </row>
    <row r="59" spans="1:129" x14ac:dyDescent="0.25">
      <c r="A59" s="1">
        <v>34516</v>
      </c>
      <c r="B59" s="33">
        <v>74.900000000000006</v>
      </c>
      <c r="C59" s="88">
        <v>5.04</v>
      </c>
      <c r="D59" s="33">
        <v>4.5</v>
      </c>
      <c r="E59" s="72">
        <v>4.92</v>
      </c>
      <c r="F59" s="33">
        <v>6.2</v>
      </c>
      <c r="G59" s="33">
        <v>6.86</v>
      </c>
      <c r="H59" s="33">
        <v>6.9</v>
      </c>
      <c r="I59" s="33">
        <f t="shared" si="0"/>
        <v>1.8600000000000003</v>
      </c>
      <c r="J59" s="33">
        <f t="shared" si="13"/>
        <v>2.4000000000000004</v>
      </c>
      <c r="K59" s="33">
        <f t="shared" si="14"/>
        <v>1.9800000000000004</v>
      </c>
      <c r="L59" s="33">
        <f t="shared" si="15"/>
        <v>-0.54</v>
      </c>
      <c r="M59" s="33">
        <v>106.1</v>
      </c>
      <c r="N59" s="33">
        <v>2036.52</v>
      </c>
      <c r="O59" s="33">
        <v>20.61</v>
      </c>
      <c r="P59" s="34"/>
      <c r="Q59" s="34" t="str">
        <f t="shared" si="4"/>
        <v/>
      </c>
      <c r="R59" s="71">
        <v>978.29197333678962</v>
      </c>
      <c r="S59" s="34">
        <f t="shared" si="5"/>
        <v>1356.8543319511646</v>
      </c>
      <c r="T59" s="71">
        <v>993.60476553235208</v>
      </c>
      <c r="U59" s="34">
        <f t="shared" si="6"/>
        <v>1378.0926012931377</v>
      </c>
      <c r="V59" s="116">
        <v>525130</v>
      </c>
      <c r="W59" s="116">
        <v>1262275</v>
      </c>
      <c r="X59" s="117">
        <v>3155590</v>
      </c>
      <c r="Y59" s="117">
        <v>500962</v>
      </c>
      <c r="Z59" s="33">
        <v>68</v>
      </c>
      <c r="AA59" s="33">
        <v>53.1</v>
      </c>
      <c r="AB59" s="33">
        <v>75.8</v>
      </c>
      <c r="AC59" s="33">
        <v>46.8</v>
      </c>
      <c r="AD59" s="33">
        <v>37835</v>
      </c>
      <c r="AE59" s="33">
        <v>9.6999999999999993</v>
      </c>
      <c r="AF59" s="33">
        <v>221</v>
      </c>
      <c r="AG59" s="33">
        <v>69.8</v>
      </c>
      <c r="AH59" s="33">
        <v>72.099999999999994</v>
      </c>
      <c r="AI59" s="33">
        <v>76.5</v>
      </c>
      <c r="AJ59" s="33">
        <v>78.2</v>
      </c>
      <c r="AK59" s="33">
        <v>155.942892</v>
      </c>
      <c r="AL59" s="33">
        <v>71.3</v>
      </c>
      <c r="AM59" s="123"/>
      <c r="AN59" s="123">
        <v>11.129268152970578</v>
      </c>
      <c r="AO59" s="123"/>
      <c r="AP59" s="33">
        <v>14.61</v>
      </c>
      <c r="AQ59" s="33">
        <f t="shared" si="7"/>
        <v>0.19098039215686274</v>
      </c>
      <c r="AR59" s="33">
        <v>92.1</v>
      </c>
      <c r="AS59" s="33">
        <v>102.2</v>
      </c>
      <c r="AT59" s="33">
        <v>83.1</v>
      </c>
      <c r="AU59" s="33">
        <v>93.1</v>
      </c>
      <c r="AV59" s="65">
        <v>105.2</v>
      </c>
      <c r="AW59" s="33">
        <v>82.3</v>
      </c>
      <c r="AX59" s="33">
        <v>3</v>
      </c>
      <c r="AY59" s="33">
        <v>9.4</v>
      </c>
      <c r="AZ59" s="33">
        <v>2.7</v>
      </c>
      <c r="BA59" s="33">
        <v>13.5</v>
      </c>
      <c r="BB59" s="33">
        <v>92.6</v>
      </c>
      <c r="BC59" s="33">
        <v>98.1</v>
      </c>
      <c r="BD59" s="33">
        <v>87.3</v>
      </c>
      <c r="BE59" s="33">
        <v>-49.1</v>
      </c>
      <c r="BF59" s="33">
        <v>80.599999999999994</v>
      </c>
      <c r="BG59" s="33">
        <v>33.9</v>
      </c>
      <c r="BH59" s="33">
        <v>158.5</v>
      </c>
      <c r="BI59" s="33">
        <v>1.3</v>
      </c>
      <c r="BJ59" s="34" t="s">
        <v>243</v>
      </c>
      <c r="BK59" s="45">
        <v>30.363168609659986</v>
      </c>
      <c r="BL59" s="45" t="s">
        <v>243</v>
      </c>
      <c r="BM59" s="33">
        <v>101.5844</v>
      </c>
      <c r="BN59" s="33">
        <v>101.3626</v>
      </c>
      <c r="BO59" s="33">
        <v>-35.700000000000003</v>
      </c>
      <c r="BP59" s="33">
        <v>-43.2</v>
      </c>
      <c r="BQ59" s="33">
        <v>9.6999999999999993</v>
      </c>
      <c r="BR59" s="33">
        <v>9.3000000000000007</v>
      </c>
      <c r="BS59" s="33">
        <v>5.9</v>
      </c>
      <c r="BT59" s="45" t="s">
        <v>243</v>
      </c>
      <c r="BU59" s="33">
        <v>-12</v>
      </c>
      <c r="BV59" s="33">
        <v>0</v>
      </c>
      <c r="BW59" s="33">
        <v>-8.6</v>
      </c>
      <c r="BX59" s="33">
        <v>-28.9</v>
      </c>
      <c r="BY59" s="33">
        <v>-22.8</v>
      </c>
      <c r="BZ59" s="33">
        <v>95.6</v>
      </c>
      <c r="CA59" s="33">
        <v>-8.6</v>
      </c>
      <c r="CB59" s="33">
        <v>-6.5</v>
      </c>
      <c r="CC59" s="33">
        <v>-0.6</v>
      </c>
      <c r="CD59" s="33">
        <v>-28.3</v>
      </c>
      <c r="CE59" s="33">
        <v>-16.3</v>
      </c>
      <c r="CF59" s="33">
        <v>29.3</v>
      </c>
      <c r="CG59" s="33">
        <v>45</v>
      </c>
      <c r="CH59" s="33">
        <v>32.5</v>
      </c>
      <c r="CI59" s="33">
        <v>-23.5</v>
      </c>
      <c r="CJ59" s="33">
        <v>-11</v>
      </c>
      <c r="CK59" s="33">
        <v>5.7</v>
      </c>
      <c r="CL59" s="33">
        <v>11.1</v>
      </c>
      <c r="CM59" s="33">
        <v>1328.1028570000001</v>
      </c>
      <c r="CN59" s="33">
        <v>3646.65</v>
      </c>
      <c r="CO59" s="33">
        <v>451.15285699999998</v>
      </c>
      <c r="CP59" s="33">
        <v>8.6259999999999994</v>
      </c>
      <c r="CQ59" s="33">
        <v>7.34</v>
      </c>
      <c r="CR59" s="33">
        <v>78.5</v>
      </c>
      <c r="CS59" s="65"/>
      <c r="CT59" s="33">
        <v>102.4</v>
      </c>
      <c r="CU59" s="33">
        <v>99.5</v>
      </c>
      <c r="CV59" s="33">
        <v>148.19999999999999</v>
      </c>
      <c r="CW59" s="33"/>
      <c r="CX59" s="33"/>
      <c r="CY59" s="33">
        <v>2.16</v>
      </c>
      <c r="CZ59" s="33">
        <v>15227.721</v>
      </c>
      <c r="DA59" s="33">
        <v>1.92</v>
      </c>
      <c r="DB59" s="33">
        <v>12.21</v>
      </c>
      <c r="DC59" s="33">
        <v>16.13</v>
      </c>
      <c r="DD59" s="33">
        <v>5.09</v>
      </c>
      <c r="DE59" s="33">
        <v>3634.011</v>
      </c>
      <c r="DF59" s="33">
        <v>634.67200000000003</v>
      </c>
      <c r="DG59" s="33">
        <v>400.209</v>
      </c>
      <c r="DH59" s="33">
        <v>695.14400000000001</v>
      </c>
      <c r="DI59" s="33">
        <v>381.26</v>
      </c>
      <c r="DJ59" s="33">
        <v>100.5641</v>
      </c>
      <c r="DK59" s="33">
        <v>100.6925</v>
      </c>
      <c r="DL59" s="33">
        <v>100.29</v>
      </c>
      <c r="DM59" s="33">
        <v>100.36879999999999</v>
      </c>
      <c r="DN59" s="33">
        <v>101.3626</v>
      </c>
      <c r="DO59" s="33">
        <v>101.5844</v>
      </c>
      <c r="DP59" s="33">
        <v>100.9504</v>
      </c>
      <c r="DQ59" s="33">
        <v>101.04510000000001</v>
      </c>
      <c r="DR59" s="104">
        <v>222716</v>
      </c>
      <c r="DS59" s="104">
        <v>28204.266606678921</v>
      </c>
      <c r="DT59" s="103" t="s">
        <v>243</v>
      </c>
      <c r="DU59">
        <v>104.21250915527344</v>
      </c>
      <c r="DV59">
        <v>95.348503112792969</v>
      </c>
      <c r="DW59">
        <v>1338</v>
      </c>
      <c r="DX59">
        <v>353925</v>
      </c>
      <c r="DY59" s="102">
        <f t="shared" si="12"/>
        <v>57.900000000000006</v>
      </c>
    </row>
    <row r="60" spans="1:129" x14ac:dyDescent="0.25">
      <c r="A60" s="1">
        <v>34547</v>
      </c>
      <c r="B60" s="33">
        <v>75.3</v>
      </c>
      <c r="C60" s="88">
        <v>4.93</v>
      </c>
      <c r="D60" s="33">
        <v>4.5</v>
      </c>
      <c r="E60" s="72">
        <v>4.96</v>
      </c>
      <c r="F60" s="33">
        <v>6.44</v>
      </c>
      <c r="G60" s="33">
        <v>7.08</v>
      </c>
      <c r="H60" s="33">
        <v>7.09</v>
      </c>
      <c r="I60" s="33">
        <f t="shared" si="0"/>
        <v>2.16</v>
      </c>
      <c r="J60" s="33">
        <f t="shared" si="13"/>
        <v>2.59</v>
      </c>
      <c r="K60" s="33">
        <f t="shared" si="14"/>
        <v>2.13</v>
      </c>
      <c r="L60" s="33">
        <f t="shared" si="15"/>
        <v>-0.42999999999999972</v>
      </c>
      <c r="M60" s="33">
        <v>106.8</v>
      </c>
      <c r="N60" s="33">
        <v>2153.79</v>
      </c>
      <c r="O60" s="33">
        <v>18.59</v>
      </c>
      <c r="P60" s="34"/>
      <c r="Q60" s="34" t="str">
        <f t="shared" si="4"/>
        <v/>
      </c>
      <c r="R60" s="71">
        <v>972.28491736016019</v>
      </c>
      <c r="S60" s="34">
        <f t="shared" si="5"/>
        <v>1344.792416819032</v>
      </c>
      <c r="T60" s="71">
        <v>991.22339086661452</v>
      </c>
      <c r="U60" s="34">
        <f t="shared" si="6"/>
        <v>1370.9867093590797</v>
      </c>
      <c r="V60" s="116">
        <v>524213</v>
      </c>
      <c r="W60" s="116">
        <v>1268603</v>
      </c>
      <c r="X60" s="117">
        <v>3157950</v>
      </c>
      <c r="Y60" s="117">
        <v>498640</v>
      </c>
      <c r="Z60" s="33">
        <v>69.3</v>
      </c>
      <c r="AA60" s="33">
        <v>52.6</v>
      </c>
      <c r="AB60" s="33">
        <v>76.2</v>
      </c>
      <c r="AC60" s="33">
        <v>45.5</v>
      </c>
      <c r="AD60" s="33">
        <v>37891</v>
      </c>
      <c r="AE60" s="33">
        <v>9.6</v>
      </c>
      <c r="AF60" s="33">
        <v>229</v>
      </c>
      <c r="AG60" s="33">
        <v>70.099999999999994</v>
      </c>
      <c r="AH60" s="33">
        <v>72.3</v>
      </c>
      <c r="AI60" s="33">
        <v>76.3</v>
      </c>
      <c r="AJ60" s="33">
        <v>78.2</v>
      </c>
      <c r="AK60" s="33">
        <v>156.29892599999999</v>
      </c>
      <c r="AL60" s="33">
        <v>53.1</v>
      </c>
      <c r="AM60" s="123"/>
      <c r="AN60" s="123">
        <v>10.822446223941315</v>
      </c>
      <c r="AO60" s="123"/>
      <c r="AP60" s="33">
        <v>13.65</v>
      </c>
      <c r="AQ60" s="33">
        <f t="shared" si="7"/>
        <v>0.17889908256880735</v>
      </c>
      <c r="AR60" s="33">
        <v>93.3</v>
      </c>
      <c r="AS60" s="33">
        <v>102</v>
      </c>
      <c r="AT60" s="33">
        <v>85.4</v>
      </c>
      <c r="AU60" s="33">
        <v>94.4</v>
      </c>
      <c r="AV60" s="65">
        <v>104.7</v>
      </c>
      <c r="AW60" s="33">
        <v>85.1</v>
      </c>
      <c r="AX60" s="33">
        <v>2.7</v>
      </c>
      <c r="AY60" s="33">
        <v>8.1999999999999993</v>
      </c>
      <c r="AZ60" s="33">
        <v>5.5</v>
      </c>
      <c r="BA60" s="33">
        <v>12.1</v>
      </c>
      <c r="BB60" s="33">
        <v>93.8</v>
      </c>
      <c r="BC60" s="33">
        <v>99</v>
      </c>
      <c r="BD60" s="33">
        <v>88.8</v>
      </c>
      <c r="BE60" s="33">
        <v>-34</v>
      </c>
      <c r="BF60" s="33">
        <v>87.9</v>
      </c>
      <c r="BG60" s="33">
        <v>30.5</v>
      </c>
      <c r="BH60" s="33">
        <v>159.1</v>
      </c>
      <c r="BI60" s="33">
        <v>0.6</v>
      </c>
      <c r="BJ60" s="34" t="s">
        <v>243</v>
      </c>
      <c r="BK60" s="45">
        <v>17.909528138213208</v>
      </c>
      <c r="BL60" s="45" t="s">
        <v>243</v>
      </c>
      <c r="BM60" s="33">
        <v>101.8724</v>
      </c>
      <c r="BN60" s="33">
        <v>101.6101</v>
      </c>
      <c r="BO60" s="33">
        <v>-31.6</v>
      </c>
      <c r="BP60" s="33">
        <v>-42</v>
      </c>
      <c r="BQ60" s="33">
        <v>10</v>
      </c>
      <c r="BR60" s="33">
        <v>11.3</v>
      </c>
      <c r="BS60" s="33">
        <v>8.9</v>
      </c>
      <c r="BT60" s="45" t="s">
        <v>243</v>
      </c>
      <c r="BU60" s="33">
        <v>-10.1</v>
      </c>
      <c r="BV60" s="33">
        <v>0</v>
      </c>
      <c r="BW60" s="33">
        <v>-7.6</v>
      </c>
      <c r="BX60" s="33">
        <v>-23.9</v>
      </c>
      <c r="BY60" s="33">
        <v>-23.3</v>
      </c>
      <c r="BZ60" s="33">
        <v>97.2</v>
      </c>
      <c r="CA60" s="33">
        <v>-7.6</v>
      </c>
      <c r="CB60" s="33">
        <v>-4.9000000000000004</v>
      </c>
      <c r="CC60" s="33">
        <v>0.5</v>
      </c>
      <c r="CD60" s="33">
        <v>-26.8</v>
      </c>
      <c r="CE60" s="33">
        <v>-15.2</v>
      </c>
      <c r="CF60" s="33">
        <v>27.9</v>
      </c>
      <c r="CG60" s="33">
        <v>44.2</v>
      </c>
      <c r="CH60" s="33">
        <v>30.3</v>
      </c>
      <c r="CI60" s="33">
        <v>-22.1</v>
      </c>
      <c r="CJ60" s="33">
        <v>-10.8</v>
      </c>
      <c r="CK60" s="33">
        <v>7</v>
      </c>
      <c r="CL60" s="33">
        <v>11.1</v>
      </c>
      <c r="CM60" s="33">
        <v>1374.3030429999999</v>
      </c>
      <c r="CN60" s="33">
        <v>3798.16</v>
      </c>
      <c r="CO60" s="33">
        <v>464.24347799999998</v>
      </c>
      <c r="CP60" s="33">
        <v>8.4849999999999994</v>
      </c>
      <c r="CQ60" s="33">
        <v>7.13</v>
      </c>
      <c r="CR60" s="33">
        <v>80.8</v>
      </c>
      <c r="CS60" s="65"/>
      <c r="CT60" s="33">
        <v>105.7</v>
      </c>
      <c r="CU60" s="33">
        <v>99.3</v>
      </c>
      <c r="CV60" s="33">
        <v>162</v>
      </c>
      <c r="CW60" s="33"/>
      <c r="CX60" s="33"/>
      <c r="CY60" s="33">
        <v>2.34</v>
      </c>
      <c r="CZ60" s="33">
        <v>15150.351000000001</v>
      </c>
      <c r="DA60" s="33">
        <v>1.84</v>
      </c>
      <c r="DB60" s="33">
        <v>12.03</v>
      </c>
      <c r="DC60" s="33">
        <v>16.97</v>
      </c>
      <c r="DD60" s="33">
        <v>5.29</v>
      </c>
      <c r="DE60" s="33">
        <v>3995.9879999999998</v>
      </c>
      <c r="DF60" s="33">
        <v>711.024</v>
      </c>
      <c r="DG60" s="33">
        <v>440.92500000000001</v>
      </c>
      <c r="DH60" s="33">
        <v>787.70899999999995</v>
      </c>
      <c r="DI60" s="33">
        <v>427.39299999999997</v>
      </c>
      <c r="DJ60" s="33">
        <v>100.6712</v>
      </c>
      <c r="DK60" s="33">
        <v>100.8206</v>
      </c>
      <c r="DL60" s="33">
        <v>100.24</v>
      </c>
      <c r="DM60" s="33">
        <v>100.3066</v>
      </c>
      <c r="DN60" s="33">
        <v>101.6101</v>
      </c>
      <c r="DO60" s="33">
        <v>101.8724</v>
      </c>
      <c r="DP60" s="33">
        <v>100.9025</v>
      </c>
      <c r="DQ60" s="33">
        <v>100.9924</v>
      </c>
      <c r="DR60" s="104">
        <v>184399</v>
      </c>
      <c r="DS60" s="104">
        <v>28235.756297717271</v>
      </c>
      <c r="DT60" s="103" t="s">
        <v>243</v>
      </c>
      <c r="DU60">
        <v>87.252471923828125</v>
      </c>
      <c r="DV60">
        <v>68.054725646972656</v>
      </c>
      <c r="DW60">
        <v>1443</v>
      </c>
      <c r="DX60">
        <v>338900</v>
      </c>
      <c r="DY60" s="102">
        <f t="shared" si="12"/>
        <v>57.400000000000006</v>
      </c>
    </row>
    <row r="61" spans="1:129" x14ac:dyDescent="0.25">
      <c r="A61" s="1">
        <v>34578</v>
      </c>
      <c r="B61" s="33">
        <v>75.900000000000006</v>
      </c>
      <c r="C61" s="88">
        <v>4.8100000000000005</v>
      </c>
      <c r="D61" s="33">
        <v>4.5</v>
      </c>
      <c r="E61" s="72">
        <v>5.0200000000000005</v>
      </c>
      <c r="F61" s="33">
        <v>6.85</v>
      </c>
      <c r="G61" s="33">
        <v>7.46</v>
      </c>
      <c r="H61" s="33">
        <v>7.52</v>
      </c>
      <c r="I61" s="33">
        <f t="shared" si="0"/>
        <v>2.7099999999999991</v>
      </c>
      <c r="J61" s="33">
        <f t="shared" si="13"/>
        <v>3.0199999999999996</v>
      </c>
      <c r="K61" s="33">
        <f t="shared" si="14"/>
        <v>2.4999999999999991</v>
      </c>
      <c r="L61" s="33">
        <f t="shared" si="15"/>
        <v>-0.3100000000000005</v>
      </c>
      <c r="M61" s="33">
        <v>106.4</v>
      </c>
      <c r="N61" s="33">
        <v>2200.8000000000002</v>
      </c>
      <c r="O61" s="33">
        <v>17.399999999999999</v>
      </c>
      <c r="P61" s="34"/>
      <c r="Q61" s="34" t="str">
        <f t="shared" si="4"/>
        <v/>
      </c>
      <c r="R61" s="71">
        <v>968.94766403981055</v>
      </c>
      <c r="S61" s="34">
        <f t="shared" si="5"/>
        <v>1340.1765754354226</v>
      </c>
      <c r="T61" s="71">
        <v>993.98578547886996</v>
      </c>
      <c r="U61" s="34">
        <f t="shared" si="6"/>
        <v>1374.8074487951176</v>
      </c>
      <c r="V61" s="116">
        <v>530564</v>
      </c>
      <c r="W61" s="116">
        <v>1271745</v>
      </c>
      <c r="X61" s="117">
        <v>3162985</v>
      </c>
      <c r="Y61" s="117">
        <v>493183</v>
      </c>
      <c r="Z61" s="33">
        <v>70.400000000000006</v>
      </c>
      <c r="AA61" s="33">
        <v>54.9</v>
      </c>
      <c r="AB61" s="33">
        <v>77.099999999999994</v>
      </c>
      <c r="AC61" s="33">
        <v>47.5</v>
      </c>
      <c r="AD61" s="33">
        <v>37929</v>
      </c>
      <c r="AE61" s="33">
        <v>9.5</v>
      </c>
      <c r="AF61" s="33">
        <v>238</v>
      </c>
      <c r="AG61" s="33">
        <v>70.099999999999994</v>
      </c>
      <c r="AH61" s="33">
        <v>72.3</v>
      </c>
      <c r="AI61" s="33">
        <v>76.400000000000006</v>
      </c>
      <c r="AJ61" s="33">
        <v>78.400000000000006</v>
      </c>
      <c r="AK61" s="33">
        <v>156.12090900000001</v>
      </c>
      <c r="AL61" s="33">
        <v>53.2</v>
      </c>
      <c r="AM61" s="123"/>
      <c r="AN61" s="123">
        <v>10.251412629210742</v>
      </c>
      <c r="AO61" s="123"/>
      <c r="AP61" s="33">
        <v>12.8</v>
      </c>
      <c r="AQ61" s="33">
        <f t="shared" si="7"/>
        <v>0.16753926701570682</v>
      </c>
      <c r="AR61" s="33">
        <v>95.5</v>
      </c>
      <c r="AS61" s="33">
        <v>104.2</v>
      </c>
      <c r="AT61" s="33">
        <v>87.5</v>
      </c>
      <c r="AU61" s="33">
        <v>96.8</v>
      </c>
      <c r="AV61" s="65">
        <v>107.2</v>
      </c>
      <c r="AW61" s="33">
        <v>87.4</v>
      </c>
      <c r="AX61" s="33">
        <v>9.4</v>
      </c>
      <c r="AY61" s="33">
        <v>12.8</v>
      </c>
      <c r="AZ61" s="33">
        <v>10.1</v>
      </c>
      <c r="BA61" s="33">
        <v>15.4</v>
      </c>
      <c r="BB61" s="33">
        <v>95.9</v>
      </c>
      <c r="BC61" s="33">
        <v>100.3</v>
      </c>
      <c r="BD61" s="33">
        <v>91.8</v>
      </c>
      <c r="BE61" s="33">
        <v>-11.2</v>
      </c>
      <c r="BF61" s="33">
        <v>79.7</v>
      </c>
      <c r="BG61" s="33">
        <v>37.299999999999997</v>
      </c>
      <c r="BH61" s="33">
        <v>157.30000000000001</v>
      </c>
      <c r="BI61" s="33">
        <v>1.6</v>
      </c>
      <c r="BJ61" s="34" t="s">
        <v>243</v>
      </c>
      <c r="BK61" s="45">
        <v>26.321100379345417</v>
      </c>
      <c r="BL61" s="45" t="s">
        <v>243</v>
      </c>
      <c r="BM61" s="33">
        <v>102.1088</v>
      </c>
      <c r="BN61" s="33">
        <v>101.81319999999999</v>
      </c>
      <c r="BO61" s="33">
        <v>-26.3</v>
      </c>
      <c r="BP61" s="33">
        <v>-38.299999999999997</v>
      </c>
      <c r="BQ61" s="33">
        <v>7.6</v>
      </c>
      <c r="BR61" s="33">
        <v>12.8</v>
      </c>
      <c r="BS61" s="33">
        <v>11.4</v>
      </c>
      <c r="BT61" s="45" t="s">
        <v>243</v>
      </c>
      <c r="BU61" s="33">
        <v>-7</v>
      </c>
      <c r="BV61" s="33">
        <v>0</v>
      </c>
      <c r="BW61" s="33">
        <v>-7.7</v>
      </c>
      <c r="BX61" s="33">
        <v>-22.5</v>
      </c>
      <c r="BY61" s="33">
        <v>-23.8</v>
      </c>
      <c r="BZ61" s="33">
        <v>98.8</v>
      </c>
      <c r="CA61" s="33">
        <v>-7.7</v>
      </c>
      <c r="CB61" s="33">
        <v>-5.9</v>
      </c>
      <c r="CC61" s="33">
        <v>-0.6</v>
      </c>
      <c r="CD61" s="33">
        <v>-22.8</v>
      </c>
      <c r="CE61" s="33">
        <v>-13.3</v>
      </c>
      <c r="CF61" s="33">
        <v>29</v>
      </c>
      <c r="CG61" s="33">
        <v>46.7</v>
      </c>
      <c r="CH61" s="33">
        <v>27.3</v>
      </c>
      <c r="CI61" s="33">
        <v>-24.2</v>
      </c>
      <c r="CJ61" s="33">
        <v>-11.2</v>
      </c>
      <c r="CK61" s="33">
        <v>9.4</v>
      </c>
      <c r="CL61" s="33">
        <v>11.8</v>
      </c>
      <c r="CM61" s="33">
        <v>1341.7731819999999</v>
      </c>
      <c r="CN61" s="33">
        <v>3901.44</v>
      </c>
      <c r="CO61" s="33">
        <v>467.13909100000001</v>
      </c>
      <c r="CP61" s="33">
        <v>8.4499999999999993</v>
      </c>
      <c r="CQ61" s="33">
        <v>7.19</v>
      </c>
      <c r="CR61" s="33">
        <v>83.5</v>
      </c>
      <c r="CS61" s="65"/>
      <c r="CT61" s="33">
        <v>109.8</v>
      </c>
      <c r="CU61" s="33">
        <v>102.1</v>
      </c>
      <c r="CV61" s="33">
        <v>181.3</v>
      </c>
      <c r="CW61" s="33"/>
      <c r="CX61" s="33"/>
      <c r="CY61" s="33">
        <v>2.2799999999999998</v>
      </c>
      <c r="CZ61" s="33">
        <v>16931.547999999999</v>
      </c>
      <c r="DA61" s="33">
        <v>1.74</v>
      </c>
      <c r="DB61" s="33">
        <v>13.01</v>
      </c>
      <c r="DC61" s="33">
        <v>17.12</v>
      </c>
      <c r="DD61" s="33">
        <v>4.83</v>
      </c>
      <c r="DE61" s="33">
        <v>3837.096</v>
      </c>
      <c r="DF61" s="33">
        <v>628.601</v>
      </c>
      <c r="DG61" s="33">
        <v>414.07799999999997</v>
      </c>
      <c r="DH61" s="33">
        <v>792.726</v>
      </c>
      <c r="DI61" s="33">
        <v>476.80200000000002</v>
      </c>
      <c r="DJ61" s="33">
        <v>100.7427</v>
      </c>
      <c r="DK61" s="33">
        <v>100.9071</v>
      </c>
      <c r="DL61" s="33">
        <v>100.2</v>
      </c>
      <c r="DM61" s="33">
        <v>100.2611</v>
      </c>
      <c r="DN61" s="33">
        <v>101.81319999999999</v>
      </c>
      <c r="DO61" s="33">
        <v>102.1088</v>
      </c>
      <c r="DP61" s="33">
        <v>100.8404</v>
      </c>
      <c r="DQ61" s="33">
        <v>100.9241</v>
      </c>
      <c r="DR61" s="104">
        <v>209335</v>
      </c>
      <c r="DS61" s="104">
        <v>28265.746479658552</v>
      </c>
      <c r="DT61" s="103" t="s">
        <v>243</v>
      </c>
      <c r="DU61">
        <v>59.399204254150391</v>
      </c>
      <c r="DV61">
        <v>46.682769775390625</v>
      </c>
      <c r="DW61">
        <v>1435</v>
      </c>
      <c r="DX61">
        <v>367350</v>
      </c>
      <c r="DY61" s="102">
        <f t="shared" si="12"/>
        <v>57.8</v>
      </c>
    </row>
    <row r="62" spans="1:129" x14ac:dyDescent="0.25">
      <c r="A62" s="1">
        <v>34608</v>
      </c>
      <c r="B62" s="33">
        <v>77.599999999999994</v>
      </c>
      <c r="C62" s="88">
        <v>4.93</v>
      </c>
      <c r="D62" s="33">
        <v>4.5</v>
      </c>
      <c r="E62" s="72">
        <v>5.17</v>
      </c>
      <c r="F62" s="33">
        <v>6.97</v>
      </c>
      <c r="G62" s="33">
        <v>7.5</v>
      </c>
      <c r="H62" s="33">
        <v>7.54</v>
      </c>
      <c r="I62" s="33">
        <f t="shared" si="0"/>
        <v>2.6100000000000003</v>
      </c>
      <c r="J62" s="33">
        <f t="shared" si="13"/>
        <v>3.04</v>
      </c>
      <c r="K62" s="33">
        <f t="shared" si="14"/>
        <v>2.37</v>
      </c>
      <c r="L62" s="33">
        <f t="shared" si="15"/>
        <v>-0.42999999999999972</v>
      </c>
      <c r="M62" s="33">
        <v>106.6</v>
      </c>
      <c r="N62" s="33">
        <v>2011.75</v>
      </c>
      <c r="O62" s="33">
        <v>19.600000000000001</v>
      </c>
      <c r="P62" s="34"/>
      <c r="Q62" s="34" t="str">
        <f t="shared" si="4"/>
        <v/>
      </c>
      <c r="R62" s="71">
        <v>962.27315739911126</v>
      </c>
      <c r="S62" s="34">
        <f t="shared" si="5"/>
        <v>1329.1065709932475</v>
      </c>
      <c r="T62" s="71">
        <v>993.1284905992045</v>
      </c>
      <c r="U62" s="34">
        <f t="shared" si="6"/>
        <v>1371.7244345292877</v>
      </c>
      <c r="V62" s="116">
        <v>534048</v>
      </c>
      <c r="W62" s="116">
        <v>1278103</v>
      </c>
      <c r="X62" s="117">
        <v>3169833</v>
      </c>
      <c r="Y62" s="117">
        <v>500768</v>
      </c>
      <c r="Z62" s="33">
        <v>71.3</v>
      </c>
      <c r="AA62" s="33">
        <v>55.3</v>
      </c>
      <c r="AB62" s="33">
        <v>77.900000000000006</v>
      </c>
      <c r="AC62" s="33">
        <v>48.6</v>
      </c>
      <c r="AD62" s="33">
        <v>37949</v>
      </c>
      <c r="AE62" s="33">
        <v>9.4</v>
      </c>
      <c r="AF62" s="33">
        <v>254</v>
      </c>
      <c r="AG62" s="33">
        <v>70.099999999999994</v>
      </c>
      <c r="AH62" s="33">
        <v>72.400000000000006</v>
      </c>
      <c r="AI62" s="33">
        <v>76.599999999999994</v>
      </c>
      <c r="AJ62" s="33">
        <v>78.7</v>
      </c>
      <c r="AK62" s="33">
        <v>156.29892599999999</v>
      </c>
      <c r="AL62" s="33">
        <v>53.4</v>
      </c>
      <c r="AM62" s="123"/>
      <c r="AN62" s="123">
        <v>10.194142167595039</v>
      </c>
      <c r="AO62" s="123"/>
      <c r="AP62" s="33">
        <v>12.97</v>
      </c>
      <c r="AQ62" s="33">
        <f t="shared" si="7"/>
        <v>0.1693211488250653</v>
      </c>
      <c r="AR62" s="33">
        <v>97.1</v>
      </c>
      <c r="AS62" s="33">
        <v>105.8</v>
      </c>
      <c r="AT62" s="33">
        <v>89.2</v>
      </c>
      <c r="AU62" s="33">
        <v>98.9</v>
      </c>
      <c r="AV62" s="65">
        <v>109.3</v>
      </c>
      <c r="AW62" s="33">
        <v>89.4</v>
      </c>
      <c r="AX62" s="33">
        <v>14.7</v>
      </c>
      <c r="AY62" s="33">
        <v>16.7</v>
      </c>
      <c r="AZ62" s="33">
        <v>13.7</v>
      </c>
      <c r="BA62" s="33">
        <v>21.6</v>
      </c>
      <c r="BB62" s="33">
        <v>97.4</v>
      </c>
      <c r="BC62" s="33">
        <v>102.2</v>
      </c>
      <c r="BD62" s="33">
        <v>92.9</v>
      </c>
      <c r="BE62" s="33">
        <v>-4.0999999999999996</v>
      </c>
      <c r="BF62" s="33">
        <v>74.599999999999994</v>
      </c>
      <c r="BG62" s="33">
        <v>47.8</v>
      </c>
      <c r="BH62" s="33">
        <v>152.69999999999999</v>
      </c>
      <c r="BI62" s="33">
        <v>1.5</v>
      </c>
      <c r="BJ62" s="34" t="s">
        <v>243</v>
      </c>
      <c r="BK62" s="45">
        <v>13.874226292773312</v>
      </c>
      <c r="BL62" s="45" t="s">
        <v>243</v>
      </c>
      <c r="BM62" s="33">
        <v>102.2647</v>
      </c>
      <c r="BN62" s="33">
        <v>101.94710000000001</v>
      </c>
      <c r="BO62" s="33">
        <v>-23.1</v>
      </c>
      <c r="BP62" s="33">
        <v>-35.4</v>
      </c>
      <c r="BQ62" s="33">
        <v>5.8</v>
      </c>
      <c r="BR62" s="33">
        <v>16.8</v>
      </c>
      <c r="BS62" s="33">
        <v>15.6</v>
      </c>
      <c r="BT62" s="45" t="s">
        <v>243</v>
      </c>
      <c r="BU62" s="33">
        <v>-4</v>
      </c>
      <c r="BV62" s="33">
        <v>0</v>
      </c>
      <c r="BW62" s="33">
        <v>-5.6</v>
      </c>
      <c r="BX62" s="33">
        <v>-24.3</v>
      </c>
      <c r="BY62" s="33">
        <v>-23.5</v>
      </c>
      <c r="BZ62" s="33">
        <v>101.5</v>
      </c>
      <c r="CA62" s="33">
        <v>-5.6</v>
      </c>
      <c r="CB62" s="33">
        <v>-3</v>
      </c>
      <c r="CC62" s="33">
        <v>1.9</v>
      </c>
      <c r="CD62" s="33">
        <v>-19.2</v>
      </c>
      <c r="CE62" s="33">
        <v>-10.6</v>
      </c>
      <c r="CF62" s="33">
        <v>25</v>
      </c>
      <c r="CG62" s="33">
        <v>43.2</v>
      </c>
      <c r="CH62" s="33">
        <v>23.8</v>
      </c>
      <c r="CI62" s="33">
        <v>-20</v>
      </c>
      <c r="CJ62" s="33">
        <v>-10.8</v>
      </c>
      <c r="CK62" s="33">
        <v>12.3</v>
      </c>
      <c r="CL62" s="33">
        <v>12.9</v>
      </c>
      <c r="CM62" s="33">
        <v>1300.929048</v>
      </c>
      <c r="CN62" s="33">
        <v>3846.88</v>
      </c>
      <c r="CO62" s="33">
        <v>463.81285700000001</v>
      </c>
      <c r="CP62" s="33">
        <v>8.8070000000000004</v>
      </c>
      <c r="CQ62" s="33">
        <v>7.66</v>
      </c>
      <c r="CR62" s="33">
        <v>85.1</v>
      </c>
      <c r="CS62" s="65"/>
      <c r="CT62" s="33">
        <v>111.4</v>
      </c>
      <c r="CU62" s="33">
        <v>102.4</v>
      </c>
      <c r="CV62" s="33">
        <v>167.8</v>
      </c>
      <c r="CW62" s="33"/>
      <c r="CX62" s="33"/>
      <c r="CY62" s="33">
        <v>2.36</v>
      </c>
      <c r="CZ62" s="33">
        <v>17407.289000000001</v>
      </c>
      <c r="DA62" s="33">
        <v>2.0499999999999998</v>
      </c>
      <c r="DB62" s="33">
        <v>12.64</v>
      </c>
      <c r="DC62" s="33">
        <v>17.100000000000001</v>
      </c>
      <c r="DD62" s="33">
        <v>5.09</v>
      </c>
      <c r="DE62" s="33">
        <v>3623.3510000000001</v>
      </c>
      <c r="DF62" s="33">
        <v>644.01599999999996</v>
      </c>
      <c r="DG62" s="33">
        <v>402.12299999999999</v>
      </c>
      <c r="DH62" s="33">
        <v>895.83600000000001</v>
      </c>
      <c r="DI62" s="33">
        <v>363.20800000000003</v>
      </c>
      <c r="DJ62" s="33">
        <v>100.78870000000001</v>
      </c>
      <c r="DK62" s="33">
        <v>100.9632</v>
      </c>
      <c r="DL62" s="33">
        <v>100.19</v>
      </c>
      <c r="DM62" s="33">
        <v>100.2486</v>
      </c>
      <c r="DN62" s="33">
        <v>101.94710000000001</v>
      </c>
      <c r="DO62" s="33">
        <v>102.2647</v>
      </c>
      <c r="DP62" s="33">
        <v>100.75709999999999</v>
      </c>
      <c r="DQ62" s="33">
        <v>100.8325</v>
      </c>
      <c r="DR62" s="104">
        <v>207096</v>
      </c>
      <c r="DS62" s="104">
        <v>28273.244025143875</v>
      </c>
      <c r="DT62" s="103" t="s">
        <v>243</v>
      </c>
      <c r="DU62">
        <v>101.16266632080078</v>
      </c>
      <c r="DV62">
        <v>73.983863830566406</v>
      </c>
      <c r="DW62">
        <v>1669</v>
      </c>
      <c r="DX62">
        <v>359375</v>
      </c>
      <c r="DY62" s="102">
        <f t="shared" si="12"/>
        <v>58.400000000000006</v>
      </c>
    </row>
    <row r="63" spans="1:129" x14ac:dyDescent="0.25">
      <c r="A63" s="1">
        <v>34639</v>
      </c>
      <c r="B63" s="33">
        <v>77.7</v>
      </c>
      <c r="C63" s="88">
        <v>5.03</v>
      </c>
      <c r="D63" s="33">
        <v>4.5</v>
      </c>
      <c r="E63" s="72">
        <v>5.16</v>
      </c>
      <c r="F63" s="33">
        <v>6.92</v>
      </c>
      <c r="G63" s="33">
        <v>7.44</v>
      </c>
      <c r="H63" s="33">
        <v>7.49</v>
      </c>
      <c r="I63" s="33">
        <f t="shared" si="0"/>
        <v>2.46</v>
      </c>
      <c r="J63" s="33">
        <f t="shared" si="13"/>
        <v>2.99</v>
      </c>
      <c r="K63" s="33">
        <f t="shared" si="14"/>
        <v>2.33</v>
      </c>
      <c r="L63" s="33">
        <f t="shared" si="15"/>
        <v>-0.53000000000000025</v>
      </c>
      <c r="M63" s="33">
        <v>106.5</v>
      </c>
      <c r="N63" s="33">
        <v>2069.73</v>
      </c>
      <c r="O63" s="33">
        <v>21.37</v>
      </c>
      <c r="P63" s="34"/>
      <c r="Q63" s="34" t="str">
        <f t="shared" si="4"/>
        <v/>
      </c>
      <c r="R63" s="71">
        <v>954.16839933540496</v>
      </c>
      <c r="S63" s="34">
        <f t="shared" si="5"/>
        <v>1316.0943439109033</v>
      </c>
      <c r="T63" s="71">
        <v>991.69966579976199</v>
      </c>
      <c r="U63" s="34">
        <f t="shared" si="6"/>
        <v>1367.8616079996716</v>
      </c>
      <c r="V63" s="116">
        <v>541266</v>
      </c>
      <c r="W63" s="116">
        <v>1273612</v>
      </c>
      <c r="X63" s="117">
        <v>3167131</v>
      </c>
      <c r="Y63" s="117">
        <v>510882</v>
      </c>
      <c r="Z63" s="33">
        <v>72.3</v>
      </c>
      <c r="AA63" s="33">
        <v>55.6</v>
      </c>
      <c r="AB63" s="33">
        <v>76.3</v>
      </c>
      <c r="AC63" s="33">
        <v>49</v>
      </c>
      <c r="AD63" s="33">
        <v>37968</v>
      </c>
      <c r="AE63" s="33">
        <v>9.3000000000000007</v>
      </c>
      <c r="AF63" s="33">
        <v>254</v>
      </c>
      <c r="AG63" s="33">
        <v>70.2</v>
      </c>
      <c r="AH63" s="33">
        <v>72.5</v>
      </c>
      <c r="AI63" s="33">
        <v>76.900000000000006</v>
      </c>
      <c r="AJ63" s="33">
        <v>79</v>
      </c>
      <c r="AK63" s="33">
        <v>157.01099400000001</v>
      </c>
      <c r="AL63" s="33">
        <v>89.1</v>
      </c>
      <c r="AM63" s="123"/>
      <c r="AN63" s="123">
        <v>10.645210405099247</v>
      </c>
      <c r="AO63" s="123"/>
      <c r="AP63" s="33">
        <v>13.86</v>
      </c>
      <c r="AQ63" s="33">
        <f t="shared" si="7"/>
        <v>0.1802340702210663</v>
      </c>
      <c r="AR63" s="33">
        <v>97.7</v>
      </c>
      <c r="AS63" s="33">
        <v>106</v>
      </c>
      <c r="AT63" s="33">
        <v>90.1</v>
      </c>
      <c r="AU63" s="33">
        <v>101</v>
      </c>
      <c r="AV63" s="65">
        <v>110.9</v>
      </c>
      <c r="AW63" s="33">
        <v>92</v>
      </c>
      <c r="AX63" s="33">
        <v>21.8</v>
      </c>
      <c r="AY63" s="33">
        <v>19.7</v>
      </c>
      <c r="AZ63" s="33">
        <v>17.899999999999999</v>
      </c>
      <c r="BA63" s="33">
        <v>24.1</v>
      </c>
      <c r="BB63" s="33">
        <v>95.8</v>
      </c>
      <c r="BC63" s="33">
        <v>100.9</v>
      </c>
      <c r="BD63" s="33">
        <v>91</v>
      </c>
      <c r="BE63" s="33">
        <v>-0.3</v>
      </c>
      <c r="BF63" s="33">
        <v>74.5</v>
      </c>
      <c r="BG63" s="33">
        <v>42.6</v>
      </c>
      <c r="BH63" s="33">
        <v>147.30000000000001</v>
      </c>
      <c r="BI63" s="33">
        <v>6.9</v>
      </c>
      <c r="BJ63" s="34" t="s">
        <v>243</v>
      </c>
      <c r="BK63" s="45">
        <v>-7.3483472534144116</v>
      </c>
      <c r="BL63" s="45" t="s">
        <v>243</v>
      </c>
      <c r="BM63" s="33">
        <v>102.3156</v>
      </c>
      <c r="BN63" s="33">
        <v>101.9909</v>
      </c>
      <c r="BO63" s="33">
        <v>-20</v>
      </c>
      <c r="BP63" s="33">
        <v>-30.5</v>
      </c>
      <c r="BQ63" s="33">
        <v>5.4</v>
      </c>
      <c r="BR63" s="33">
        <v>16.899999999999999</v>
      </c>
      <c r="BS63" s="33">
        <v>19.3</v>
      </c>
      <c r="BT63" s="45" t="s">
        <v>243</v>
      </c>
      <c r="BU63" s="33">
        <v>-2.8</v>
      </c>
      <c r="BV63" s="33">
        <v>0</v>
      </c>
      <c r="BW63" s="33">
        <v>-7.1</v>
      </c>
      <c r="BX63" s="33">
        <v>-25.8</v>
      </c>
      <c r="BY63" s="33">
        <v>-25.6</v>
      </c>
      <c r="BZ63" s="33">
        <v>101</v>
      </c>
      <c r="CA63" s="33">
        <v>-7.1</v>
      </c>
      <c r="CB63" s="33">
        <v>-4.7</v>
      </c>
      <c r="CC63" s="33">
        <v>-0.2</v>
      </c>
      <c r="CD63" s="33">
        <v>-19</v>
      </c>
      <c r="CE63" s="33">
        <v>-11</v>
      </c>
      <c r="CF63" s="33">
        <v>25.6</v>
      </c>
      <c r="CG63" s="33">
        <v>45.2</v>
      </c>
      <c r="CH63" s="33">
        <v>22.1</v>
      </c>
      <c r="CI63" s="33">
        <v>-23.8</v>
      </c>
      <c r="CJ63" s="33">
        <v>-12.5</v>
      </c>
      <c r="CK63" s="33">
        <v>9.6</v>
      </c>
      <c r="CL63" s="33">
        <v>13.6</v>
      </c>
      <c r="CM63" s="33">
        <v>1320.9995449999999</v>
      </c>
      <c r="CN63" s="33">
        <v>3863.37</v>
      </c>
      <c r="CO63" s="33">
        <v>460.51</v>
      </c>
      <c r="CP63" s="33">
        <v>8.6769999999999996</v>
      </c>
      <c r="CQ63" s="33">
        <v>7.91</v>
      </c>
      <c r="CR63" s="33">
        <v>84.8</v>
      </c>
      <c r="CS63" s="65"/>
      <c r="CT63" s="33">
        <v>111.3</v>
      </c>
      <c r="CU63" s="33">
        <v>103.6</v>
      </c>
      <c r="CV63" s="33">
        <v>165.4</v>
      </c>
      <c r="CW63" s="33"/>
      <c r="CX63" s="33"/>
      <c r="CY63" s="33">
        <v>2.63</v>
      </c>
      <c r="CZ63" s="33">
        <v>16935.195</v>
      </c>
      <c r="DA63" s="33">
        <v>1.96</v>
      </c>
      <c r="DB63" s="33">
        <v>12.52</v>
      </c>
      <c r="DC63" s="33">
        <v>16.54</v>
      </c>
      <c r="DD63" s="33">
        <v>5.0199999999999996</v>
      </c>
      <c r="DE63" s="33">
        <v>4115.1559999999999</v>
      </c>
      <c r="DF63" s="33">
        <v>719.86900000000003</v>
      </c>
      <c r="DG63" s="33">
        <v>513.91</v>
      </c>
      <c r="DH63" s="33">
        <v>863.149</v>
      </c>
      <c r="DI63" s="33">
        <v>442.02</v>
      </c>
      <c r="DJ63" s="33">
        <v>100.8117</v>
      </c>
      <c r="DK63" s="33">
        <v>100.99160000000001</v>
      </c>
      <c r="DL63" s="33">
        <v>100.22</v>
      </c>
      <c r="DM63" s="33">
        <v>100.2877</v>
      </c>
      <c r="DN63" s="33">
        <v>101.9909</v>
      </c>
      <c r="DO63" s="33">
        <v>102.3156</v>
      </c>
      <c r="DP63" s="33">
        <v>100.6319</v>
      </c>
      <c r="DQ63" s="33">
        <v>100.6948</v>
      </c>
      <c r="DR63" s="104">
        <v>197716</v>
      </c>
      <c r="DS63" s="104">
        <v>28288.239116114517</v>
      </c>
      <c r="DT63" s="103" t="s">
        <v>243</v>
      </c>
      <c r="DU63">
        <v>121.02751922607422</v>
      </c>
      <c r="DV63">
        <v>114.62066650390625</v>
      </c>
      <c r="DW63">
        <v>1863</v>
      </c>
      <c r="DX63">
        <v>333100</v>
      </c>
      <c r="DY63" s="102">
        <f t="shared" si="12"/>
        <v>60.099999999999994</v>
      </c>
    </row>
    <row r="64" spans="1:129" x14ac:dyDescent="0.25">
      <c r="A64" s="1">
        <v>34669</v>
      </c>
      <c r="B64" s="33">
        <v>77.8</v>
      </c>
      <c r="C64" s="88">
        <v>4.9000000000000004</v>
      </c>
      <c r="D64" s="33">
        <v>4.5</v>
      </c>
      <c r="E64" s="72">
        <v>5.3500000000000005</v>
      </c>
      <c r="F64" s="33">
        <v>7.02</v>
      </c>
      <c r="G64" s="33">
        <v>7.45</v>
      </c>
      <c r="H64" s="33">
        <v>7.46</v>
      </c>
      <c r="I64" s="33">
        <f t="shared" si="0"/>
        <v>2.5599999999999996</v>
      </c>
      <c r="J64" s="33">
        <f t="shared" si="13"/>
        <v>2.96</v>
      </c>
      <c r="K64" s="33">
        <f t="shared" si="14"/>
        <v>2.1099999999999994</v>
      </c>
      <c r="L64" s="33">
        <f t="shared" si="15"/>
        <v>-0.40000000000000036</v>
      </c>
      <c r="M64" s="33">
        <v>106.2</v>
      </c>
      <c r="N64" s="33">
        <v>2046.59</v>
      </c>
      <c r="O64" s="33">
        <v>18.670000000000002</v>
      </c>
      <c r="P64" s="34"/>
      <c r="Q64" s="34" t="str">
        <f t="shared" si="4"/>
        <v/>
      </c>
      <c r="R64" s="71">
        <v>936.14723140551678</v>
      </c>
      <c r="S64" s="34">
        <f t="shared" si="5"/>
        <v>1289.4589964263319</v>
      </c>
      <c r="T64" s="71">
        <v>985.69860164210309</v>
      </c>
      <c r="U64" s="34">
        <f t="shared" si="6"/>
        <v>1357.711572509784</v>
      </c>
      <c r="V64" s="116">
        <v>540659</v>
      </c>
      <c r="W64" s="116">
        <v>1273837</v>
      </c>
      <c r="X64" s="117">
        <v>3159101</v>
      </c>
      <c r="Y64" s="117">
        <v>513300</v>
      </c>
      <c r="Z64" s="33">
        <v>73.8</v>
      </c>
      <c r="AA64" s="33">
        <v>57.9</v>
      </c>
      <c r="AB64" s="33">
        <v>76.5</v>
      </c>
      <c r="AC64" s="33">
        <v>50.1</v>
      </c>
      <c r="AD64" s="33">
        <v>37992</v>
      </c>
      <c r="AE64" s="33">
        <v>9.3000000000000007</v>
      </c>
      <c r="AF64" s="33">
        <v>256</v>
      </c>
      <c r="AG64" s="33">
        <v>70.2</v>
      </c>
      <c r="AH64" s="33">
        <v>72.599999999999994</v>
      </c>
      <c r="AI64" s="33">
        <v>77.599999999999994</v>
      </c>
      <c r="AJ64" s="33">
        <v>79.2</v>
      </c>
      <c r="AK64" s="33">
        <v>157.18901099999999</v>
      </c>
      <c r="AL64" s="33">
        <v>53.4</v>
      </c>
      <c r="AM64" s="123"/>
      <c r="AN64" s="123">
        <v>10.447028296493677</v>
      </c>
      <c r="AO64" s="123"/>
      <c r="AP64" s="33">
        <v>13.08</v>
      </c>
      <c r="AQ64" s="33">
        <f t="shared" si="7"/>
        <v>0.16855670103092785</v>
      </c>
      <c r="AR64" s="33">
        <v>96.9</v>
      </c>
      <c r="AS64" s="33">
        <v>105.3</v>
      </c>
      <c r="AT64" s="33">
        <v>89.3</v>
      </c>
      <c r="AU64" s="33">
        <v>100</v>
      </c>
      <c r="AV64" s="65">
        <v>110.2</v>
      </c>
      <c r="AW64" s="33">
        <v>90.8</v>
      </c>
      <c r="AX64" s="33">
        <v>16.3</v>
      </c>
      <c r="AY64" s="33">
        <v>25.8</v>
      </c>
      <c r="AZ64" s="33">
        <v>19</v>
      </c>
      <c r="BA64" s="33">
        <v>20.5</v>
      </c>
      <c r="BB64" s="33">
        <v>95.8</v>
      </c>
      <c r="BC64" s="33">
        <v>101</v>
      </c>
      <c r="BD64" s="33">
        <v>90.9</v>
      </c>
      <c r="BE64" s="33">
        <v>7.1</v>
      </c>
      <c r="BF64" s="33">
        <v>75</v>
      </c>
      <c r="BG64" s="33">
        <v>33</v>
      </c>
      <c r="BH64" s="33">
        <v>144.5</v>
      </c>
      <c r="BI64" s="33">
        <v>21.7</v>
      </c>
      <c r="BJ64" s="34" t="s">
        <v>243</v>
      </c>
      <c r="BK64" s="45">
        <v>-34.966727719580632</v>
      </c>
      <c r="BL64" s="45" t="s">
        <v>243</v>
      </c>
      <c r="BM64" s="33">
        <v>102.2503</v>
      </c>
      <c r="BN64" s="33">
        <v>101.93470000000001</v>
      </c>
      <c r="BO64" s="33">
        <v>-18.899999999999999</v>
      </c>
      <c r="BP64" s="33">
        <v>-27.1</v>
      </c>
      <c r="BQ64" s="33">
        <v>4.7</v>
      </c>
      <c r="BR64" s="33">
        <v>19.100000000000001</v>
      </c>
      <c r="BS64" s="33">
        <v>20.9</v>
      </c>
      <c r="BT64" s="45" t="s">
        <v>243</v>
      </c>
      <c r="BU64" s="33">
        <v>-1.5</v>
      </c>
      <c r="BV64" s="33">
        <v>0</v>
      </c>
      <c r="BW64" s="33">
        <v>-8.9</v>
      </c>
      <c r="BX64" s="33">
        <v>-23.3</v>
      </c>
      <c r="BY64" s="33">
        <v>-25.6</v>
      </c>
      <c r="BZ64" s="33">
        <v>100.9</v>
      </c>
      <c r="CA64" s="33">
        <v>-8.9</v>
      </c>
      <c r="CB64" s="33">
        <v>-6</v>
      </c>
      <c r="CC64" s="33">
        <v>-3.8</v>
      </c>
      <c r="CD64" s="33">
        <v>-19.899999999999999</v>
      </c>
      <c r="CE64" s="33">
        <v>-12.3</v>
      </c>
      <c r="CF64" s="33">
        <v>25.6</v>
      </c>
      <c r="CG64" s="33">
        <v>45.7</v>
      </c>
      <c r="CH64" s="33">
        <v>22.3</v>
      </c>
      <c r="CI64" s="33">
        <v>-24.1</v>
      </c>
      <c r="CJ64" s="33">
        <v>-13.4</v>
      </c>
      <c r="CK64" s="33">
        <v>3.8</v>
      </c>
      <c r="CL64" s="33">
        <v>10.7</v>
      </c>
      <c r="CM64" s="33">
        <v>1319.096818</v>
      </c>
      <c r="CN64" s="33">
        <v>3700.87</v>
      </c>
      <c r="CO64" s="33">
        <v>455.39772699999997</v>
      </c>
      <c r="CP64" s="33">
        <v>8.4600000000000009</v>
      </c>
      <c r="CQ64" s="33">
        <v>7.92</v>
      </c>
      <c r="CR64" s="33">
        <v>88.8</v>
      </c>
      <c r="CS64" s="65"/>
      <c r="CT64" s="33">
        <v>110.2</v>
      </c>
      <c r="CU64" s="33">
        <v>106</v>
      </c>
      <c r="CV64" s="33">
        <v>156.80000000000001</v>
      </c>
      <c r="CW64" s="33"/>
      <c r="CX64" s="33"/>
      <c r="CY64" s="33">
        <v>2.2999999999999998</v>
      </c>
      <c r="CZ64" s="33">
        <v>17495.692999999999</v>
      </c>
      <c r="DA64" s="33">
        <v>2.0299999999999998</v>
      </c>
      <c r="DB64" s="33">
        <v>13.06</v>
      </c>
      <c r="DC64" s="33">
        <v>17.739999999999998</v>
      </c>
      <c r="DD64" s="33">
        <v>4.96</v>
      </c>
      <c r="DE64" s="33">
        <v>4794.7960000000003</v>
      </c>
      <c r="DF64" s="33">
        <v>971.65700000000004</v>
      </c>
      <c r="DG64" s="33">
        <v>560.56100000000004</v>
      </c>
      <c r="DH64" s="33">
        <v>847.17600000000004</v>
      </c>
      <c r="DI64" s="33">
        <v>489.76600000000002</v>
      </c>
      <c r="DJ64" s="33">
        <v>100.8115</v>
      </c>
      <c r="DK64" s="33">
        <v>100.9922</v>
      </c>
      <c r="DL64" s="33">
        <v>100.3</v>
      </c>
      <c r="DM64" s="33">
        <v>100.3785</v>
      </c>
      <c r="DN64" s="33">
        <v>101.93470000000001</v>
      </c>
      <c r="DO64" s="33">
        <v>102.2503</v>
      </c>
      <c r="DP64" s="33">
        <v>100.4547</v>
      </c>
      <c r="DQ64" s="33">
        <v>100.4999</v>
      </c>
      <c r="DR64" s="104">
        <v>152675</v>
      </c>
      <c r="DS64" s="104">
        <v>28312.231261667541</v>
      </c>
      <c r="DT64" s="103" t="s">
        <v>243</v>
      </c>
      <c r="DU64">
        <v>124.67861938476563</v>
      </c>
      <c r="DV64">
        <v>113.42728424072266</v>
      </c>
      <c r="DW64">
        <v>1940</v>
      </c>
      <c r="DX64">
        <v>318275</v>
      </c>
      <c r="DY64" s="102">
        <f t="shared" si="12"/>
        <v>60.2</v>
      </c>
    </row>
    <row r="65" spans="1:129" x14ac:dyDescent="0.25">
      <c r="A65" s="1">
        <v>34700</v>
      </c>
      <c r="B65" s="33">
        <v>75.3</v>
      </c>
      <c r="C65" s="88">
        <v>4.9800000000000004</v>
      </c>
      <c r="D65" s="33">
        <v>4.5</v>
      </c>
      <c r="E65" s="72">
        <v>5.1100000000000003</v>
      </c>
      <c r="F65" s="33">
        <v>7.09</v>
      </c>
      <c r="G65" s="33">
        <v>7.55</v>
      </c>
      <c r="H65" s="33">
        <v>7.6</v>
      </c>
      <c r="I65" s="33">
        <f t="shared" si="0"/>
        <v>2.6199999999999992</v>
      </c>
      <c r="J65" s="33">
        <f t="shared" si="13"/>
        <v>3.0999999999999996</v>
      </c>
      <c r="K65" s="33">
        <f t="shared" si="14"/>
        <v>2.4899999999999993</v>
      </c>
      <c r="L65" s="33">
        <f t="shared" si="15"/>
        <v>-0.48000000000000043</v>
      </c>
      <c r="M65" s="33">
        <v>107.2</v>
      </c>
      <c r="N65" s="33">
        <v>2079.4499999999998</v>
      </c>
      <c r="O65" s="33">
        <v>16.61</v>
      </c>
      <c r="P65" s="87">
        <v>475.6</v>
      </c>
      <c r="Q65" s="34">
        <f t="shared" si="4"/>
        <v>6.5419532324621734</v>
      </c>
      <c r="R65" s="71">
        <v>928.70992400588023</v>
      </c>
      <c r="S65" s="34">
        <f t="shared" si="5"/>
        <v>1277.4551912047871</v>
      </c>
      <c r="T65" s="71">
        <v>980.84059732399851</v>
      </c>
      <c r="U65" s="34">
        <f t="shared" si="6"/>
        <v>1349.1617569793652</v>
      </c>
      <c r="V65" s="116">
        <v>542888</v>
      </c>
      <c r="W65" s="116">
        <v>1270347</v>
      </c>
      <c r="X65" s="117">
        <v>3158136</v>
      </c>
      <c r="Y65" s="117">
        <v>521495</v>
      </c>
      <c r="Z65" s="33">
        <v>69.900000000000006</v>
      </c>
      <c r="AA65" s="33">
        <v>53.7</v>
      </c>
      <c r="AB65" s="33">
        <v>77.7</v>
      </c>
      <c r="AC65" s="33">
        <v>46.4</v>
      </c>
      <c r="AD65" s="33">
        <v>37990</v>
      </c>
      <c r="AE65" s="33">
        <v>9.1999999999999993</v>
      </c>
      <c r="AF65" s="33">
        <v>259</v>
      </c>
      <c r="AG65" s="33">
        <v>70.3</v>
      </c>
      <c r="AH65" s="33">
        <v>72.7</v>
      </c>
      <c r="AI65" s="33">
        <v>77.5</v>
      </c>
      <c r="AJ65" s="33">
        <v>79.5</v>
      </c>
      <c r="AK65" s="33">
        <v>158.07909599999999</v>
      </c>
      <c r="AL65" s="33">
        <v>54</v>
      </c>
      <c r="AM65" s="123"/>
      <c r="AN65" s="123">
        <v>10.47596743304906</v>
      </c>
      <c r="AO65" s="123"/>
      <c r="AP65" s="33">
        <v>13.31</v>
      </c>
      <c r="AQ65" s="33">
        <f t="shared" si="7"/>
        <v>0.17174193548387098</v>
      </c>
      <c r="AR65" s="33">
        <v>96.2</v>
      </c>
      <c r="AS65" s="33">
        <v>103.8</v>
      </c>
      <c r="AT65" s="33">
        <v>89</v>
      </c>
      <c r="AU65" s="33">
        <v>99.4</v>
      </c>
      <c r="AV65" s="65">
        <v>107.6</v>
      </c>
      <c r="AW65" s="33">
        <v>91.9</v>
      </c>
      <c r="AX65" s="33">
        <v>16.899999999999999</v>
      </c>
      <c r="AY65" s="33">
        <v>27</v>
      </c>
      <c r="AZ65" s="33">
        <v>16.399999999999999</v>
      </c>
      <c r="BA65" s="33">
        <v>19.100000000000001</v>
      </c>
      <c r="BB65" s="33">
        <v>94.4</v>
      </c>
      <c r="BC65" s="33">
        <v>100.5</v>
      </c>
      <c r="BD65" s="33">
        <v>88.6</v>
      </c>
      <c r="BE65" s="33">
        <v>16</v>
      </c>
      <c r="BF65" s="33">
        <v>76.599999999999994</v>
      </c>
      <c r="BG65" s="33">
        <v>32</v>
      </c>
      <c r="BH65" s="33">
        <v>145.5</v>
      </c>
      <c r="BI65" s="33">
        <v>63.2</v>
      </c>
      <c r="BJ65" s="34" t="s">
        <v>243</v>
      </c>
      <c r="BK65" s="45">
        <v>-36.699333409559017</v>
      </c>
      <c r="BL65" s="45" t="s">
        <v>243</v>
      </c>
      <c r="BM65" s="33">
        <v>102.0782</v>
      </c>
      <c r="BN65" s="33">
        <v>101.7869</v>
      </c>
      <c r="BO65" s="33">
        <v>-18.3</v>
      </c>
      <c r="BP65" s="33">
        <v>-27.4</v>
      </c>
      <c r="BQ65" s="33">
        <v>4.2</v>
      </c>
      <c r="BR65" s="33">
        <v>16.8</v>
      </c>
      <c r="BS65" s="33">
        <v>18.899999999999999</v>
      </c>
      <c r="BT65" s="45" t="s">
        <v>243</v>
      </c>
      <c r="BU65" s="33">
        <v>-1.9</v>
      </c>
      <c r="BV65" s="33">
        <v>0</v>
      </c>
      <c r="BW65" s="33">
        <v>-8.9</v>
      </c>
      <c r="BX65" s="33">
        <v>-24.3</v>
      </c>
      <c r="BY65" s="33">
        <v>-28.8</v>
      </c>
      <c r="BZ65" s="33">
        <v>100.5</v>
      </c>
      <c r="CA65" s="33">
        <v>-8.9</v>
      </c>
      <c r="CB65" s="33">
        <v>-7.3</v>
      </c>
      <c r="CC65" s="33">
        <v>-4.2</v>
      </c>
      <c r="CD65" s="33">
        <v>-20.7</v>
      </c>
      <c r="CE65" s="33">
        <v>-11.6</v>
      </c>
      <c r="CF65" s="33">
        <v>26.8</v>
      </c>
      <c r="CG65" s="33">
        <v>47.4</v>
      </c>
      <c r="CH65" s="33">
        <v>23.6</v>
      </c>
      <c r="CI65" s="33">
        <v>-25.3</v>
      </c>
      <c r="CJ65" s="33">
        <v>-12.2</v>
      </c>
      <c r="CK65" s="33">
        <v>6.6</v>
      </c>
      <c r="CL65" s="33">
        <v>11.9</v>
      </c>
      <c r="CM65" s="33">
        <v>1306.873182</v>
      </c>
      <c r="CN65" s="33">
        <v>3834.44</v>
      </c>
      <c r="CO65" s="33">
        <v>464.978182</v>
      </c>
      <c r="CP65" s="33">
        <v>8.6880000000000006</v>
      </c>
      <c r="CQ65" s="33">
        <v>7.84</v>
      </c>
      <c r="CR65" s="33">
        <v>88.4</v>
      </c>
      <c r="CS65" s="121">
        <f t="shared" ref="CS65:CS128" si="16">+CS66+(CT65-CT64)</f>
        <v>26.25</v>
      </c>
      <c r="CT65" s="33">
        <v>111.8</v>
      </c>
      <c r="CU65" s="33">
        <v>102.6</v>
      </c>
      <c r="CV65" s="33">
        <v>157.1</v>
      </c>
      <c r="CW65" s="33">
        <v>93.8</v>
      </c>
      <c r="CX65" s="33"/>
      <c r="CY65" s="33">
        <v>2.36</v>
      </c>
      <c r="CZ65" s="33">
        <v>17430.844000000001</v>
      </c>
      <c r="DA65" s="33">
        <v>1.91</v>
      </c>
      <c r="DB65" s="33">
        <v>13.06</v>
      </c>
      <c r="DC65" s="33">
        <v>17.59</v>
      </c>
      <c r="DD65" s="33">
        <v>5.43</v>
      </c>
      <c r="DE65" s="33">
        <v>3567.2530000000002</v>
      </c>
      <c r="DF65" s="33">
        <v>628.96699999999998</v>
      </c>
      <c r="DG65" s="33">
        <v>365.24</v>
      </c>
      <c r="DH65" s="33">
        <v>725.05799999999999</v>
      </c>
      <c r="DI65" s="33">
        <v>359.303</v>
      </c>
      <c r="DJ65" s="33">
        <v>100.79349999999999</v>
      </c>
      <c r="DK65" s="33">
        <v>100.9723</v>
      </c>
      <c r="DL65" s="33">
        <v>100.41</v>
      </c>
      <c r="DM65" s="33">
        <v>100.526</v>
      </c>
      <c r="DN65" s="33">
        <v>101.7869</v>
      </c>
      <c r="DO65" s="33">
        <v>102.0782</v>
      </c>
      <c r="DP65" s="33">
        <v>100.221</v>
      </c>
      <c r="DQ65" s="33">
        <v>100.2428</v>
      </c>
      <c r="DR65" s="104">
        <v>154592</v>
      </c>
      <c r="DS65" s="104">
        <v>28090.550568225462</v>
      </c>
      <c r="DT65" s="103" t="s">
        <v>243</v>
      </c>
      <c r="DU65">
        <v>128.9957275390625</v>
      </c>
      <c r="DV65">
        <v>107.05697631835938</v>
      </c>
      <c r="DW65">
        <v>1965</v>
      </c>
      <c r="DX65">
        <v>301850</v>
      </c>
      <c r="DY65" s="102">
        <f t="shared" si="12"/>
        <v>60.3</v>
      </c>
    </row>
    <row r="66" spans="1:129" x14ac:dyDescent="0.25">
      <c r="A66" s="1">
        <v>34731</v>
      </c>
      <c r="B66" s="33">
        <v>77.7</v>
      </c>
      <c r="C66" s="88">
        <v>4.99</v>
      </c>
      <c r="D66" s="33">
        <v>4.5</v>
      </c>
      <c r="E66" s="72">
        <v>5.04</v>
      </c>
      <c r="F66" s="33">
        <v>6.89</v>
      </c>
      <c r="G66" s="33">
        <v>7.33</v>
      </c>
      <c r="H66" s="33">
        <v>7.42</v>
      </c>
      <c r="I66" s="33">
        <f t="shared" si="0"/>
        <v>2.4299999999999997</v>
      </c>
      <c r="J66" s="33">
        <f t="shared" si="13"/>
        <v>2.92</v>
      </c>
      <c r="K66" s="33">
        <f t="shared" si="14"/>
        <v>2.38</v>
      </c>
      <c r="L66" s="33">
        <f t="shared" si="15"/>
        <v>-0.49000000000000021</v>
      </c>
      <c r="M66" s="33">
        <v>108.5</v>
      </c>
      <c r="N66" s="33">
        <v>2048.4299999999998</v>
      </c>
      <c r="O66" s="33">
        <v>16.02</v>
      </c>
      <c r="P66" s="87">
        <v>477</v>
      </c>
      <c r="Q66" s="34">
        <f t="shared" si="4"/>
        <v>6.5432098765432096</v>
      </c>
      <c r="R66" s="71">
        <v>927.47037277260756</v>
      </c>
      <c r="S66" s="34">
        <f t="shared" si="5"/>
        <v>1272.2501684123558</v>
      </c>
      <c r="T66" s="71">
        <v>978.93549759140842</v>
      </c>
      <c r="U66" s="34">
        <f t="shared" si="6"/>
        <v>1342.8470474504916</v>
      </c>
      <c r="V66" s="116">
        <v>549391</v>
      </c>
      <c r="W66" s="116">
        <v>1279599</v>
      </c>
      <c r="X66" s="117">
        <v>3172336</v>
      </c>
      <c r="Y66" s="117">
        <v>528463</v>
      </c>
      <c r="Z66" s="33">
        <v>71.7</v>
      </c>
      <c r="AA66" s="33">
        <v>54.6</v>
      </c>
      <c r="AB66" s="33">
        <v>76.3</v>
      </c>
      <c r="AC66" s="33">
        <v>47.7</v>
      </c>
      <c r="AD66" s="33">
        <v>38000</v>
      </c>
      <c r="AE66" s="33">
        <v>9.1999999999999993</v>
      </c>
      <c r="AF66" s="33">
        <v>260</v>
      </c>
      <c r="AG66" s="33">
        <v>70.599999999999994</v>
      </c>
      <c r="AH66" s="33">
        <v>72.900000000000006</v>
      </c>
      <c r="AI66" s="33">
        <v>77.3</v>
      </c>
      <c r="AJ66" s="33">
        <v>79.5</v>
      </c>
      <c r="AK66" s="33">
        <v>158.43512999999999</v>
      </c>
      <c r="AL66" s="33">
        <v>54.2</v>
      </c>
      <c r="AM66" s="123"/>
      <c r="AN66" s="123">
        <v>10.563267161657805</v>
      </c>
      <c r="AO66" s="123"/>
      <c r="AP66" s="33">
        <v>13.62</v>
      </c>
      <c r="AQ66" s="33">
        <f t="shared" si="7"/>
        <v>0.1761966364812419</v>
      </c>
      <c r="AR66" s="33">
        <v>96.6</v>
      </c>
      <c r="AS66" s="33">
        <v>102.6</v>
      </c>
      <c r="AT66" s="33">
        <v>90.9</v>
      </c>
      <c r="AU66" s="33">
        <v>99.1</v>
      </c>
      <c r="AV66" s="65">
        <v>106.4</v>
      </c>
      <c r="AW66" s="33">
        <v>92.2</v>
      </c>
      <c r="AX66" s="33">
        <v>13.9</v>
      </c>
      <c r="AY66" s="33">
        <v>19.3</v>
      </c>
      <c r="AZ66" s="33">
        <v>18.600000000000001</v>
      </c>
      <c r="BA66" s="33">
        <v>17.2</v>
      </c>
      <c r="BB66" s="33">
        <v>94.6</v>
      </c>
      <c r="BC66" s="33">
        <v>98.1</v>
      </c>
      <c r="BD66" s="33">
        <v>91.1</v>
      </c>
      <c r="BE66" s="33">
        <v>18.600000000000001</v>
      </c>
      <c r="BF66" s="33">
        <v>67.3</v>
      </c>
      <c r="BG66" s="33">
        <v>26</v>
      </c>
      <c r="BH66" s="33">
        <v>149.1</v>
      </c>
      <c r="BI66" s="33">
        <v>48.5</v>
      </c>
      <c r="BJ66" s="34" t="s">
        <v>243</v>
      </c>
      <c r="BK66" s="45">
        <v>-42.96608132565629</v>
      </c>
      <c r="BL66" s="45" t="s">
        <v>243</v>
      </c>
      <c r="BM66" s="33">
        <v>101.84</v>
      </c>
      <c r="BN66" s="33">
        <v>101.5823</v>
      </c>
      <c r="BO66" s="33">
        <v>-14.4</v>
      </c>
      <c r="BP66" s="33">
        <v>-26.8</v>
      </c>
      <c r="BQ66" s="33">
        <v>4.0999999999999996</v>
      </c>
      <c r="BR66" s="33">
        <v>14.3</v>
      </c>
      <c r="BS66" s="33">
        <v>19.600000000000001</v>
      </c>
      <c r="BT66" s="45" t="s">
        <v>243</v>
      </c>
      <c r="BU66" s="33">
        <v>-1.4</v>
      </c>
      <c r="BV66" s="33">
        <v>0</v>
      </c>
      <c r="BW66" s="33">
        <v>-10.3</v>
      </c>
      <c r="BX66" s="33">
        <v>-22.1</v>
      </c>
      <c r="BY66" s="33">
        <v>-31.4</v>
      </c>
      <c r="BZ66" s="33">
        <v>99.8</v>
      </c>
      <c r="CA66" s="33">
        <v>-10.3</v>
      </c>
      <c r="CB66" s="33">
        <v>-10.9</v>
      </c>
      <c r="CC66" s="33">
        <v>-3.2</v>
      </c>
      <c r="CD66" s="33">
        <v>-20.9</v>
      </c>
      <c r="CE66" s="33">
        <v>-13.1</v>
      </c>
      <c r="CF66" s="33">
        <v>27.4</v>
      </c>
      <c r="CG66" s="33">
        <v>47</v>
      </c>
      <c r="CH66" s="33">
        <v>24</v>
      </c>
      <c r="CI66" s="33">
        <v>-24.4</v>
      </c>
      <c r="CJ66" s="33">
        <v>-14</v>
      </c>
      <c r="CK66" s="33">
        <v>4.8</v>
      </c>
      <c r="CL66" s="33">
        <v>10.8</v>
      </c>
      <c r="CM66" s="33">
        <v>1328.846</v>
      </c>
      <c r="CN66" s="33">
        <v>3847.56</v>
      </c>
      <c r="CO66" s="33">
        <v>481.92750000000001</v>
      </c>
      <c r="CP66" s="33">
        <v>8.5269999999999992</v>
      </c>
      <c r="CQ66" s="33">
        <v>7.66</v>
      </c>
      <c r="CR66" s="33">
        <v>85.9</v>
      </c>
      <c r="CS66" s="121">
        <f t="shared" si="16"/>
        <v>24.650000000000006</v>
      </c>
      <c r="CT66" s="33">
        <v>109.1</v>
      </c>
      <c r="CU66" s="33">
        <v>105.1</v>
      </c>
      <c r="CV66" s="33">
        <v>150.9</v>
      </c>
      <c r="CW66" s="33">
        <v>97</v>
      </c>
      <c r="CX66" s="33"/>
      <c r="CY66" s="33">
        <v>2.3199999999999998</v>
      </c>
      <c r="CZ66" s="33">
        <v>17446.228999999999</v>
      </c>
      <c r="DA66" s="33">
        <v>1.99</v>
      </c>
      <c r="DB66" s="33">
        <v>13.32</v>
      </c>
      <c r="DC66" s="33">
        <v>17.48</v>
      </c>
      <c r="DD66" s="33">
        <v>5.67</v>
      </c>
      <c r="DE66" s="33">
        <v>3745.2649999999999</v>
      </c>
      <c r="DF66" s="33">
        <v>682.43</v>
      </c>
      <c r="DG66" s="33">
        <v>368.65100000000001</v>
      </c>
      <c r="DH66" s="33">
        <v>803.77099999999996</v>
      </c>
      <c r="DI66" s="33">
        <v>378.42</v>
      </c>
      <c r="DJ66" s="33">
        <v>100.7809</v>
      </c>
      <c r="DK66" s="33">
        <v>100.9614</v>
      </c>
      <c r="DL66" s="33">
        <v>100.56</v>
      </c>
      <c r="DM66" s="33">
        <v>100.71429999999999</v>
      </c>
      <c r="DN66" s="33">
        <v>101.5823</v>
      </c>
      <c r="DO66" s="33">
        <v>101.84</v>
      </c>
      <c r="DP66" s="33">
        <v>99.932900000000004</v>
      </c>
      <c r="DQ66" s="33">
        <v>99.925799999999995</v>
      </c>
      <c r="DR66" s="104">
        <v>174339</v>
      </c>
      <c r="DS66" s="104">
        <v>28085.343241778133</v>
      </c>
      <c r="DT66" s="103" t="s">
        <v>243</v>
      </c>
      <c r="DU66">
        <v>132.6005859375</v>
      </c>
      <c r="DV66">
        <v>133.15922546386719</v>
      </c>
      <c r="DW66">
        <v>1966</v>
      </c>
      <c r="DX66">
        <v>309700</v>
      </c>
      <c r="DY66" s="102">
        <f t="shared" si="12"/>
        <v>57.8</v>
      </c>
    </row>
    <row r="67" spans="1:129" x14ac:dyDescent="0.25">
      <c r="A67" s="1">
        <v>34759</v>
      </c>
      <c r="B67" s="33">
        <v>76.599999999999994</v>
      </c>
      <c r="C67" s="88">
        <v>4.79</v>
      </c>
      <c r="D67" s="33">
        <v>4</v>
      </c>
      <c r="E67" s="72">
        <v>5.0200000000000005</v>
      </c>
      <c r="F67" s="33">
        <v>6.59</v>
      </c>
      <c r="G67" s="33">
        <v>7.12</v>
      </c>
      <c r="H67" s="33">
        <v>7.28</v>
      </c>
      <c r="I67" s="33">
        <f t="shared" si="0"/>
        <v>2.4900000000000002</v>
      </c>
      <c r="J67" s="33">
        <f t="shared" si="13"/>
        <v>3.2800000000000002</v>
      </c>
      <c r="K67" s="33">
        <f t="shared" si="14"/>
        <v>2.2599999999999998</v>
      </c>
      <c r="L67" s="33">
        <f t="shared" si="15"/>
        <v>-0.79</v>
      </c>
      <c r="M67" s="33">
        <v>111.9</v>
      </c>
      <c r="N67" s="33">
        <v>2126.15</v>
      </c>
      <c r="O67" s="33">
        <v>13.84</v>
      </c>
      <c r="P67" s="87">
        <v>471.1</v>
      </c>
      <c r="Q67" s="34">
        <f t="shared" si="4"/>
        <v>6.4445964432284546</v>
      </c>
      <c r="R67" s="71">
        <v>923.84706916765651</v>
      </c>
      <c r="S67" s="34">
        <f t="shared" si="5"/>
        <v>1263.8126801199132</v>
      </c>
      <c r="T67" s="71">
        <v>972.83917844712016</v>
      </c>
      <c r="U67" s="34">
        <f t="shared" si="6"/>
        <v>1330.8333494488647</v>
      </c>
      <c r="V67" s="116">
        <v>552403</v>
      </c>
      <c r="W67" s="116">
        <v>1279786</v>
      </c>
      <c r="X67" s="117">
        <v>3176992</v>
      </c>
      <c r="Y67" s="117">
        <v>521909</v>
      </c>
      <c r="Z67" s="33">
        <v>70.8</v>
      </c>
      <c r="AA67" s="33">
        <v>54.7</v>
      </c>
      <c r="AB67" s="33">
        <v>75.8</v>
      </c>
      <c r="AC67" s="33">
        <v>48.3</v>
      </c>
      <c r="AD67" s="33">
        <v>38021</v>
      </c>
      <c r="AE67" s="33">
        <v>9.1999999999999993</v>
      </c>
      <c r="AF67" s="33">
        <v>263</v>
      </c>
      <c r="AG67" s="33">
        <v>70.7</v>
      </c>
      <c r="AH67" s="33">
        <v>73.099999999999994</v>
      </c>
      <c r="AI67" s="33">
        <v>76.599999999999994</v>
      </c>
      <c r="AJ67" s="33">
        <v>79.3</v>
      </c>
      <c r="AK67" s="33">
        <v>158.613147</v>
      </c>
      <c r="AL67" s="33">
        <v>54.4</v>
      </c>
      <c r="AM67" s="123"/>
      <c r="AN67" s="123">
        <v>10.120826652268995</v>
      </c>
      <c r="AO67" s="123"/>
      <c r="AP67" s="33">
        <v>13.11</v>
      </c>
      <c r="AQ67" s="33">
        <f t="shared" si="7"/>
        <v>0.17114882506527415</v>
      </c>
      <c r="AR67" s="33">
        <v>93.8</v>
      </c>
      <c r="AS67" s="33">
        <v>100.1</v>
      </c>
      <c r="AT67" s="33">
        <v>88</v>
      </c>
      <c r="AU67" s="33">
        <v>96.8</v>
      </c>
      <c r="AV67" s="65">
        <v>103.3</v>
      </c>
      <c r="AW67" s="33">
        <v>90.8</v>
      </c>
      <c r="AX67" s="33">
        <v>11.3</v>
      </c>
      <c r="AY67" s="33">
        <v>19.3</v>
      </c>
      <c r="AZ67" s="33">
        <v>10.4</v>
      </c>
      <c r="BA67" s="33">
        <v>13.6</v>
      </c>
      <c r="BB67" s="33">
        <v>92.1</v>
      </c>
      <c r="BC67" s="33">
        <v>96.6</v>
      </c>
      <c r="BD67" s="33">
        <v>87.7</v>
      </c>
      <c r="BE67" s="33">
        <v>18.399999999999999</v>
      </c>
      <c r="BF67" s="33">
        <v>30.8</v>
      </c>
      <c r="BG67" s="33">
        <v>31.3</v>
      </c>
      <c r="BH67" s="33">
        <v>154.1</v>
      </c>
      <c r="BI67" s="33">
        <v>33.1</v>
      </c>
      <c r="BJ67" s="34" t="s">
        <v>243</v>
      </c>
      <c r="BK67" s="45">
        <v>-66.203371124301285</v>
      </c>
      <c r="BL67" s="45" t="s">
        <v>243</v>
      </c>
      <c r="BM67" s="33">
        <v>101.5669</v>
      </c>
      <c r="BN67" s="33">
        <v>101.3476</v>
      </c>
      <c r="BO67" s="33">
        <v>-16.8</v>
      </c>
      <c r="BP67" s="33">
        <v>-29.3</v>
      </c>
      <c r="BQ67" s="33">
        <v>2.5</v>
      </c>
      <c r="BR67" s="33">
        <v>12</v>
      </c>
      <c r="BS67" s="33">
        <v>17.399999999999999</v>
      </c>
      <c r="BT67" s="45" t="s">
        <v>243</v>
      </c>
      <c r="BU67" s="33">
        <v>-2.4</v>
      </c>
      <c r="BV67" s="33">
        <v>0</v>
      </c>
      <c r="BW67" s="33">
        <v>-8.3000000000000007</v>
      </c>
      <c r="BX67" s="33">
        <v>-26.9</v>
      </c>
      <c r="BY67" s="33">
        <v>-32.4</v>
      </c>
      <c r="BZ67" s="33">
        <v>100.3</v>
      </c>
      <c r="CA67" s="33">
        <v>-8.3000000000000007</v>
      </c>
      <c r="CB67" s="33">
        <v>-8.5</v>
      </c>
      <c r="CC67" s="33">
        <v>-0.5</v>
      </c>
      <c r="CD67" s="33">
        <v>-15.2</v>
      </c>
      <c r="CE67" s="33">
        <v>-12.1</v>
      </c>
      <c r="CF67" s="33">
        <v>23.8</v>
      </c>
      <c r="CG67" s="33">
        <v>47.7</v>
      </c>
      <c r="CH67" s="33">
        <v>23.4</v>
      </c>
      <c r="CI67" s="33">
        <v>-22.8</v>
      </c>
      <c r="CJ67" s="33">
        <v>-12.2</v>
      </c>
      <c r="CK67" s="33">
        <v>9.6999999999999993</v>
      </c>
      <c r="CL67" s="33">
        <v>10.5</v>
      </c>
      <c r="CM67" s="33">
        <v>1295.3839129999999</v>
      </c>
      <c r="CN67" s="33">
        <v>3994.8</v>
      </c>
      <c r="CO67" s="33">
        <v>493.15347800000001</v>
      </c>
      <c r="CP67" s="33">
        <v>8.5190000000000001</v>
      </c>
      <c r="CQ67" s="33">
        <v>7.23</v>
      </c>
      <c r="CR67" s="33">
        <v>79.8</v>
      </c>
      <c r="CS67" s="121">
        <f t="shared" si="16"/>
        <v>27.350000000000009</v>
      </c>
      <c r="CT67" s="33">
        <v>107.8</v>
      </c>
      <c r="CU67" s="33">
        <v>101.9</v>
      </c>
      <c r="CV67" s="33">
        <v>147.9</v>
      </c>
      <c r="CW67" s="33">
        <v>103.2</v>
      </c>
      <c r="CX67" s="33"/>
      <c r="CY67" s="33">
        <v>2.2799999999999998</v>
      </c>
      <c r="CZ67" s="33">
        <v>19271.055</v>
      </c>
      <c r="DA67" s="33">
        <v>1.9</v>
      </c>
      <c r="DB67" s="33">
        <v>13.82</v>
      </c>
      <c r="DC67" s="33">
        <v>17.53</v>
      </c>
      <c r="DD67" s="33">
        <v>5.44</v>
      </c>
      <c r="DE67" s="33">
        <v>4227.9579999999996</v>
      </c>
      <c r="DF67" s="33">
        <v>750.90499999999997</v>
      </c>
      <c r="DG67" s="33">
        <v>442.09199999999998</v>
      </c>
      <c r="DH67" s="33">
        <v>802.971</v>
      </c>
      <c r="DI67" s="33">
        <v>468.23899999999998</v>
      </c>
      <c r="DJ67" s="33">
        <v>100.76009999999999</v>
      </c>
      <c r="DK67" s="33">
        <v>100.94159999999999</v>
      </c>
      <c r="DL67" s="33">
        <v>100.7</v>
      </c>
      <c r="DM67" s="33">
        <v>100.8972</v>
      </c>
      <c r="DN67" s="33">
        <v>101.3476</v>
      </c>
      <c r="DO67" s="33">
        <v>101.5669</v>
      </c>
      <c r="DP67" s="33">
        <v>99.618600000000001</v>
      </c>
      <c r="DQ67" s="33">
        <v>99.580100000000002</v>
      </c>
      <c r="DR67" s="104">
        <v>173310</v>
      </c>
      <c r="DS67" s="104">
        <v>28118.075008018481</v>
      </c>
      <c r="DT67" s="103" t="s">
        <v>243</v>
      </c>
      <c r="DU67">
        <v>114.96804809570313</v>
      </c>
      <c r="DV67">
        <v>98.761924743652344</v>
      </c>
      <c r="DW67">
        <v>2044</v>
      </c>
      <c r="DX67">
        <v>280925</v>
      </c>
      <c r="DY67" s="102">
        <f t="shared" si="12"/>
        <v>60.2</v>
      </c>
    </row>
    <row r="68" spans="1:129" x14ac:dyDescent="0.25">
      <c r="A68" s="1">
        <v>34790</v>
      </c>
      <c r="B68" s="33">
        <v>77</v>
      </c>
      <c r="C68" s="88">
        <v>4.66</v>
      </c>
      <c r="D68" s="33">
        <v>4</v>
      </c>
      <c r="E68" s="72">
        <v>4.63</v>
      </c>
      <c r="F68" s="33">
        <v>6.17</v>
      </c>
      <c r="G68" s="33">
        <v>6.86</v>
      </c>
      <c r="H68" s="33">
        <v>7.09</v>
      </c>
      <c r="I68" s="33">
        <f t="shared" si="0"/>
        <v>2.4299999999999997</v>
      </c>
      <c r="J68" s="33">
        <f t="shared" si="13"/>
        <v>3.09</v>
      </c>
      <c r="K68" s="33">
        <f t="shared" si="14"/>
        <v>2.46</v>
      </c>
      <c r="L68" s="33">
        <f t="shared" si="15"/>
        <v>-0.66000000000000014</v>
      </c>
      <c r="M68" s="33">
        <v>111.8</v>
      </c>
      <c r="N68" s="33">
        <v>1930.82</v>
      </c>
      <c r="O68" s="33">
        <v>18.46</v>
      </c>
      <c r="P68" s="87">
        <v>476.5</v>
      </c>
      <c r="Q68" s="34">
        <f t="shared" si="4"/>
        <v>6.5184678522571824</v>
      </c>
      <c r="R68" s="71">
        <v>925.27732059066341</v>
      </c>
      <c r="S68" s="34">
        <f t="shared" si="5"/>
        <v>1265.7692484140402</v>
      </c>
      <c r="T68" s="71">
        <v>975.60157305937582</v>
      </c>
      <c r="U68" s="34">
        <f t="shared" si="6"/>
        <v>1334.6122750470258</v>
      </c>
      <c r="V68" s="116">
        <v>562303</v>
      </c>
      <c r="W68" s="116">
        <v>1280661</v>
      </c>
      <c r="X68" s="117">
        <v>3182541</v>
      </c>
      <c r="Y68" s="117">
        <v>527219</v>
      </c>
      <c r="Z68" s="33">
        <v>70.8</v>
      </c>
      <c r="AA68" s="33">
        <v>54</v>
      </c>
      <c r="AB68" s="33">
        <v>79.3</v>
      </c>
      <c r="AC68" s="33">
        <v>46.6</v>
      </c>
      <c r="AD68" s="33">
        <v>38064</v>
      </c>
      <c r="AE68" s="33">
        <v>9.3000000000000007</v>
      </c>
      <c r="AF68" s="33">
        <v>264</v>
      </c>
      <c r="AG68" s="33">
        <v>70.7</v>
      </c>
      <c r="AH68" s="33">
        <v>73.099999999999994</v>
      </c>
      <c r="AI68" s="33">
        <v>76.400000000000006</v>
      </c>
      <c r="AJ68" s="33">
        <v>79.2</v>
      </c>
      <c r="AK68" s="33">
        <v>158.96918099999999</v>
      </c>
      <c r="AL68" s="33">
        <v>55.4</v>
      </c>
      <c r="AM68" s="123"/>
      <c r="AN68" s="123">
        <v>10.734210085739845</v>
      </c>
      <c r="AO68" s="123"/>
      <c r="AP68" s="33">
        <v>14.08</v>
      </c>
      <c r="AQ68" s="33">
        <f t="shared" si="7"/>
        <v>0.18429319371727748</v>
      </c>
      <c r="AR68" s="33">
        <v>92.9</v>
      </c>
      <c r="AS68" s="33">
        <v>97</v>
      </c>
      <c r="AT68" s="33">
        <v>88.9</v>
      </c>
      <c r="AU68" s="33">
        <v>95.2</v>
      </c>
      <c r="AV68" s="65">
        <v>99.7</v>
      </c>
      <c r="AW68" s="33">
        <v>90.9</v>
      </c>
      <c r="AX68" s="33">
        <v>5.6</v>
      </c>
      <c r="AY68" s="33">
        <v>6.8</v>
      </c>
      <c r="AZ68" s="33">
        <v>8.5</v>
      </c>
      <c r="BA68" s="33">
        <v>13.3</v>
      </c>
      <c r="BB68" s="33">
        <v>90.5</v>
      </c>
      <c r="BC68" s="33">
        <v>93.8</v>
      </c>
      <c r="BD68" s="33">
        <v>87.4</v>
      </c>
      <c r="BE68" s="33">
        <v>17.600000000000001</v>
      </c>
      <c r="BF68" s="33">
        <v>11.1</v>
      </c>
      <c r="BG68" s="33">
        <v>36.299999999999997</v>
      </c>
      <c r="BH68" s="33">
        <v>162.30000000000001</v>
      </c>
      <c r="BI68" s="33">
        <v>9.4</v>
      </c>
      <c r="BJ68" s="34" t="s">
        <v>243</v>
      </c>
      <c r="BK68" s="45">
        <v>-61.253265822895713</v>
      </c>
      <c r="BL68" s="45" t="s">
        <v>243</v>
      </c>
      <c r="BM68" s="33">
        <v>101.28830000000001</v>
      </c>
      <c r="BN68" s="33">
        <v>101.1083</v>
      </c>
      <c r="BO68" s="33">
        <v>-17.899999999999999</v>
      </c>
      <c r="BP68" s="33">
        <v>-30.1</v>
      </c>
      <c r="BQ68" s="33">
        <v>6.1</v>
      </c>
      <c r="BR68" s="33">
        <v>6</v>
      </c>
      <c r="BS68" s="33">
        <v>12.2</v>
      </c>
      <c r="BT68" s="45" t="s">
        <v>243</v>
      </c>
      <c r="BU68" s="33">
        <v>-6</v>
      </c>
      <c r="BV68" s="33">
        <v>31.6</v>
      </c>
      <c r="BW68" s="33">
        <v>-8.5</v>
      </c>
      <c r="BX68" s="33">
        <v>-26.7</v>
      </c>
      <c r="BY68" s="33">
        <v>-37.9</v>
      </c>
      <c r="BZ68" s="33">
        <v>104.4</v>
      </c>
      <c r="CA68" s="33">
        <v>-8.5</v>
      </c>
      <c r="CB68" s="33">
        <v>-7.2</v>
      </c>
      <c r="CC68" s="33">
        <v>-1.1000000000000001</v>
      </c>
      <c r="CD68" s="33">
        <v>-15.9</v>
      </c>
      <c r="CE68" s="33">
        <v>-12.8</v>
      </c>
      <c r="CF68" s="33">
        <v>25.5</v>
      </c>
      <c r="CG68" s="33">
        <v>45.7</v>
      </c>
      <c r="CH68" s="33">
        <v>24.8</v>
      </c>
      <c r="CI68" s="33">
        <v>-24.7</v>
      </c>
      <c r="CJ68" s="33">
        <v>-13</v>
      </c>
      <c r="CK68" s="33">
        <v>4.7</v>
      </c>
      <c r="CL68" s="33">
        <v>11.1</v>
      </c>
      <c r="CM68" s="33">
        <v>1324.1224999999999</v>
      </c>
      <c r="CN68" s="33">
        <v>4168.41</v>
      </c>
      <c r="CO68" s="33">
        <v>507.97149999999999</v>
      </c>
      <c r="CP68" s="33">
        <v>8.4350000000000005</v>
      </c>
      <c r="CQ68" s="33">
        <v>7.14</v>
      </c>
      <c r="CR68" s="33">
        <v>83.8</v>
      </c>
      <c r="CS68" s="121">
        <f t="shared" si="16"/>
        <v>28.650000000000006</v>
      </c>
      <c r="CT68" s="33">
        <v>108</v>
      </c>
      <c r="CU68" s="33">
        <v>105.6</v>
      </c>
      <c r="CV68" s="33">
        <v>147.9</v>
      </c>
      <c r="CW68" s="33">
        <v>95.8</v>
      </c>
      <c r="CX68" s="33"/>
      <c r="CY68" s="33">
        <v>2.35</v>
      </c>
      <c r="CZ68" s="33">
        <v>16921.27</v>
      </c>
      <c r="DA68" s="33">
        <v>1.78</v>
      </c>
      <c r="DB68" s="33">
        <v>13.1</v>
      </c>
      <c r="DC68" s="33">
        <v>17</v>
      </c>
      <c r="DD68" s="33">
        <v>6.65</v>
      </c>
      <c r="DE68" s="33">
        <v>3379.1019999999999</v>
      </c>
      <c r="DF68" s="33">
        <v>587.01599999999996</v>
      </c>
      <c r="DG68" s="33">
        <v>359.62</v>
      </c>
      <c r="DH68" s="33">
        <v>695.49699999999996</v>
      </c>
      <c r="DI68" s="33">
        <v>316.43200000000002</v>
      </c>
      <c r="DJ68" s="33">
        <v>100.7454</v>
      </c>
      <c r="DK68" s="33">
        <v>100.93</v>
      </c>
      <c r="DL68" s="33">
        <v>100.83</v>
      </c>
      <c r="DM68" s="33">
        <v>101.0628</v>
      </c>
      <c r="DN68" s="33">
        <v>101.1083</v>
      </c>
      <c r="DO68" s="33">
        <v>101.28830000000001</v>
      </c>
      <c r="DP68" s="33">
        <v>99.3262</v>
      </c>
      <c r="DQ68" s="33">
        <v>99.258499999999998</v>
      </c>
      <c r="DR68" s="104">
        <v>162349</v>
      </c>
      <c r="DS68" s="104">
        <v>28139.648217585989</v>
      </c>
      <c r="DT68" s="103" t="s">
        <v>243</v>
      </c>
      <c r="DU68">
        <v>89.536834716796875</v>
      </c>
      <c r="DV68">
        <v>78.158233642578125</v>
      </c>
      <c r="DW68">
        <v>2197</v>
      </c>
      <c r="DX68">
        <v>235975</v>
      </c>
      <c r="DY68" s="102">
        <f t="shared" si="12"/>
        <v>59.099999999999994</v>
      </c>
    </row>
    <row r="69" spans="1:129" x14ac:dyDescent="0.25">
      <c r="A69" s="1">
        <v>34820</v>
      </c>
      <c r="B69" s="33">
        <v>77.5</v>
      </c>
      <c r="C69" s="88">
        <v>4.66</v>
      </c>
      <c r="D69" s="33">
        <v>4</v>
      </c>
      <c r="E69" s="72">
        <v>4.55</v>
      </c>
      <c r="F69" s="33">
        <v>5.86</v>
      </c>
      <c r="G69" s="33">
        <v>6.58</v>
      </c>
      <c r="H69" s="33">
        <v>6.86</v>
      </c>
      <c r="I69" s="33">
        <f t="shared" si="0"/>
        <v>2.2000000000000002</v>
      </c>
      <c r="J69" s="33">
        <f t="shared" si="13"/>
        <v>2.8600000000000003</v>
      </c>
      <c r="K69" s="33">
        <f t="shared" si="14"/>
        <v>2.3100000000000005</v>
      </c>
      <c r="L69" s="33">
        <f t="shared" si="15"/>
        <v>-0.66000000000000014</v>
      </c>
      <c r="M69" s="33">
        <v>110.6</v>
      </c>
      <c r="N69" s="33">
        <v>2015.94</v>
      </c>
      <c r="O69" s="33">
        <v>14.19</v>
      </c>
      <c r="P69" s="87">
        <v>486.3</v>
      </c>
      <c r="Q69" s="34">
        <f t="shared" si="4"/>
        <v>6.6434426229508192</v>
      </c>
      <c r="R69" s="71">
        <v>933.09602836976831</v>
      </c>
      <c r="S69" s="34">
        <f t="shared" si="5"/>
        <v>1274.7213502319239</v>
      </c>
      <c r="T69" s="71">
        <v>983.793501909513</v>
      </c>
      <c r="U69" s="34">
        <f t="shared" si="6"/>
        <v>1343.9801938654548</v>
      </c>
      <c r="V69" s="116">
        <v>561008</v>
      </c>
      <c r="W69" s="116">
        <v>1288668</v>
      </c>
      <c r="X69" s="117">
        <v>3197971</v>
      </c>
      <c r="Y69" s="117">
        <v>532418</v>
      </c>
      <c r="Z69" s="33">
        <v>71.2</v>
      </c>
      <c r="AA69" s="33">
        <v>55.1</v>
      </c>
      <c r="AB69" s="33">
        <v>78.7</v>
      </c>
      <c r="AC69" s="33">
        <v>49.7</v>
      </c>
      <c r="AD69" s="33">
        <v>38008</v>
      </c>
      <c r="AE69" s="33">
        <v>9.3000000000000007</v>
      </c>
      <c r="AF69" s="33">
        <v>265</v>
      </c>
      <c r="AG69" s="33">
        <v>70.900000000000006</v>
      </c>
      <c r="AH69" s="33">
        <v>73.2</v>
      </c>
      <c r="AI69" s="33">
        <v>76.400000000000006</v>
      </c>
      <c r="AJ69" s="33">
        <v>79.3</v>
      </c>
      <c r="AK69" s="33">
        <v>158.96918099999999</v>
      </c>
      <c r="AL69" s="33">
        <v>55.4</v>
      </c>
      <c r="AM69" s="123"/>
      <c r="AN69" s="123">
        <v>10.911147614625666</v>
      </c>
      <c r="AO69" s="123"/>
      <c r="AP69" s="33">
        <v>14.1</v>
      </c>
      <c r="AQ69" s="33">
        <f t="shared" si="7"/>
        <v>0.18455497382198952</v>
      </c>
      <c r="AR69" s="33">
        <v>92.5</v>
      </c>
      <c r="AS69" s="33">
        <v>97.5</v>
      </c>
      <c r="AT69" s="33">
        <v>87.7</v>
      </c>
      <c r="AU69" s="33">
        <v>94.7</v>
      </c>
      <c r="AV69" s="65">
        <v>99.5</v>
      </c>
      <c r="AW69" s="33">
        <v>90.1</v>
      </c>
      <c r="AX69" s="33">
        <v>4</v>
      </c>
      <c r="AY69" s="33">
        <v>8.3000000000000007</v>
      </c>
      <c r="AZ69" s="33">
        <v>6.5</v>
      </c>
      <c r="BA69" s="33">
        <v>8.9</v>
      </c>
      <c r="BB69" s="33">
        <v>90</v>
      </c>
      <c r="BC69" s="33">
        <v>94</v>
      </c>
      <c r="BD69" s="33">
        <v>86.1</v>
      </c>
      <c r="BE69" s="33">
        <v>13.2</v>
      </c>
      <c r="BF69" s="33">
        <v>11.5</v>
      </c>
      <c r="BG69" s="33">
        <v>28.3</v>
      </c>
      <c r="BH69" s="33">
        <v>161.80000000000001</v>
      </c>
      <c r="BI69" s="33">
        <v>4.4000000000000004</v>
      </c>
      <c r="BJ69" s="34" t="s">
        <v>243</v>
      </c>
      <c r="BK69" s="45">
        <v>-88.689910237030873</v>
      </c>
      <c r="BL69" s="45" t="s">
        <v>243</v>
      </c>
      <c r="BM69" s="33">
        <v>101.08629999999999</v>
      </c>
      <c r="BN69" s="33">
        <v>100.9348</v>
      </c>
      <c r="BO69" s="33">
        <v>-15.6</v>
      </c>
      <c r="BP69" s="33">
        <v>-29.3</v>
      </c>
      <c r="BQ69" s="33">
        <v>6.6</v>
      </c>
      <c r="BR69" s="33">
        <v>5.7</v>
      </c>
      <c r="BS69" s="33">
        <v>11.6</v>
      </c>
      <c r="BT69" s="45" t="s">
        <v>243</v>
      </c>
      <c r="BU69" s="33">
        <v>-5.5</v>
      </c>
      <c r="BV69" s="33">
        <v>31.8</v>
      </c>
      <c r="BW69" s="33">
        <v>-8.6</v>
      </c>
      <c r="BX69" s="33">
        <v>-24.3</v>
      </c>
      <c r="BY69" s="33">
        <v>-38.6</v>
      </c>
      <c r="BZ69" s="33">
        <v>104.6</v>
      </c>
      <c r="CA69" s="33">
        <v>-8.6</v>
      </c>
      <c r="CB69" s="33">
        <v>-7</v>
      </c>
      <c r="CC69" s="33">
        <v>0.4</v>
      </c>
      <c r="CD69" s="33">
        <v>-19.8</v>
      </c>
      <c r="CE69" s="33">
        <v>-14</v>
      </c>
      <c r="CF69" s="33">
        <v>24.1</v>
      </c>
      <c r="CG69" s="33">
        <v>44.4</v>
      </c>
      <c r="CH69" s="33">
        <v>27.4</v>
      </c>
      <c r="CI69" s="33">
        <v>-24.4</v>
      </c>
      <c r="CJ69" s="33">
        <v>-13.8</v>
      </c>
      <c r="CK69" s="33">
        <v>7.8</v>
      </c>
      <c r="CL69" s="33">
        <v>11.2</v>
      </c>
      <c r="CM69" s="33">
        <v>1379.0234780000001</v>
      </c>
      <c r="CN69" s="33">
        <v>4316.08</v>
      </c>
      <c r="CO69" s="33">
        <v>523.80608700000005</v>
      </c>
      <c r="CP69" s="33">
        <v>8.4510000000000005</v>
      </c>
      <c r="CQ69" s="33">
        <v>7.09</v>
      </c>
      <c r="CR69" s="33">
        <v>80.099999999999994</v>
      </c>
      <c r="CS69" s="121">
        <f t="shared" si="16"/>
        <v>28.450000000000003</v>
      </c>
      <c r="CT69" s="33">
        <v>108.5</v>
      </c>
      <c r="CU69" s="33">
        <v>98.9</v>
      </c>
      <c r="CV69" s="33">
        <v>142.69999999999999</v>
      </c>
      <c r="CW69" s="33">
        <v>98.9</v>
      </c>
      <c r="CX69" s="33"/>
      <c r="CY69" s="33">
        <v>2.39</v>
      </c>
      <c r="CZ69" s="33">
        <v>18363.812999999998</v>
      </c>
      <c r="DA69" s="33">
        <v>1.92</v>
      </c>
      <c r="DB69" s="33">
        <v>13</v>
      </c>
      <c r="DC69" s="33">
        <v>17.87</v>
      </c>
      <c r="DD69" s="33">
        <v>5.44</v>
      </c>
      <c r="DE69" s="33">
        <v>4088.9450000000002</v>
      </c>
      <c r="DF69" s="33">
        <v>635.53</v>
      </c>
      <c r="DG69" s="33">
        <v>429.209</v>
      </c>
      <c r="DH69" s="33">
        <v>735.89300000000003</v>
      </c>
      <c r="DI69" s="33">
        <v>513.85699999999997</v>
      </c>
      <c r="DJ69" s="33">
        <v>100.74339999999999</v>
      </c>
      <c r="DK69" s="33">
        <v>100.93429999999999</v>
      </c>
      <c r="DL69" s="33">
        <v>100.94</v>
      </c>
      <c r="DM69" s="33">
        <v>101.20310000000001</v>
      </c>
      <c r="DN69" s="33">
        <v>100.9348</v>
      </c>
      <c r="DO69" s="33">
        <v>101.08629999999999</v>
      </c>
      <c r="DP69" s="33">
        <v>99.095200000000006</v>
      </c>
      <c r="DQ69" s="33">
        <v>99.004400000000004</v>
      </c>
      <c r="DR69" s="104">
        <v>166144</v>
      </c>
      <c r="DS69" s="104">
        <v>28097.245702229167</v>
      </c>
      <c r="DT69" s="103" t="s">
        <v>243</v>
      </c>
      <c r="DU69">
        <v>72.16571044921875</v>
      </c>
      <c r="DV69">
        <v>57.678234100341797</v>
      </c>
      <c r="DW69">
        <v>2352</v>
      </c>
      <c r="DX69">
        <v>204425</v>
      </c>
      <c r="DY69" s="102">
        <f t="shared" si="12"/>
        <v>59.5</v>
      </c>
    </row>
    <row r="70" spans="1:129" x14ac:dyDescent="0.25">
      <c r="A70" s="1">
        <v>34851</v>
      </c>
      <c r="B70" s="33">
        <v>76.599999999999994</v>
      </c>
      <c r="C70" s="88">
        <v>4.55</v>
      </c>
      <c r="D70" s="33">
        <v>4</v>
      </c>
      <c r="E70" s="72">
        <v>4.4800000000000004</v>
      </c>
      <c r="F70" s="33">
        <v>5.69</v>
      </c>
      <c r="G70" s="33">
        <v>6.53</v>
      </c>
      <c r="H70" s="33">
        <v>6.78</v>
      </c>
      <c r="I70" s="33">
        <f t="shared" ref="I70:I133" si="17">H70-C70</f>
        <v>2.2300000000000004</v>
      </c>
      <c r="J70" s="33">
        <f>H70-D70</f>
        <v>2.7800000000000002</v>
      </c>
      <c r="K70" s="33">
        <f>H70-E70</f>
        <v>2.2999999999999998</v>
      </c>
      <c r="L70" s="33">
        <f>D70-C70</f>
        <v>-0.54999999999999982</v>
      </c>
      <c r="M70" s="33">
        <v>110.4</v>
      </c>
      <c r="N70" s="33">
        <v>2126.38</v>
      </c>
      <c r="O70" s="33">
        <v>14.21</v>
      </c>
      <c r="P70" s="87">
        <v>485.20000000000005</v>
      </c>
      <c r="Q70" s="34">
        <f t="shared" si="4"/>
        <v>6.6193724420191007</v>
      </c>
      <c r="R70" s="71">
        <v>933.85882912870545</v>
      </c>
      <c r="S70" s="34">
        <f t="shared" si="5"/>
        <v>1274.0229592478929</v>
      </c>
      <c r="T70" s="71">
        <v>987.50844638806382</v>
      </c>
      <c r="U70" s="34">
        <f t="shared" si="6"/>
        <v>1347.2147972552032</v>
      </c>
      <c r="V70" s="116">
        <v>567407</v>
      </c>
      <c r="W70" s="116">
        <v>1291901</v>
      </c>
      <c r="X70" s="117">
        <v>3212302</v>
      </c>
      <c r="Y70" s="117">
        <v>539875</v>
      </c>
      <c r="Z70" s="33">
        <v>70.7</v>
      </c>
      <c r="AA70" s="33">
        <v>53.2</v>
      </c>
      <c r="AB70" s="33">
        <v>77.900000000000006</v>
      </c>
      <c r="AC70" s="33">
        <v>46.4</v>
      </c>
      <c r="AD70" s="33">
        <v>38021</v>
      </c>
      <c r="AE70" s="33">
        <v>9.4</v>
      </c>
      <c r="AF70" s="33">
        <v>262</v>
      </c>
      <c r="AG70" s="33">
        <v>71</v>
      </c>
      <c r="AH70" s="33">
        <v>73.3</v>
      </c>
      <c r="AI70" s="33">
        <v>76.3</v>
      </c>
      <c r="AJ70" s="33">
        <v>79.400000000000006</v>
      </c>
      <c r="AK70" s="33">
        <v>158.96918099999999</v>
      </c>
      <c r="AL70" s="33">
        <v>55.4</v>
      </c>
      <c r="AM70" s="123"/>
      <c r="AN70" s="123">
        <v>10.256478757748127</v>
      </c>
      <c r="AO70" s="123"/>
      <c r="AP70" s="33">
        <v>12.99</v>
      </c>
      <c r="AQ70" s="33">
        <f t="shared" si="7"/>
        <v>0.17024901703800788</v>
      </c>
      <c r="AR70" s="33">
        <v>91.1</v>
      </c>
      <c r="AS70" s="33">
        <v>95.6</v>
      </c>
      <c r="AT70" s="33">
        <v>86.8</v>
      </c>
      <c r="AU70" s="33">
        <v>93.5</v>
      </c>
      <c r="AV70" s="65">
        <v>97.8</v>
      </c>
      <c r="AW70" s="33">
        <v>89.4</v>
      </c>
      <c r="AX70" s="33">
        <v>4.7</v>
      </c>
      <c r="AY70" s="33">
        <v>6.9</v>
      </c>
      <c r="AZ70" s="33">
        <v>2.7</v>
      </c>
      <c r="BA70" s="33">
        <v>5.6</v>
      </c>
      <c r="BB70" s="33">
        <v>88.2</v>
      </c>
      <c r="BC70" s="33">
        <v>90.8</v>
      </c>
      <c r="BD70" s="33">
        <v>85.7</v>
      </c>
      <c r="BE70" s="33">
        <v>8.6999999999999993</v>
      </c>
      <c r="BF70" s="33">
        <v>6</v>
      </c>
      <c r="BG70" s="33">
        <v>24.8</v>
      </c>
      <c r="BH70" s="33">
        <v>163.30000000000001</v>
      </c>
      <c r="BI70" s="33">
        <v>3.7</v>
      </c>
      <c r="BJ70" s="34" t="s">
        <v>243</v>
      </c>
      <c r="BK70" s="45">
        <v>-87.824976265680093</v>
      </c>
      <c r="BL70" s="45" t="s">
        <v>243</v>
      </c>
      <c r="BM70" s="33">
        <v>100.8946</v>
      </c>
      <c r="BN70" s="33">
        <v>100.77</v>
      </c>
      <c r="BO70" s="33">
        <v>-18.100000000000001</v>
      </c>
      <c r="BP70" s="33">
        <v>-30.2</v>
      </c>
      <c r="BQ70" s="33">
        <v>7</v>
      </c>
      <c r="BR70" s="33">
        <v>4.3</v>
      </c>
      <c r="BS70" s="33">
        <v>10.4</v>
      </c>
      <c r="BT70" s="45" t="s">
        <v>243</v>
      </c>
      <c r="BU70" s="33">
        <v>-7</v>
      </c>
      <c r="BV70" s="33">
        <v>31.8</v>
      </c>
      <c r="BW70" s="33">
        <v>-8.1999999999999993</v>
      </c>
      <c r="BX70" s="33">
        <v>-25.1</v>
      </c>
      <c r="BY70" s="33">
        <v>-40</v>
      </c>
      <c r="BZ70" s="33">
        <v>104.3</v>
      </c>
      <c r="CA70" s="33">
        <v>-8.1999999999999993</v>
      </c>
      <c r="CB70" s="33">
        <v>-5.3</v>
      </c>
      <c r="CC70" s="33">
        <v>1.6</v>
      </c>
      <c r="CD70" s="33">
        <v>-21.3</v>
      </c>
      <c r="CE70" s="33">
        <v>-16</v>
      </c>
      <c r="CF70" s="33">
        <v>23.2</v>
      </c>
      <c r="CG70" s="33">
        <v>44.7</v>
      </c>
      <c r="CH70" s="33">
        <v>30.4</v>
      </c>
      <c r="CI70" s="33">
        <v>-22.9</v>
      </c>
      <c r="CJ70" s="33">
        <v>-13</v>
      </c>
      <c r="CK70" s="33">
        <v>10.7</v>
      </c>
      <c r="CL70" s="33">
        <v>12.3</v>
      </c>
      <c r="CM70" s="33">
        <v>1383.5204550000001</v>
      </c>
      <c r="CN70" s="33">
        <v>4472.75</v>
      </c>
      <c r="CO70" s="33">
        <v>539.35409100000004</v>
      </c>
      <c r="CP70" s="33">
        <v>7.827</v>
      </c>
      <c r="CQ70" s="33">
        <v>6.2</v>
      </c>
      <c r="CR70" s="33">
        <v>84.1</v>
      </c>
      <c r="CS70" s="121">
        <f t="shared" si="16"/>
        <v>27.950000000000003</v>
      </c>
      <c r="CT70" s="33">
        <v>105.1</v>
      </c>
      <c r="CU70" s="33">
        <v>94.4</v>
      </c>
      <c r="CV70" s="33">
        <v>149.80000000000001</v>
      </c>
      <c r="CW70" s="33">
        <v>83.9</v>
      </c>
      <c r="CX70" s="33"/>
      <c r="CY70" s="33">
        <v>2.3199999999999998</v>
      </c>
      <c r="CZ70" s="33">
        <v>19525.284</v>
      </c>
      <c r="DA70" s="33">
        <v>1.83</v>
      </c>
      <c r="DB70" s="33">
        <v>13.83</v>
      </c>
      <c r="DC70" s="33">
        <v>18.649999999999999</v>
      </c>
      <c r="DD70" s="33">
        <v>5.63</v>
      </c>
      <c r="DE70" s="33">
        <v>3892.05</v>
      </c>
      <c r="DF70" s="33">
        <v>611.44000000000005</v>
      </c>
      <c r="DG70" s="33">
        <v>462.27699999999999</v>
      </c>
      <c r="DH70" s="33">
        <v>803.24699999999996</v>
      </c>
      <c r="DI70" s="33">
        <v>368.28</v>
      </c>
      <c r="DJ70" s="33">
        <v>100.7688</v>
      </c>
      <c r="DK70" s="33">
        <v>100.9697</v>
      </c>
      <c r="DL70" s="33">
        <v>101.04</v>
      </c>
      <c r="DM70" s="33">
        <v>101.3202</v>
      </c>
      <c r="DN70" s="33">
        <v>100.77</v>
      </c>
      <c r="DO70" s="33">
        <v>100.8946</v>
      </c>
      <c r="DP70" s="33">
        <v>98.941199999999995</v>
      </c>
      <c r="DQ70" s="33">
        <v>98.834999999999994</v>
      </c>
      <c r="DR70" s="104">
        <v>153791</v>
      </c>
      <c r="DS70" s="104">
        <v>28108.404258902014</v>
      </c>
      <c r="DT70" s="103" t="s">
        <v>243</v>
      </c>
      <c r="DU70">
        <v>82.426445007324219</v>
      </c>
      <c r="DV70">
        <v>79.876220703125</v>
      </c>
      <c r="DW70">
        <v>2081</v>
      </c>
      <c r="DX70">
        <v>206325</v>
      </c>
      <c r="DY70" s="102">
        <f t="shared" si="12"/>
        <v>60</v>
      </c>
    </row>
    <row r="71" spans="1:129" x14ac:dyDescent="0.25">
      <c r="A71" s="1">
        <v>34881</v>
      </c>
      <c r="B71" s="33">
        <v>76.400000000000006</v>
      </c>
      <c r="C71" s="88">
        <v>4.57</v>
      </c>
      <c r="D71" s="33">
        <v>4</v>
      </c>
      <c r="E71" s="72">
        <v>4.51</v>
      </c>
      <c r="F71" s="33">
        <v>5.8</v>
      </c>
      <c r="G71" s="33">
        <v>6.62</v>
      </c>
      <c r="H71" s="33">
        <v>6.86</v>
      </c>
      <c r="I71" s="33">
        <f t="shared" si="17"/>
        <v>2.29</v>
      </c>
      <c r="J71" s="33">
        <f t="shared" ref="J71:J134" si="18">H71-D71</f>
        <v>2.8600000000000003</v>
      </c>
      <c r="K71" s="33">
        <f t="shared" ref="K71:K134" si="19">H71-E71</f>
        <v>2.3500000000000005</v>
      </c>
      <c r="L71" s="33">
        <f t="shared" ref="L71:L134" si="20">D71-C71</f>
        <v>-0.57000000000000028</v>
      </c>
      <c r="M71" s="33">
        <v>110.5</v>
      </c>
      <c r="N71" s="33">
        <v>2092.2600000000002</v>
      </c>
      <c r="O71" s="33">
        <v>14.2</v>
      </c>
      <c r="P71" s="87">
        <v>489.1</v>
      </c>
      <c r="Q71" s="34">
        <f t="shared" si="4"/>
        <v>6.6544217687074836</v>
      </c>
      <c r="R71" s="71">
        <v>937.00538225932087</v>
      </c>
      <c r="S71" s="34">
        <f t="shared" si="5"/>
        <v>1274.8372547745862</v>
      </c>
      <c r="T71" s="71">
        <v>981.12636228388703</v>
      </c>
      <c r="U71" s="34">
        <f t="shared" si="6"/>
        <v>1334.8657990256968</v>
      </c>
      <c r="V71" s="116">
        <v>571065</v>
      </c>
      <c r="W71" s="116">
        <v>1295406</v>
      </c>
      <c r="X71" s="117">
        <v>3220407</v>
      </c>
      <c r="Y71" s="117">
        <v>537994</v>
      </c>
      <c r="Z71" s="33">
        <v>69.7</v>
      </c>
      <c r="AA71" s="33">
        <v>54.9</v>
      </c>
      <c r="AB71" s="33">
        <v>78.099999999999994</v>
      </c>
      <c r="AC71" s="33">
        <v>49.9</v>
      </c>
      <c r="AD71" s="33">
        <v>38037</v>
      </c>
      <c r="AE71" s="33">
        <v>9.4</v>
      </c>
      <c r="AF71" s="33">
        <v>263</v>
      </c>
      <c r="AG71" s="33">
        <v>71</v>
      </c>
      <c r="AH71" s="33">
        <v>73.5</v>
      </c>
      <c r="AI71" s="33">
        <v>76.099999999999994</v>
      </c>
      <c r="AJ71" s="33">
        <v>79.5</v>
      </c>
      <c r="AK71" s="33">
        <v>158.79116400000001</v>
      </c>
      <c r="AL71" s="33">
        <v>75.099999999999994</v>
      </c>
      <c r="AM71" s="123"/>
      <c r="AN71" s="123">
        <v>9.6018099008705846</v>
      </c>
      <c r="AO71" s="123"/>
      <c r="AP71" s="33">
        <v>11.88</v>
      </c>
      <c r="AQ71" s="33">
        <f t="shared" si="7"/>
        <v>0.15611038107752959</v>
      </c>
      <c r="AR71" s="33">
        <v>90</v>
      </c>
      <c r="AS71" s="33">
        <v>94.3</v>
      </c>
      <c r="AT71" s="33">
        <v>85.8</v>
      </c>
      <c r="AU71" s="33">
        <v>92.7</v>
      </c>
      <c r="AV71" s="65">
        <v>96.5</v>
      </c>
      <c r="AW71" s="33">
        <v>89</v>
      </c>
      <c r="AX71" s="33">
        <v>5.0999999999999996</v>
      </c>
      <c r="AY71" s="33">
        <v>5.4</v>
      </c>
      <c r="AZ71" s="33">
        <v>2</v>
      </c>
      <c r="BA71" s="33">
        <v>2.7</v>
      </c>
      <c r="BB71" s="33">
        <v>85.9</v>
      </c>
      <c r="BC71" s="33">
        <v>89.4</v>
      </c>
      <c r="BD71" s="33">
        <v>82.7</v>
      </c>
      <c r="BE71" s="33">
        <v>8.3000000000000007</v>
      </c>
      <c r="BF71" s="33">
        <v>9.8000000000000007</v>
      </c>
      <c r="BG71" s="33">
        <v>22.2</v>
      </c>
      <c r="BH71" s="33">
        <v>165</v>
      </c>
      <c r="BI71" s="33">
        <v>1.1000000000000001</v>
      </c>
      <c r="BJ71" s="34" t="s">
        <v>243</v>
      </c>
      <c r="BK71" s="45">
        <v>-60.363427439664946</v>
      </c>
      <c r="BL71" s="45" t="s">
        <v>243</v>
      </c>
      <c r="BM71" s="33">
        <v>100.71259999999999</v>
      </c>
      <c r="BN71" s="33">
        <v>100.61369999999999</v>
      </c>
      <c r="BO71" s="33">
        <v>-21.7</v>
      </c>
      <c r="BP71" s="33">
        <v>-29.9</v>
      </c>
      <c r="BQ71" s="33">
        <v>8.1</v>
      </c>
      <c r="BR71" s="33">
        <v>2.1</v>
      </c>
      <c r="BS71" s="33">
        <v>8.1</v>
      </c>
      <c r="BT71" s="45" t="s">
        <v>243</v>
      </c>
      <c r="BU71" s="33">
        <v>-9.1999999999999993</v>
      </c>
      <c r="BV71" s="33">
        <v>34.200000000000003</v>
      </c>
      <c r="BW71" s="33">
        <v>-7.8</v>
      </c>
      <c r="BX71" s="33">
        <v>-25.4</v>
      </c>
      <c r="BY71" s="33">
        <v>-42</v>
      </c>
      <c r="BZ71" s="33">
        <v>104.4</v>
      </c>
      <c r="CA71" s="33">
        <v>-7.8</v>
      </c>
      <c r="CB71" s="33">
        <v>-5.5</v>
      </c>
      <c r="CC71" s="33">
        <v>1.6</v>
      </c>
      <c r="CD71" s="33">
        <v>-20.399999999999999</v>
      </c>
      <c r="CE71" s="33">
        <v>-16.7</v>
      </c>
      <c r="CF71" s="33">
        <v>24.1</v>
      </c>
      <c r="CG71" s="33">
        <v>45.7</v>
      </c>
      <c r="CH71" s="33">
        <v>33.1</v>
      </c>
      <c r="CI71" s="33">
        <v>-20.2</v>
      </c>
      <c r="CJ71" s="33">
        <v>-10.4</v>
      </c>
      <c r="CK71" s="33">
        <v>9.4</v>
      </c>
      <c r="CL71" s="33">
        <v>12.6</v>
      </c>
      <c r="CM71" s="33">
        <v>1420.5676189999999</v>
      </c>
      <c r="CN71" s="33">
        <v>4585.1400000000003</v>
      </c>
      <c r="CO71" s="33">
        <v>556.876667</v>
      </c>
      <c r="CP71" s="33">
        <v>8.4369999999999994</v>
      </c>
      <c r="CQ71" s="33">
        <v>6.21</v>
      </c>
      <c r="CR71" s="33">
        <v>87.4</v>
      </c>
      <c r="CS71" s="121">
        <f t="shared" si="16"/>
        <v>31.350000000000009</v>
      </c>
      <c r="CT71" s="33">
        <v>103.4</v>
      </c>
      <c r="CU71" s="33">
        <v>96.7</v>
      </c>
      <c r="CV71" s="33">
        <v>149.4</v>
      </c>
      <c r="CW71" s="33">
        <v>90.4</v>
      </c>
      <c r="CX71" s="33"/>
      <c r="CY71" s="33">
        <v>2.25</v>
      </c>
      <c r="CZ71" s="33">
        <v>16474.984</v>
      </c>
      <c r="DA71" s="33">
        <v>1.83</v>
      </c>
      <c r="DB71" s="33">
        <v>13.32</v>
      </c>
      <c r="DC71" s="33">
        <v>17.39</v>
      </c>
      <c r="DD71" s="33">
        <v>5.65</v>
      </c>
      <c r="DE71" s="33">
        <v>4063.7159999999999</v>
      </c>
      <c r="DF71" s="33">
        <v>633.58699999999999</v>
      </c>
      <c r="DG71" s="33">
        <v>403.90199999999999</v>
      </c>
      <c r="DH71" s="33">
        <v>806.10299999999995</v>
      </c>
      <c r="DI71" s="33">
        <v>451.714</v>
      </c>
      <c r="DJ71" s="33">
        <v>100.8318</v>
      </c>
      <c r="DK71" s="33">
        <v>101.0472</v>
      </c>
      <c r="DL71" s="33">
        <v>101.12</v>
      </c>
      <c r="DM71" s="33">
        <v>101.4258</v>
      </c>
      <c r="DN71" s="33">
        <v>100.61369999999999</v>
      </c>
      <c r="DO71" s="33">
        <v>100.71259999999999</v>
      </c>
      <c r="DP71" s="33">
        <v>98.852400000000003</v>
      </c>
      <c r="DQ71" s="33">
        <v>98.737300000000005</v>
      </c>
      <c r="DR71" s="104">
        <v>113115</v>
      </c>
      <c r="DS71" s="104">
        <v>28118.818911796672</v>
      </c>
      <c r="DT71" s="103" t="s">
        <v>243</v>
      </c>
      <c r="DU71">
        <v>64.4578857421875</v>
      </c>
      <c r="DV71">
        <v>58.487239837646484</v>
      </c>
      <c r="DW71">
        <v>1965</v>
      </c>
      <c r="DX71">
        <v>161700</v>
      </c>
      <c r="DY71" s="102">
        <f t="shared" si="12"/>
        <v>59.099999999999994</v>
      </c>
    </row>
    <row r="72" spans="1:129" x14ac:dyDescent="0.25">
      <c r="A72" s="1">
        <v>34912</v>
      </c>
      <c r="B72" s="33">
        <v>75.599999999999994</v>
      </c>
      <c r="C72" s="88">
        <v>4.4000000000000004</v>
      </c>
      <c r="D72" s="33">
        <v>3.5</v>
      </c>
      <c r="E72" s="72">
        <v>4.41</v>
      </c>
      <c r="F72" s="33">
        <v>5.66</v>
      </c>
      <c r="G72" s="33">
        <v>6.48</v>
      </c>
      <c r="H72" s="33">
        <v>6.74</v>
      </c>
      <c r="I72" s="33">
        <f t="shared" si="17"/>
        <v>2.34</v>
      </c>
      <c r="J72" s="33">
        <f t="shared" si="18"/>
        <v>3.24</v>
      </c>
      <c r="K72" s="33">
        <f t="shared" si="19"/>
        <v>2.33</v>
      </c>
      <c r="L72" s="33">
        <f t="shared" si="20"/>
        <v>-0.90000000000000036</v>
      </c>
      <c r="M72" s="33">
        <v>108.9</v>
      </c>
      <c r="N72" s="33">
        <v>2220.02</v>
      </c>
      <c r="O72" s="33">
        <v>14.13</v>
      </c>
      <c r="P72" s="87">
        <v>491.8</v>
      </c>
      <c r="Q72" s="34">
        <f t="shared" si="4"/>
        <v>6.6820652173913047</v>
      </c>
      <c r="R72" s="71">
        <v>940.72403595913909</v>
      </c>
      <c r="S72" s="34">
        <f t="shared" si="5"/>
        <v>1278.1576575531781</v>
      </c>
      <c r="T72" s="71">
        <v>985.03181673569691</v>
      </c>
      <c r="U72" s="34">
        <f t="shared" si="6"/>
        <v>1338.3584466517623</v>
      </c>
      <c r="V72" s="116">
        <v>571736</v>
      </c>
      <c r="W72" s="116">
        <v>1300280</v>
      </c>
      <c r="X72" s="117">
        <v>3233209</v>
      </c>
      <c r="Y72" s="117">
        <v>548632</v>
      </c>
      <c r="Z72" s="33">
        <v>68.7</v>
      </c>
      <c r="AA72" s="33">
        <v>52.3</v>
      </c>
      <c r="AB72" s="33">
        <v>76.900000000000006</v>
      </c>
      <c r="AC72" s="33">
        <v>46.5</v>
      </c>
      <c r="AD72" s="33">
        <v>38031</v>
      </c>
      <c r="AE72" s="33">
        <v>9.5</v>
      </c>
      <c r="AF72" s="33">
        <v>261</v>
      </c>
      <c r="AG72" s="33">
        <v>71.2</v>
      </c>
      <c r="AH72" s="33">
        <v>73.599999999999994</v>
      </c>
      <c r="AI72" s="33">
        <v>76.5</v>
      </c>
      <c r="AJ72" s="33">
        <v>79.7</v>
      </c>
      <c r="AK72" s="33">
        <v>158.96918099999999</v>
      </c>
      <c r="AL72" s="33">
        <v>55.6</v>
      </c>
      <c r="AM72" s="123"/>
      <c r="AN72" s="123">
        <v>10.029916074794754</v>
      </c>
      <c r="AO72" s="123"/>
      <c r="AP72" s="33">
        <v>12.35</v>
      </c>
      <c r="AQ72" s="33">
        <f t="shared" si="7"/>
        <v>0.16143790849673201</v>
      </c>
      <c r="AR72" s="33">
        <v>89.4</v>
      </c>
      <c r="AS72" s="33">
        <v>94.1</v>
      </c>
      <c r="AT72" s="33">
        <v>84.9</v>
      </c>
      <c r="AU72" s="33">
        <v>91.5</v>
      </c>
      <c r="AV72" s="65">
        <v>95.9</v>
      </c>
      <c r="AW72" s="33">
        <v>87.4</v>
      </c>
      <c r="AX72" s="33">
        <v>1.6</v>
      </c>
      <c r="AY72" s="33">
        <v>6.1</v>
      </c>
      <c r="AZ72" s="33">
        <v>-1.9</v>
      </c>
      <c r="BA72" s="33">
        <v>0</v>
      </c>
      <c r="BB72" s="33">
        <v>87.6</v>
      </c>
      <c r="BC72" s="33">
        <v>91.2</v>
      </c>
      <c r="BD72" s="33">
        <v>84.2</v>
      </c>
      <c r="BE72" s="33">
        <v>7.4</v>
      </c>
      <c r="BF72" s="33">
        <v>14.1</v>
      </c>
      <c r="BG72" s="33">
        <v>3.5</v>
      </c>
      <c r="BH72" s="33">
        <v>167.9</v>
      </c>
      <c r="BI72" s="33">
        <v>1</v>
      </c>
      <c r="BJ72" s="34" t="s">
        <v>243</v>
      </c>
      <c r="BK72" s="45">
        <v>-58.346838138676333</v>
      </c>
      <c r="BL72" s="45" t="s">
        <v>243</v>
      </c>
      <c r="BM72" s="33">
        <v>100.52070000000001</v>
      </c>
      <c r="BN72" s="33">
        <v>100.44880000000001</v>
      </c>
      <c r="BO72" s="33">
        <v>-20.7</v>
      </c>
      <c r="BP72" s="33">
        <v>-30.3</v>
      </c>
      <c r="BQ72" s="33">
        <v>9.8000000000000007</v>
      </c>
      <c r="BR72" s="33">
        <v>0.8</v>
      </c>
      <c r="BS72" s="33">
        <v>6.7</v>
      </c>
      <c r="BT72" s="45" t="s">
        <v>243</v>
      </c>
      <c r="BU72" s="33">
        <v>-9.9</v>
      </c>
      <c r="BV72" s="33">
        <v>34.700000000000003</v>
      </c>
      <c r="BW72" s="33">
        <v>-9.3000000000000007</v>
      </c>
      <c r="BX72" s="33">
        <v>-24.8</v>
      </c>
      <c r="BY72" s="33">
        <v>-44.8</v>
      </c>
      <c r="BZ72" s="33">
        <v>103.5</v>
      </c>
      <c r="CA72" s="33">
        <v>-9.3000000000000007</v>
      </c>
      <c r="CB72" s="33">
        <v>-5.6</v>
      </c>
      <c r="CC72" s="33">
        <v>0.9</v>
      </c>
      <c r="CD72" s="33">
        <v>-24.3</v>
      </c>
      <c r="CE72" s="33">
        <v>-20.5</v>
      </c>
      <c r="CF72" s="33">
        <v>23.2</v>
      </c>
      <c r="CG72" s="33">
        <v>45.8</v>
      </c>
      <c r="CH72" s="33">
        <v>34.9</v>
      </c>
      <c r="CI72" s="33">
        <v>-21.3</v>
      </c>
      <c r="CJ72" s="33">
        <v>-12.2</v>
      </c>
      <c r="CK72" s="33">
        <v>6.4</v>
      </c>
      <c r="CL72" s="33">
        <v>11.9</v>
      </c>
      <c r="CM72" s="33">
        <v>1448.5343479999999</v>
      </c>
      <c r="CN72" s="33">
        <v>4700.3599999999997</v>
      </c>
      <c r="CO72" s="33">
        <v>559.11</v>
      </c>
      <c r="CP72" s="33">
        <v>8.2270000000000003</v>
      </c>
      <c r="CQ72" s="33">
        <v>6.5</v>
      </c>
      <c r="CR72" s="33">
        <v>86.1</v>
      </c>
      <c r="CS72" s="121">
        <f t="shared" si="16"/>
        <v>33.049999999999997</v>
      </c>
      <c r="CT72" s="33">
        <v>100.7</v>
      </c>
      <c r="CU72" s="33">
        <v>97.3</v>
      </c>
      <c r="CV72" s="33">
        <v>149.30000000000001</v>
      </c>
      <c r="CW72" s="33">
        <v>92.7</v>
      </c>
      <c r="CX72" s="33"/>
      <c r="CY72" s="33">
        <v>2.14</v>
      </c>
      <c r="CZ72" s="33">
        <v>15768.017</v>
      </c>
      <c r="DA72" s="33">
        <v>1.86</v>
      </c>
      <c r="DB72" s="33">
        <v>12.84</v>
      </c>
      <c r="DC72" s="33">
        <v>17.62</v>
      </c>
      <c r="DD72" s="33">
        <v>5.56</v>
      </c>
      <c r="DE72" s="33">
        <v>4010.8429999999998</v>
      </c>
      <c r="DF72" s="33">
        <v>603.274</v>
      </c>
      <c r="DG72" s="33">
        <v>481.70299999999997</v>
      </c>
      <c r="DH72" s="33">
        <v>739.67399999999998</v>
      </c>
      <c r="DI72" s="33">
        <v>467.76799999999997</v>
      </c>
      <c r="DJ72" s="33">
        <v>100.9239</v>
      </c>
      <c r="DK72" s="33">
        <v>101.1567</v>
      </c>
      <c r="DL72" s="33">
        <v>101.19</v>
      </c>
      <c r="DM72" s="33">
        <v>101.5158</v>
      </c>
      <c r="DN72" s="33">
        <v>100.44880000000001</v>
      </c>
      <c r="DO72" s="33">
        <v>100.52070000000001</v>
      </c>
      <c r="DP72" s="33">
        <v>98.7971</v>
      </c>
      <c r="DQ72" s="33">
        <v>98.676500000000004</v>
      </c>
      <c r="DR72" s="104">
        <v>95366</v>
      </c>
      <c r="DS72" s="104">
        <v>28112.867681571151</v>
      </c>
      <c r="DT72" s="103" t="s">
        <v>243</v>
      </c>
      <c r="DU72">
        <v>82.958290100097656</v>
      </c>
      <c r="DV72">
        <v>81.352516174316406</v>
      </c>
      <c r="DW72">
        <v>2030</v>
      </c>
      <c r="DX72">
        <v>151200</v>
      </c>
      <c r="DY72" s="102">
        <f t="shared" si="12"/>
        <v>58.900000000000006</v>
      </c>
    </row>
    <row r="73" spans="1:129" x14ac:dyDescent="0.25">
      <c r="A73" s="1">
        <v>34943</v>
      </c>
      <c r="B73" s="33">
        <v>76.599999999999994</v>
      </c>
      <c r="C73" s="88">
        <v>4.2</v>
      </c>
      <c r="D73" s="33">
        <v>3.5</v>
      </c>
      <c r="E73" s="72">
        <v>4.1500000000000004</v>
      </c>
      <c r="F73" s="33">
        <v>5.38</v>
      </c>
      <c r="G73" s="33">
        <v>6.25</v>
      </c>
      <c r="H73" s="33">
        <v>6.59</v>
      </c>
      <c r="I73" s="33">
        <f t="shared" si="17"/>
        <v>2.3899999999999997</v>
      </c>
      <c r="J73" s="33">
        <f t="shared" si="18"/>
        <v>3.09</v>
      </c>
      <c r="K73" s="33">
        <f t="shared" si="19"/>
        <v>2.4399999999999995</v>
      </c>
      <c r="L73" s="33">
        <f t="shared" si="20"/>
        <v>-0.70000000000000018</v>
      </c>
      <c r="M73" s="33">
        <v>108.9</v>
      </c>
      <c r="N73" s="33">
        <v>2233.09</v>
      </c>
      <c r="O73" s="33">
        <v>12.05</v>
      </c>
      <c r="P73" s="87">
        <v>495.70000000000005</v>
      </c>
      <c r="Q73" s="34">
        <f t="shared" si="4"/>
        <v>6.7350543478260878</v>
      </c>
      <c r="R73" s="71">
        <v>946.63574184090135</v>
      </c>
      <c r="S73" s="34">
        <f t="shared" si="5"/>
        <v>1286.1898666316595</v>
      </c>
      <c r="T73" s="71">
        <v>989.12778116076549</v>
      </c>
      <c r="U73" s="34">
        <f t="shared" si="6"/>
        <v>1343.923615707562</v>
      </c>
      <c r="V73" s="116">
        <v>573739</v>
      </c>
      <c r="W73" s="116">
        <v>1313848</v>
      </c>
      <c r="X73" s="117">
        <v>3256397</v>
      </c>
      <c r="Y73" s="117">
        <v>548094</v>
      </c>
      <c r="Z73" s="33">
        <v>70.5</v>
      </c>
      <c r="AA73" s="33">
        <v>54.1</v>
      </c>
      <c r="AB73" s="33">
        <v>79.3</v>
      </c>
      <c r="AC73" s="33">
        <v>48.4</v>
      </c>
      <c r="AD73" s="33">
        <v>38040</v>
      </c>
      <c r="AE73" s="33">
        <v>9.6</v>
      </c>
      <c r="AF73" s="33">
        <v>257</v>
      </c>
      <c r="AG73" s="33">
        <v>71.3</v>
      </c>
      <c r="AH73" s="33">
        <v>73.599999999999994</v>
      </c>
      <c r="AI73" s="33">
        <v>76.7</v>
      </c>
      <c r="AJ73" s="33">
        <v>79.8</v>
      </c>
      <c r="AK73" s="33">
        <v>159.147198</v>
      </c>
      <c r="AL73" s="33">
        <v>55.7</v>
      </c>
      <c r="AM73" s="123"/>
      <c r="AN73" s="123">
        <v>10.332021980662065</v>
      </c>
      <c r="AO73" s="123"/>
      <c r="AP73" s="33">
        <v>12.83</v>
      </c>
      <c r="AQ73" s="33">
        <f t="shared" si="7"/>
        <v>0.16727509778357236</v>
      </c>
      <c r="AR73" s="33">
        <v>89.4</v>
      </c>
      <c r="AS73" s="33">
        <v>93.8</v>
      </c>
      <c r="AT73" s="33">
        <v>85.2</v>
      </c>
      <c r="AU73" s="33">
        <v>92.3</v>
      </c>
      <c r="AV73" s="65">
        <v>97</v>
      </c>
      <c r="AW73" s="33">
        <v>87.8</v>
      </c>
      <c r="AX73" s="33">
        <v>5.5</v>
      </c>
      <c r="AY73" s="33">
        <v>11.4</v>
      </c>
      <c r="AZ73" s="33">
        <v>-4.9000000000000004</v>
      </c>
      <c r="BA73" s="33">
        <v>-0.8</v>
      </c>
      <c r="BB73" s="33">
        <v>85.6</v>
      </c>
      <c r="BC73" s="33">
        <v>87.6</v>
      </c>
      <c r="BD73" s="33">
        <v>83.7</v>
      </c>
      <c r="BE73" s="33">
        <v>4.8</v>
      </c>
      <c r="BF73" s="33">
        <v>17.399999999999999</v>
      </c>
      <c r="BG73" s="33">
        <v>3.6</v>
      </c>
      <c r="BH73" s="33">
        <v>168.5</v>
      </c>
      <c r="BI73" s="33">
        <v>2.2000000000000002</v>
      </c>
      <c r="BJ73" s="34" t="s">
        <v>243</v>
      </c>
      <c r="BK73" s="45">
        <v>-40.603956766272397</v>
      </c>
      <c r="BL73" s="45" t="s">
        <v>243</v>
      </c>
      <c r="BM73" s="33">
        <v>100.3113</v>
      </c>
      <c r="BN73" s="33">
        <v>100.26900000000001</v>
      </c>
      <c r="BO73" s="33">
        <v>-26.5</v>
      </c>
      <c r="BP73" s="33">
        <v>-31.1</v>
      </c>
      <c r="BQ73" s="33">
        <v>11.8</v>
      </c>
      <c r="BR73" s="33">
        <v>1.3</v>
      </c>
      <c r="BS73" s="33">
        <v>3.4</v>
      </c>
      <c r="BT73" s="45" t="s">
        <v>243</v>
      </c>
      <c r="BU73" s="33">
        <v>-12.3</v>
      </c>
      <c r="BV73" s="33">
        <v>34.799999999999997</v>
      </c>
      <c r="BW73" s="33">
        <v>-9.8000000000000007</v>
      </c>
      <c r="BX73" s="33">
        <v>-25.2</v>
      </c>
      <c r="BY73" s="33">
        <v>-47.5</v>
      </c>
      <c r="BZ73" s="33">
        <v>102.3</v>
      </c>
      <c r="CA73" s="33">
        <v>-9.8000000000000007</v>
      </c>
      <c r="CB73" s="33">
        <v>-4.4000000000000004</v>
      </c>
      <c r="CC73" s="33">
        <v>0.4</v>
      </c>
      <c r="CD73" s="33">
        <v>-24.3</v>
      </c>
      <c r="CE73" s="33">
        <v>-21.4</v>
      </c>
      <c r="CF73" s="33">
        <v>21.1</v>
      </c>
      <c r="CG73" s="33">
        <v>43.9</v>
      </c>
      <c r="CH73" s="33">
        <v>36.299999999999997</v>
      </c>
      <c r="CI73" s="33">
        <v>-22.5</v>
      </c>
      <c r="CJ73" s="33">
        <v>-13.8</v>
      </c>
      <c r="CK73" s="33">
        <v>8.6999999999999993</v>
      </c>
      <c r="CL73" s="33">
        <v>11.7</v>
      </c>
      <c r="CM73" s="33">
        <v>1445.9095239999999</v>
      </c>
      <c r="CN73" s="33">
        <v>4647.54</v>
      </c>
      <c r="CO73" s="33">
        <v>578.05381</v>
      </c>
      <c r="CP73" s="33">
        <v>7.9580000000000002</v>
      </c>
      <c r="CQ73" s="33">
        <v>6.22</v>
      </c>
      <c r="CR73" s="33">
        <v>78.8</v>
      </c>
      <c r="CS73" s="121">
        <f t="shared" si="16"/>
        <v>35.75</v>
      </c>
      <c r="CT73" s="33">
        <v>96.1</v>
      </c>
      <c r="CU73" s="33">
        <v>96.3</v>
      </c>
      <c r="CV73" s="33">
        <v>150.19999999999999</v>
      </c>
      <c r="CW73" s="33">
        <v>94</v>
      </c>
      <c r="CX73" s="33"/>
      <c r="CY73" s="33">
        <v>2.36</v>
      </c>
      <c r="CZ73" s="33">
        <v>19060.34</v>
      </c>
      <c r="DA73" s="33">
        <v>1.96</v>
      </c>
      <c r="DB73" s="33">
        <v>14.08</v>
      </c>
      <c r="DC73" s="33">
        <v>19.739999999999998</v>
      </c>
      <c r="DD73" s="33">
        <v>5.63</v>
      </c>
      <c r="DE73" s="33">
        <v>3892.49</v>
      </c>
      <c r="DF73" s="33">
        <v>606.58199999999999</v>
      </c>
      <c r="DG73" s="33">
        <v>448.40199999999999</v>
      </c>
      <c r="DH73" s="33">
        <v>775.976</v>
      </c>
      <c r="DI73" s="33">
        <v>502.024</v>
      </c>
      <c r="DJ73" s="33">
        <v>101.0335</v>
      </c>
      <c r="DK73" s="33">
        <v>101.28570000000001</v>
      </c>
      <c r="DL73" s="33">
        <v>101.23</v>
      </c>
      <c r="DM73" s="33">
        <v>101.574</v>
      </c>
      <c r="DN73" s="33">
        <v>100.26900000000001</v>
      </c>
      <c r="DO73" s="33">
        <v>100.3113</v>
      </c>
      <c r="DP73" s="33">
        <v>98.749499999999998</v>
      </c>
      <c r="DQ73" s="33">
        <v>98.624099999999999</v>
      </c>
      <c r="DR73" s="104">
        <v>131393</v>
      </c>
      <c r="DS73" s="104">
        <v>28110.635970236584</v>
      </c>
      <c r="DT73" s="103" t="s">
        <v>243</v>
      </c>
      <c r="DU73">
        <v>104.31937408447266</v>
      </c>
      <c r="DV73">
        <v>86.260765075683594</v>
      </c>
      <c r="DW73">
        <v>2096</v>
      </c>
      <c r="DX73">
        <v>173500</v>
      </c>
      <c r="DY73" s="102">
        <f t="shared" si="12"/>
        <v>58.099999999999994</v>
      </c>
    </row>
    <row r="74" spans="1:129" x14ac:dyDescent="0.25">
      <c r="A74" s="1">
        <v>34973</v>
      </c>
      <c r="B74" s="33">
        <v>75</v>
      </c>
      <c r="C74" s="88">
        <v>4.0999999999999996</v>
      </c>
      <c r="D74" s="33">
        <v>3.5</v>
      </c>
      <c r="E74" s="72">
        <v>4.05</v>
      </c>
      <c r="F74" s="33">
        <v>5.33</v>
      </c>
      <c r="G74" s="33">
        <v>6.22</v>
      </c>
      <c r="H74" s="33">
        <v>6.57</v>
      </c>
      <c r="I74" s="33">
        <f t="shared" si="17"/>
        <v>2.4700000000000006</v>
      </c>
      <c r="J74" s="33">
        <f t="shared" si="18"/>
        <v>3.0700000000000003</v>
      </c>
      <c r="K74" s="33">
        <f t="shared" si="19"/>
        <v>2.5200000000000005</v>
      </c>
      <c r="L74" s="33">
        <f t="shared" si="20"/>
        <v>-0.59999999999999964</v>
      </c>
      <c r="M74" s="33">
        <v>110.3</v>
      </c>
      <c r="N74" s="33">
        <v>2205.02</v>
      </c>
      <c r="O74" s="33">
        <v>15.34</v>
      </c>
      <c r="P74" s="87">
        <v>501.90000000000003</v>
      </c>
      <c r="Q74" s="34">
        <f t="shared" si="4"/>
        <v>6.8008130081300822</v>
      </c>
      <c r="R74" s="71">
        <v>953.40559857646792</v>
      </c>
      <c r="S74" s="34">
        <f t="shared" si="5"/>
        <v>1291.8775048461625</v>
      </c>
      <c r="T74" s="71">
        <v>997.70072995742089</v>
      </c>
      <c r="U74" s="34">
        <f t="shared" si="6"/>
        <v>1351.8980080723861</v>
      </c>
      <c r="V74" s="116">
        <v>575475</v>
      </c>
      <c r="W74" s="116">
        <v>1312908</v>
      </c>
      <c r="X74" s="117">
        <v>3269129</v>
      </c>
      <c r="Y74" s="117">
        <v>551333</v>
      </c>
      <c r="Z74" s="33">
        <v>68.599999999999994</v>
      </c>
      <c r="AA74" s="33">
        <v>51.8</v>
      </c>
      <c r="AB74" s="33">
        <v>80.5</v>
      </c>
      <c r="AC74" s="33">
        <v>46.2</v>
      </c>
      <c r="AD74" s="33">
        <v>38092</v>
      </c>
      <c r="AE74" s="33">
        <v>9.6999999999999993</v>
      </c>
      <c r="AF74" s="33">
        <v>258</v>
      </c>
      <c r="AG74" s="33">
        <v>71.3</v>
      </c>
      <c r="AH74" s="33">
        <v>73.8</v>
      </c>
      <c r="AI74" s="33">
        <v>76.3</v>
      </c>
      <c r="AJ74" s="33">
        <v>79.599999999999994</v>
      </c>
      <c r="AK74" s="33">
        <v>158.96918099999999</v>
      </c>
      <c r="AL74" s="33">
        <v>55.8</v>
      </c>
      <c r="AM74" s="123"/>
      <c r="AN74" s="123">
        <v>9.8293830734947196</v>
      </c>
      <c r="AO74" s="123"/>
      <c r="AP74" s="33">
        <v>12.16</v>
      </c>
      <c r="AQ74" s="33">
        <f t="shared" si="7"/>
        <v>0.15937090432503279</v>
      </c>
      <c r="AR74" s="33">
        <v>88.4</v>
      </c>
      <c r="AS74" s="33">
        <v>93</v>
      </c>
      <c r="AT74" s="33">
        <v>84.1</v>
      </c>
      <c r="AU74" s="33">
        <v>91.1</v>
      </c>
      <c r="AV74" s="65">
        <v>95.6</v>
      </c>
      <c r="AW74" s="33">
        <v>86.8</v>
      </c>
      <c r="AX74" s="33">
        <v>1.7</v>
      </c>
      <c r="AY74" s="33">
        <v>13.7</v>
      </c>
      <c r="AZ74" s="33">
        <v>-7.2</v>
      </c>
      <c r="BA74" s="33">
        <v>-3.3</v>
      </c>
      <c r="BB74" s="33">
        <v>83.9</v>
      </c>
      <c r="BC74" s="33">
        <v>86.1</v>
      </c>
      <c r="BD74" s="33">
        <v>81.8</v>
      </c>
      <c r="BE74" s="33">
        <v>0.3</v>
      </c>
      <c r="BF74" s="33">
        <v>9.8000000000000007</v>
      </c>
      <c r="BG74" s="33">
        <v>-0.7</v>
      </c>
      <c r="BH74" s="33">
        <v>172</v>
      </c>
      <c r="BI74" s="33">
        <v>2.2999999999999998</v>
      </c>
      <c r="BJ74" s="34" t="s">
        <v>243</v>
      </c>
      <c r="BK74" s="45">
        <v>-45.380578513704521</v>
      </c>
      <c r="BL74" s="45" t="s">
        <v>243</v>
      </c>
      <c r="BM74" s="33">
        <v>100.0844</v>
      </c>
      <c r="BN74" s="33">
        <v>100.074</v>
      </c>
      <c r="BO74" s="33">
        <v>-25.1</v>
      </c>
      <c r="BP74" s="33">
        <v>-30.8</v>
      </c>
      <c r="BQ74" s="33">
        <v>11.9</v>
      </c>
      <c r="BR74" s="33">
        <v>2.2999999999999998</v>
      </c>
      <c r="BS74" s="33">
        <v>4.0999999999999996</v>
      </c>
      <c r="BT74" s="45" t="s">
        <v>243</v>
      </c>
      <c r="BU74" s="33">
        <v>-11.5</v>
      </c>
      <c r="BV74" s="33">
        <v>35</v>
      </c>
      <c r="BW74" s="33">
        <v>-10.6</v>
      </c>
      <c r="BX74" s="33">
        <v>-25</v>
      </c>
      <c r="BY74" s="33">
        <v>-47.5</v>
      </c>
      <c r="BZ74" s="33">
        <v>102.4</v>
      </c>
      <c r="CA74" s="33">
        <v>-10.6</v>
      </c>
      <c r="CB74" s="33">
        <v>-5.2</v>
      </c>
      <c r="CC74" s="33">
        <v>-0.6</v>
      </c>
      <c r="CD74" s="33">
        <v>-28.1</v>
      </c>
      <c r="CE74" s="33">
        <v>-24.1</v>
      </c>
      <c r="CF74" s="33">
        <v>22.3</v>
      </c>
      <c r="CG74" s="33">
        <v>46.6</v>
      </c>
      <c r="CH74" s="33">
        <v>38.5</v>
      </c>
      <c r="CI74" s="33">
        <v>-24.7</v>
      </c>
      <c r="CJ74" s="33">
        <v>-12.7</v>
      </c>
      <c r="CK74" s="33">
        <v>3.4</v>
      </c>
      <c r="CL74" s="33">
        <v>11.1</v>
      </c>
      <c r="CM74" s="33">
        <v>1403.8959090000001</v>
      </c>
      <c r="CN74" s="33">
        <v>4761.26</v>
      </c>
      <c r="CO74" s="33">
        <v>582.918182</v>
      </c>
      <c r="CP74" s="33">
        <v>8.0310000000000006</v>
      </c>
      <c r="CQ74" s="33">
        <v>6.15</v>
      </c>
      <c r="CR74" s="33">
        <v>80.8</v>
      </c>
      <c r="CS74" s="121">
        <f t="shared" si="16"/>
        <v>40.350000000000009</v>
      </c>
      <c r="CT74" s="33">
        <v>92.4</v>
      </c>
      <c r="CU74" s="33">
        <v>91.3</v>
      </c>
      <c r="CV74" s="33">
        <v>145.5</v>
      </c>
      <c r="CW74" s="33">
        <v>94.3</v>
      </c>
      <c r="CX74" s="33"/>
      <c r="CY74" s="33">
        <v>2.35</v>
      </c>
      <c r="CZ74" s="33">
        <v>19163.821</v>
      </c>
      <c r="DA74" s="33">
        <v>2.06</v>
      </c>
      <c r="DB74" s="33">
        <v>13.36</v>
      </c>
      <c r="DC74" s="33">
        <v>18.43</v>
      </c>
      <c r="DD74" s="33">
        <v>5.39</v>
      </c>
      <c r="DE74" s="33">
        <v>4301.0709999999999</v>
      </c>
      <c r="DF74" s="33">
        <v>624.73099999999999</v>
      </c>
      <c r="DG74" s="33">
        <v>451.767</v>
      </c>
      <c r="DH74" s="33">
        <v>964.87400000000002</v>
      </c>
      <c r="DI74" s="33">
        <v>534.49900000000002</v>
      </c>
      <c r="DJ74" s="33">
        <v>101.1512</v>
      </c>
      <c r="DK74" s="33">
        <v>101.4238</v>
      </c>
      <c r="DL74" s="33">
        <v>101.25</v>
      </c>
      <c r="DM74" s="33">
        <v>101.593</v>
      </c>
      <c r="DN74" s="33">
        <v>100.074</v>
      </c>
      <c r="DO74" s="33">
        <v>100.0844</v>
      </c>
      <c r="DP74" s="33">
        <v>98.709400000000002</v>
      </c>
      <c r="DQ74" s="33">
        <v>98.58</v>
      </c>
      <c r="DR74" s="104">
        <v>147552</v>
      </c>
      <c r="DS74" s="104">
        <v>28138.16041002961</v>
      </c>
      <c r="DT74" s="103" t="s">
        <v>243</v>
      </c>
      <c r="DU74">
        <v>98.609054565429688</v>
      </c>
      <c r="DV74">
        <v>75.796798706054688</v>
      </c>
      <c r="DW74">
        <v>1897</v>
      </c>
      <c r="DX74">
        <v>178825</v>
      </c>
      <c r="DY74" s="102">
        <f t="shared" si="12"/>
        <v>59.099999999999994</v>
      </c>
    </row>
    <row r="75" spans="1:129" x14ac:dyDescent="0.25">
      <c r="A75" s="1">
        <v>35004</v>
      </c>
      <c r="B75" s="33">
        <v>75.599999999999994</v>
      </c>
      <c r="C75" s="88">
        <v>4.0600000000000005</v>
      </c>
      <c r="D75" s="33">
        <v>3.5</v>
      </c>
      <c r="E75" s="72">
        <v>3.96</v>
      </c>
      <c r="F75" s="33">
        <v>4.99</v>
      </c>
      <c r="G75" s="33">
        <v>5.93</v>
      </c>
      <c r="H75" s="33">
        <v>6.34</v>
      </c>
      <c r="I75" s="33">
        <f t="shared" si="17"/>
        <v>2.2799999999999994</v>
      </c>
      <c r="J75" s="33">
        <f t="shared" si="18"/>
        <v>2.84</v>
      </c>
      <c r="K75" s="33">
        <f t="shared" si="19"/>
        <v>2.38</v>
      </c>
      <c r="L75" s="33">
        <f t="shared" si="20"/>
        <v>-0.5600000000000005</v>
      </c>
      <c r="M75" s="33">
        <v>109.9</v>
      </c>
      <c r="N75" s="33">
        <v>2163.2199999999998</v>
      </c>
      <c r="O75" s="33">
        <v>16.37</v>
      </c>
      <c r="P75" s="87">
        <v>513</v>
      </c>
      <c r="Q75" s="34">
        <f t="shared" si="4"/>
        <v>6.941813261163734</v>
      </c>
      <c r="R75" s="71">
        <v>961.98710711450997</v>
      </c>
      <c r="S75" s="34">
        <f t="shared" si="5"/>
        <v>1301.7416875703789</v>
      </c>
      <c r="T75" s="71">
        <v>1007.8930135267778</v>
      </c>
      <c r="U75" s="34">
        <f t="shared" si="6"/>
        <v>1363.8606407669524</v>
      </c>
      <c r="V75" s="116">
        <v>576476</v>
      </c>
      <c r="W75" s="116">
        <v>1320636</v>
      </c>
      <c r="X75" s="117">
        <v>3280691</v>
      </c>
      <c r="Y75" s="117">
        <v>560273</v>
      </c>
      <c r="Z75" s="33">
        <v>68.599999999999994</v>
      </c>
      <c r="AA75" s="33">
        <v>52.9</v>
      </c>
      <c r="AB75" s="33">
        <v>76.3</v>
      </c>
      <c r="AC75" s="33">
        <v>49.4</v>
      </c>
      <c r="AD75" s="33">
        <v>38089</v>
      </c>
      <c r="AE75" s="33">
        <v>9.6999999999999993</v>
      </c>
      <c r="AF75" s="33">
        <v>257</v>
      </c>
      <c r="AG75" s="33">
        <v>71.400000000000006</v>
      </c>
      <c r="AH75" s="33">
        <v>73.900000000000006</v>
      </c>
      <c r="AI75" s="33">
        <v>76.3</v>
      </c>
      <c r="AJ75" s="33">
        <v>79.599999999999994</v>
      </c>
      <c r="AK75" s="33">
        <v>158.79116400000001</v>
      </c>
      <c r="AL75" s="33">
        <v>93.7</v>
      </c>
      <c r="AM75" s="123"/>
      <c r="AN75" s="123">
        <v>10.164129865471322</v>
      </c>
      <c r="AO75" s="123"/>
      <c r="AP75" s="33">
        <v>12.65</v>
      </c>
      <c r="AQ75" s="33">
        <f t="shared" si="7"/>
        <v>0.16579292267365664</v>
      </c>
      <c r="AR75" s="33">
        <v>88.5</v>
      </c>
      <c r="AS75" s="33">
        <v>93.7</v>
      </c>
      <c r="AT75" s="33">
        <v>83.6</v>
      </c>
      <c r="AU75" s="33">
        <v>91.6</v>
      </c>
      <c r="AV75" s="65">
        <v>96.8</v>
      </c>
      <c r="AW75" s="33">
        <v>86.7</v>
      </c>
      <c r="AX75" s="33">
        <v>3.5</v>
      </c>
      <c r="AY75" s="33">
        <v>5.7</v>
      </c>
      <c r="AZ75" s="33">
        <v>-9.4</v>
      </c>
      <c r="BA75" s="33">
        <v>-4.8</v>
      </c>
      <c r="BB75" s="33">
        <v>82.6</v>
      </c>
      <c r="BC75" s="33">
        <v>85.3</v>
      </c>
      <c r="BD75" s="33">
        <v>79.900000000000006</v>
      </c>
      <c r="BE75" s="33">
        <v>-8.1999999999999993</v>
      </c>
      <c r="BF75" s="33">
        <v>-6.5</v>
      </c>
      <c r="BG75" s="33">
        <v>-11.5</v>
      </c>
      <c r="BH75" s="33">
        <v>169.2</v>
      </c>
      <c r="BI75" s="33">
        <v>19.7</v>
      </c>
      <c r="BJ75" s="34" t="s">
        <v>243</v>
      </c>
      <c r="BK75" s="45">
        <v>-46.279712871707559</v>
      </c>
      <c r="BL75" s="45" t="s">
        <v>243</v>
      </c>
      <c r="BM75" s="33">
        <v>99.847899999999996</v>
      </c>
      <c r="BN75" s="33">
        <v>99.870800000000003</v>
      </c>
      <c r="BO75" s="33">
        <v>-26.8</v>
      </c>
      <c r="BP75" s="33">
        <v>-34.200000000000003</v>
      </c>
      <c r="BQ75" s="33">
        <v>10.5</v>
      </c>
      <c r="BR75" s="33">
        <v>0.6</v>
      </c>
      <c r="BS75" s="33">
        <v>3.9</v>
      </c>
      <c r="BT75" s="45" t="s">
        <v>243</v>
      </c>
      <c r="BU75" s="33">
        <v>-12.2</v>
      </c>
      <c r="BV75" s="33">
        <v>35.200000000000003</v>
      </c>
      <c r="BW75" s="33">
        <v>-11.3</v>
      </c>
      <c r="BX75" s="33">
        <v>-23.2</v>
      </c>
      <c r="BY75" s="33">
        <v>-49</v>
      </c>
      <c r="BZ75" s="33">
        <v>102.2</v>
      </c>
      <c r="CA75" s="33">
        <v>-11.3</v>
      </c>
      <c r="CB75" s="33">
        <v>-5</v>
      </c>
      <c r="CC75" s="33">
        <v>-1.7</v>
      </c>
      <c r="CD75" s="33">
        <v>-31.8</v>
      </c>
      <c r="CE75" s="33">
        <v>-26.9</v>
      </c>
      <c r="CF75" s="33">
        <v>21.5</v>
      </c>
      <c r="CG75" s="33">
        <v>45</v>
      </c>
      <c r="CH75" s="33">
        <v>40.9</v>
      </c>
      <c r="CI75" s="33">
        <v>-24.1</v>
      </c>
      <c r="CJ75" s="33">
        <v>-11.6</v>
      </c>
      <c r="CK75" s="33">
        <v>6.6</v>
      </c>
      <c r="CL75" s="33">
        <v>11.6</v>
      </c>
      <c r="CM75" s="33">
        <v>1432.9409089999999</v>
      </c>
      <c r="CN75" s="33">
        <v>4766.68</v>
      </c>
      <c r="CO75" s="33">
        <v>595.66227300000003</v>
      </c>
      <c r="CP75" s="33">
        <v>7.8929999999999998</v>
      </c>
      <c r="CQ75" s="33">
        <v>5.98</v>
      </c>
      <c r="CR75" s="33">
        <v>79.7</v>
      </c>
      <c r="CS75" s="121">
        <f t="shared" si="16"/>
        <v>44.05</v>
      </c>
      <c r="CT75" s="33">
        <v>89.2</v>
      </c>
      <c r="CU75" s="33">
        <v>92.6</v>
      </c>
      <c r="CV75" s="33">
        <v>149.6</v>
      </c>
      <c r="CW75" s="33">
        <v>90.9</v>
      </c>
      <c r="CX75" s="33"/>
      <c r="CY75" s="33">
        <v>2.46</v>
      </c>
      <c r="CZ75" s="33">
        <v>18713.296999999999</v>
      </c>
      <c r="DA75" s="33">
        <v>1.99</v>
      </c>
      <c r="DB75" s="33">
        <v>12.89</v>
      </c>
      <c r="DC75" s="33">
        <v>17.84</v>
      </c>
      <c r="DD75" s="33">
        <v>5.33</v>
      </c>
      <c r="DE75" s="33">
        <v>4699.1769999999997</v>
      </c>
      <c r="DF75" s="33">
        <v>741.05399999999997</v>
      </c>
      <c r="DG75" s="33">
        <v>539.16300000000001</v>
      </c>
      <c r="DH75" s="33">
        <v>867.02700000000004</v>
      </c>
      <c r="DI75" s="33">
        <v>657.35799999999995</v>
      </c>
      <c r="DJ75" s="33">
        <v>101.2617</v>
      </c>
      <c r="DK75" s="33">
        <v>101.5543</v>
      </c>
      <c r="DL75" s="33">
        <v>101.23</v>
      </c>
      <c r="DM75" s="33">
        <v>101.5641</v>
      </c>
      <c r="DN75" s="33">
        <v>99.870800000000003</v>
      </c>
      <c r="DO75" s="33">
        <v>99.847899999999996</v>
      </c>
      <c r="DP75" s="33">
        <v>98.690299999999993</v>
      </c>
      <c r="DQ75" s="33">
        <v>98.558999999999997</v>
      </c>
      <c r="DR75" s="104">
        <v>169198</v>
      </c>
      <c r="DS75" s="104">
        <v>28138.16041002961</v>
      </c>
      <c r="DT75" s="103" t="s">
        <v>243</v>
      </c>
      <c r="DU75">
        <v>87.033905029296875</v>
      </c>
      <c r="DV75">
        <v>74.949226379394531</v>
      </c>
      <c r="DW75">
        <v>1539</v>
      </c>
      <c r="DX75">
        <v>193450</v>
      </c>
      <c r="DY75" s="102">
        <f t="shared" si="12"/>
        <v>57.5</v>
      </c>
    </row>
    <row r="76" spans="1:129" x14ac:dyDescent="0.25">
      <c r="A76" s="1">
        <v>35034</v>
      </c>
      <c r="B76" s="33">
        <v>75.099999999999994</v>
      </c>
      <c r="C76" s="88">
        <v>4.08</v>
      </c>
      <c r="D76" s="33">
        <v>3</v>
      </c>
      <c r="E76" s="72">
        <v>3.89</v>
      </c>
      <c r="F76" s="33">
        <v>4.78</v>
      </c>
      <c r="G76" s="33">
        <v>5.69</v>
      </c>
      <c r="H76" s="33">
        <v>6.07</v>
      </c>
      <c r="I76" s="33">
        <f t="shared" si="17"/>
        <v>1.9900000000000002</v>
      </c>
      <c r="J76" s="33">
        <f t="shared" si="18"/>
        <v>3.0700000000000003</v>
      </c>
      <c r="K76" s="33">
        <f t="shared" si="19"/>
        <v>2.1800000000000002</v>
      </c>
      <c r="L76" s="33">
        <f t="shared" si="20"/>
        <v>-1.08</v>
      </c>
      <c r="M76" s="33">
        <v>108.8</v>
      </c>
      <c r="N76" s="33">
        <v>2260.66</v>
      </c>
      <c r="O76" s="33">
        <v>13.24</v>
      </c>
      <c r="P76" s="87">
        <v>519.5</v>
      </c>
      <c r="Q76" s="34">
        <f t="shared" si="4"/>
        <v>7.0297699594046001</v>
      </c>
      <c r="R76" s="71">
        <v>964.27550939132118</v>
      </c>
      <c r="S76" s="34">
        <f t="shared" si="5"/>
        <v>1304.8383077013816</v>
      </c>
      <c r="T76" s="71">
        <v>1013.608312724548</v>
      </c>
      <c r="U76" s="34">
        <f t="shared" si="6"/>
        <v>1371.5944691807144</v>
      </c>
      <c r="V76" s="116">
        <v>573113</v>
      </c>
      <c r="W76" s="116">
        <v>1349298</v>
      </c>
      <c r="X76" s="117">
        <v>3312463</v>
      </c>
      <c r="Y76" s="117">
        <v>564647</v>
      </c>
      <c r="Z76" s="33">
        <v>67.5</v>
      </c>
      <c r="AA76" s="33">
        <v>53.7</v>
      </c>
      <c r="AB76" s="33">
        <v>77.099999999999994</v>
      </c>
      <c r="AC76" s="33">
        <v>48.7</v>
      </c>
      <c r="AD76" s="33">
        <v>38117</v>
      </c>
      <c r="AE76" s="33">
        <v>9.9</v>
      </c>
      <c r="AF76" s="33">
        <v>257</v>
      </c>
      <c r="AG76" s="33">
        <v>71.3</v>
      </c>
      <c r="AH76" s="33">
        <v>73.900000000000006</v>
      </c>
      <c r="AI76" s="33">
        <v>76.5</v>
      </c>
      <c r="AJ76" s="33">
        <v>79.599999999999994</v>
      </c>
      <c r="AK76" s="33">
        <v>158.79116400000001</v>
      </c>
      <c r="AL76" s="33">
        <v>56.1</v>
      </c>
      <c r="AM76" s="123"/>
      <c r="AN76" s="123">
        <v>10.958202511211271</v>
      </c>
      <c r="AO76" s="123"/>
      <c r="AP76" s="33">
        <v>13.8</v>
      </c>
      <c r="AQ76" s="33">
        <f t="shared" si="7"/>
        <v>0.1803921568627451</v>
      </c>
      <c r="AR76" s="33">
        <v>87.4</v>
      </c>
      <c r="AS76" s="33">
        <v>92</v>
      </c>
      <c r="AT76" s="33">
        <v>83</v>
      </c>
      <c r="AU76" s="33">
        <v>90.1</v>
      </c>
      <c r="AV76" s="65">
        <v>94.6</v>
      </c>
      <c r="AW76" s="33">
        <v>85.8</v>
      </c>
      <c r="AX76" s="33">
        <v>4.3</v>
      </c>
      <c r="AY76" s="33">
        <v>9.1999999999999993</v>
      </c>
      <c r="AZ76" s="33">
        <v>-13.3</v>
      </c>
      <c r="BA76" s="33">
        <v>-6.3</v>
      </c>
      <c r="BB76" s="33">
        <v>81.400000000000006</v>
      </c>
      <c r="BC76" s="33">
        <v>84.9</v>
      </c>
      <c r="BD76" s="33">
        <v>78</v>
      </c>
      <c r="BE76" s="33">
        <v>-20.399999999999999</v>
      </c>
      <c r="BF76" s="33">
        <v>-9.1</v>
      </c>
      <c r="BG76" s="33">
        <v>-20.3</v>
      </c>
      <c r="BH76" s="33">
        <v>170.7</v>
      </c>
      <c r="BI76" s="33">
        <v>51.1</v>
      </c>
      <c r="BJ76" s="34" t="s">
        <v>243</v>
      </c>
      <c r="BK76" s="45">
        <v>-33.694301450778568</v>
      </c>
      <c r="BL76" s="45" t="s">
        <v>243</v>
      </c>
      <c r="BM76" s="33">
        <v>99.609399999999994</v>
      </c>
      <c r="BN76" s="33">
        <v>99.665899999999993</v>
      </c>
      <c r="BO76" s="33">
        <v>-30.4</v>
      </c>
      <c r="BP76" s="33">
        <v>-34.5</v>
      </c>
      <c r="BQ76" s="33">
        <v>13.4</v>
      </c>
      <c r="BR76" s="33">
        <v>0.1</v>
      </c>
      <c r="BS76" s="33">
        <v>2.2999999999999998</v>
      </c>
      <c r="BT76" s="45" t="s">
        <v>243</v>
      </c>
      <c r="BU76" s="33">
        <v>-14.6</v>
      </c>
      <c r="BV76" s="33">
        <v>34.9</v>
      </c>
      <c r="BW76" s="33">
        <v>-13</v>
      </c>
      <c r="BX76" s="33">
        <v>-22.9</v>
      </c>
      <c r="BY76" s="33">
        <v>-49.7</v>
      </c>
      <c r="BZ76" s="33">
        <v>100.7</v>
      </c>
      <c r="CA76" s="33">
        <v>-13</v>
      </c>
      <c r="CB76" s="33">
        <v>-6.4</v>
      </c>
      <c r="CC76" s="33">
        <v>-2.2000000000000002</v>
      </c>
      <c r="CD76" s="33">
        <v>-37.9</v>
      </c>
      <c r="CE76" s="33">
        <v>-30.4</v>
      </c>
      <c r="CF76" s="33">
        <v>20.7</v>
      </c>
      <c r="CG76" s="33">
        <v>46.5</v>
      </c>
      <c r="CH76" s="33">
        <v>43.8</v>
      </c>
      <c r="CI76" s="33">
        <v>-22.4</v>
      </c>
      <c r="CJ76" s="33">
        <v>-13</v>
      </c>
      <c r="CK76" s="33">
        <v>5.3</v>
      </c>
      <c r="CL76" s="33">
        <v>10.3</v>
      </c>
      <c r="CM76" s="33">
        <v>1486.3076189999999</v>
      </c>
      <c r="CN76" s="33">
        <v>5087.13</v>
      </c>
      <c r="CO76" s="33">
        <v>614.44619</v>
      </c>
      <c r="CP76" s="33">
        <v>7.5190000000000001</v>
      </c>
      <c r="CQ76" s="33">
        <v>5.71</v>
      </c>
      <c r="CR76" s="33">
        <v>83.7</v>
      </c>
      <c r="CS76" s="121">
        <f t="shared" si="16"/>
        <v>47.25</v>
      </c>
      <c r="CT76" s="33">
        <v>84.6</v>
      </c>
      <c r="CU76" s="33">
        <v>90.4</v>
      </c>
      <c r="CV76" s="33">
        <v>146</v>
      </c>
      <c r="CW76" s="33">
        <v>83.6</v>
      </c>
      <c r="CX76" s="33"/>
      <c r="CY76" s="33">
        <v>2.38</v>
      </c>
      <c r="CZ76" s="33">
        <v>17610.663</v>
      </c>
      <c r="DA76" s="33">
        <v>2.15</v>
      </c>
      <c r="DB76" s="33">
        <v>13.66</v>
      </c>
      <c r="DC76" s="33">
        <v>18.690000000000001</v>
      </c>
      <c r="DD76" s="33">
        <v>5.63</v>
      </c>
      <c r="DE76" s="33">
        <v>4713.0770000000002</v>
      </c>
      <c r="DF76" s="33">
        <v>797.44</v>
      </c>
      <c r="DG76" s="33">
        <v>512.66399999999999</v>
      </c>
      <c r="DH76" s="33">
        <v>913.79399999999998</v>
      </c>
      <c r="DI76" s="33">
        <v>495.69299999999998</v>
      </c>
      <c r="DJ76" s="33">
        <v>101.35209999999999</v>
      </c>
      <c r="DK76" s="33">
        <v>101.66289999999999</v>
      </c>
      <c r="DL76" s="33">
        <v>101.16</v>
      </c>
      <c r="DM76" s="33">
        <v>101.4791</v>
      </c>
      <c r="DN76" s="33">
        <v>99.665899999999993</v>
      </c>
      <c r="DO76" s="33">
        <v>99.609399999999994</v>
      </c>
      <c r="DP76" s="33">
        <v>98.705600000000004</v>
      </c>
      <c r="DQ76" s="33">
        <v>98.575900000000004</v>
      </c>
      <c r="DR76" s="104">
        <v>177652</v>
      </c>
      <c r="DS76" s="104">
        <v>28159.733619597115</v>
      </c>
      <c r="DT76" s="103" t="s">
        <v>243</v>
      </c>
      <c r="DU76">
        <v>83.247947692871094</v>
      </c>
      <c r="DV76">
        <v>58.761466979980469</v>
      </c>
      <c r="DW76">
        <v>1634</v>
      </c>
      <c r="DX76">
        <v>221875</v>
      </c>
      <c r="DY76" s="102">
        <f t="shared" si="12"/>
        <v>58.099999999999994</v>
      </c>
    </row>
    <row r="77" spans="1:129" x14ac:dyDescent="0.25">
      <c r="A77" s="1">
        <v>35065</v>
      </c>
      <c r="B77" s="33">
        <v>74.099999999999994</v>
      </c>
      <c r="C77" s="88">
        <v>3.61</v>
      </c>
      <c r="D77" s="33">
        <v>3</v>
      </c>
      <c r="E77" s="72">
        <v>3.56</v>
      </c>
      <c r="F77" s="33">
        <v>4.5599999999999996</v>
      </c>
      <c r="G77" s="33">
        <v>5.44</v>
      </c>
      <c r="H77" s="33">
        <v>5.89</v>
      </c>
      <c r="I77" s="33">
        <f t="shared" si="17"/>
        <v>2.2799999999999998</v>
      </c>
      <c r="J77" s="33">
        <f t="shared" si="18"/>
        <v>2.8899999999999997</v>
      </c>
      <c r="K77" s="33">
        <f t="shared" si="19"/>
        <v>2.3299999999999996</v>
      </c>
      <c r="L77" s="33">
        <f t="shared" si="20"/>
        <v>-0.60999999999999988</v>
      </c>
      <c r="M77" s="33">
        <v>108.1</v>
      </c>
      <c r="N77" s="33">
        <v>2253.88</v>
      </c>
      <c r="O77" s="33">
        <v>12.76</v>
      </c>
      <c r="P77" s="87">
        <v>520.20000000000005</v>
      </c>
      <c r="Q77" s="34">
        <f t="shared" si="4"/>
        <v>7.0297297297297305</v>
      </c>
      <c r="R77" s="71">
        <v>972.47561754989465</v>
      </c>
      <c r="S77" s="34">
        <f t="shared" si="5"/>
        <v>1314.15623993229</v>
      </c>
      <c r="T77" s="71">
        <v>1027.8965607189737</v>
      </c>
      <c r="U77" s="34">
        <f t="shared" si="6"/>
        <v>1389.0494063769913</v>
      </c>
      <c r="V77" s="116">
        <v>586293</v>
      </c>
      <c r="W77" s="116">
        <v>1342826</v>
      </c>
      <c r="X77" s="117">
        <v>3319911</v>
      </c>
      <c r="Y77" s="117">
        <v>572072</v>
      </c>
      <c r="Z77" s="33">
        <v>68.3</v>
      </c>
      <c r="AA77" s="33">
        <v>52.4</v>
      </c>
      <c r="AB77" s="33">
        <v>76.5</v>
      </c>
      <c r="AC77" s="33">
        <v>46.7</v>
      </c>
      <c r="AD77" s="33">
        <v>38080</v>
      </c>
      <c r="AE77" s="33">
        <v>10</v>
      </c>
      <c r="AF77" s="33">
        <v>267</v>
      </c>
      <c r="AG77" s="33">
        <v>71.3</v>
      </c>
      <c r="AH77" s="33">
        <v>74</v>
      </c>
      <c r="AI77" s="33">
        <v>76.7</v>
      </c>
      <c r="AJ77" s="33">
        <v>79.599999999999994</v>
      </c>
      <c r="AK77" s="33">
        <v>156.65495999999999</v>
      </c>
      <c r="AL77" s="33">
        <v>56.2</v>
      </c>
      <c r="AM77" s="123"/>
      <c r="AN77" s="123">
        <v>10.899287443946692</v>
      </c>
      <c r="AO77" s="123"/>
      <c r="AP77" s="33">
        <v>13.83</v>
      </c>
      <c r="AQ77" s="33">
        <f t="shared" si="7"/>
        <v>0.18031290743155148</v>
      </c>
      <c r="AR77" s="33">
        <v>85.2</v>
      </c>
      <c r="AS77" s="33">
        <v>90.6</v>
      </c>
      <c r="AT77" s="33">
        <v>80.099999999999994</v>
      </c>
      <c r="AU77" s="33">
        <v>87.7</v>
      </c>
      <c r="AV77" s="65">
        <v>93</v>
      </c>
      <c r="AW77" s="33">
        <v>82.7</v>
      </c>
      <c r="AX77" s="33">
        <v>-1.8</v>
      </c>
      <c r="AY77" s="33">
        <v>-3</v>
      </c>
      <c r="AZ77" s="33">
        <v>-18.8</v>
      </c>
      <c r="BA77" s="33">
        <v>-5.9</v>
      </c>
      <c r="BB77" s="33">
        <v>78.5</v>
      </c>
      <c r="BC77" s="33">
        <v>83.5</v>
      </c>
      <c r="BD77" s="33">
        <v>73.8</v>
      </c>
      <c r="BE77" s="33">
        <v>-40.299999999999997</v>
      </c>
      <c r="BF77" s="33">
        <v>8.4</v>
      </c>
      <c r="BG77" s="33">
        <v>-26.4</v>
      </c>
      <c r="BH77" s="33">
        <v>172.3</v>
      </c>
      <c r="BI77" s="33">
        <v>74.900000000000006</v>
      </c>
      <c r="BJ77" s="34" t="s">
        <v>243</v>
      </c>
      <c r="BK77" s="45">
        <v>-15.131754475680605</v>
      </c>
      <c r="BL77" s="45" t="s">
        <v>243</v>
      </c>
      <c r="BM77" s="33">
        <v>99.391099999999994</v>
      </c>
      <c r="BN77" s="33">
        <v>99.478399999999993</v>
      </c>
      <c r="BO77" s="33">
        <v>-32.6</v>
      </c>
      <c r="BP77" s="33">
        <v>-36.200000000000003</v>
      </c>
      <c r="BQ77" s="33">
        <v>14.5</v>
      </c>
      <c r="BR77" s="33">
        <v>-5.0999999999999996</v>
      </c>
      <c r="BS77" s="33">
        <v>1.6</v>
      </c>
      <c r="BT77" s="45" t="s">
        <v>243</v>
      </c>
      <c r="BU77" s="33">
        <v>-17.399999999999999</v>
      </c>
      <c r="BV77" s="33">
        <v>35.700000000000003</v>
      </c>
      <c r="BW77" s="33">
        <v>-16.2</v>
      </c>
      <c r="BX77" s="33">
        <v>-23.5</v>
      </c>
      <c r="BY77" s="33">
        <v>-49.9</v>
      </c>
      <c r="BZ77" s="33">
        <v>98.3</v>
      </c>
      <c r="CA77" s="33">
        <v>-16.2</v>
      </c>
      <c r="CB77" s="33">
        <v>-11.4</v>
      </c>
      <c r="CC77" s="33">
        <v>-5.8</v>
      </c>
      <c r="CD77" s="33">
        <v>-46.6</v>
      </c>
      <c r="CE77" s="33">
        <v>-33.6</v>
      </c>
      <c r="CF77" s="33">
        <v>24.2</v>
      </c>
      <c r="CG77" s="33">
        <v>49.2</v>
      </c>
      <c r="CH77" s="33">
        <v>47.2</v>
      </c>
      <c r="CI77" s="33">
        <v>-26.1</v>
      </c>
      <c r="CJ77" s="33">
        <v>-14.2</v>
      </c>
      <c r="CK77" s="33">
        <v>4.5</v>
      </c>
      <c r="CL77" s="33">
        <v>9.3000000000000007</v>
      </c>
      <c r="CM77" s="33">
        <v>1556.213913</v>
      </c>
      <c r="CN77" s="33">
        <v>5117.12</v>
      </c>
      <c r="CO77" s="33">
        <v>614.48478299999999</v>
      </c>
      <c r="CP77" s="33">
        <v>7.4189999999999996</v>
      </c>
      <c r="CQ77" s="33">
        <v>5.58</v>
      </c>
      <c r="CR77" s="33">
        <v>78.7</v>
      </c>
      <c r="CS77" s="121">
        <f t="shared" si="16"/>
        <v>51.850000000000009</v>
      </c>
      <c r="CT77" s="33">
        <v>86.6</v>
      </c>
      <c r="CU77" s="33">
        <v>90.5</v>
      </c>
      <c r="CV77" s="33">
        <v>146</v>
      </c>
      <c r="CW77" s="33">
        <v>94.3</v>
      </c>
      <c r="CX77" s="33">
        <v>95.1</v>
      </c>
      <c r="CY77" s="33">
        <v>2.27</v>
      </c>
      <c r="CZ77" s="33">
        <v>18999.505000000001</v>
      </c>
      <c r="DA77" s="33">
        <v>1.93</v>
      </c>
      <c r="DB77" s="33">
        <v>15.24</v>
      </c>
      <c r="DC77" s="33">
        <v>19.03</v>
      </c>
      <c r="DD77" s="33">
        <v>5.97</v>
      </c>
      <c r="DE77" s="33">
        <v>3805.2510000000002</v>
      </c>
      <c r="DF77" s="33">
        <v>626.596</v>
      </c>
      <c r="DG77" s="33">
        <v>400.53</v>
      </c>
      <c r="DH77" s="33">
        <v>827.45699999999999</v>
      </c>
      <c r="DI77" s="33">
        <v>331.108</v>
      </c>
      <c r="DJ77" s="33">
        <v>101.41419999999999</v>
      </c>
      <c r="DK77" s="33">
        <v>101.74</v>
      </c>
      <c r="DL77" s="33">
        <v>101.05</v>
      </c>
      <c r="DM77" s="33">
        <v>101.3398</v>
      </c>
      <c r="DN77" s="33">
        <v>99.478399999999993</v>
      </c>
      <c r="DO77" s="33">
        <v>99.391099999999994</v>
      </c>
      <c r="DP77" s="33">
        <v>98.766300000000001</v>
      </c>
      <c r="DQ77" s="33">
        <v>98.642600000000002</v>
      </c>
      <c r="DR77" s="104">
        <v>176058</v>
      </c>
      <c r="DS77" s="104">
        <v>27778.656712349079</v>
      </c>
      <c r="DT77" s="103" t="s">
        <v>243</v>
      </c>
      <c r="DU77">
        <v>77.217086791992188</v>
      </c>
      <c r="DV77">
        <v>76.963348388671875</v>
      </c>
      <c r="DW77">
        <v>1604</v>
      </c>
      <c r="DX77">
        <v>296425</v>
      </c>
      <c r="DY77" s="102">
        <f t="shared" si="12"/>
        <v>57.599999999999994</v>
      </c>
    </row>
    <row r="78" spans="1:129" x14ac:dyDescent="0.25">
      <c r="A78" s="1">
        <v>35096</v>
      </c>
      <c r="B78" s="33">
        <v>73.2</v>
      </c>
      <c r="C78" s="88">
        <v>3.34</v>
      </c>
      <c r="D78" s="33">
        <v>3</v>
      </c>
      <c r="E78" s="72">
        <v>3.3000000000000003</v>
      </c>
      <c r="F78" s="33">
        <v>4.96</v>
      </c>
      <c r="G78" s="33">
        <v>5.82</v>
      </c>
      <c r="H78" s="33">
        <v>6.2</v>
      </c>
      <c r="I78" s="33">
        <f t="shared" si="17"/>
        <v>2.8600000000000003</v>
      </c>
      <c r="J78" s="33">
        <f t="shared" si="18"/>
        <v>3.2</v>
      </c>
      <c r="K78" s="33">
        <f t="shared" si="19"/>
        <v>2.9</v>
      </c>
      <c r="L78" s="33">
        <f t="shared" si="20"/>
        <v>-0.33999999999999986</v>
      </c>
      <c r="M78" s="33">
        <v>108</v>
      </c>
      <c r="N78" s="33">
        <v>2459.2600000000002</v>
      </c>
      <c r="O78" s="33">
        <v>14.32</v>
      </c>
      <c r="P78" s="87">
        <v>525.30000000000007</v>
      </c>
      <c r="Q78" s="34">
        <f t="shared" si="4"/>
        <v>7.0890688259109327</v>
      </c>
      <c r="R78" s="71">
        <v>980.10362513926543</v>
      </c>
      <c r="S78" s="34">
        <f t="shared" si="5"/>
        <v>1322.6769570030574</v>
      </c>
      <c r="T78" s="71">
        <v>1035.9932345824816</v>
      </c>
      <c r="U78" s="34">
        <f t="shared" si="6"/>
        <v>1398.1015311504477</v>
      </c>
      <c r="V78" s="116">
        <v>589436</v>
      </c>
      <c r="W78" s="116">
        <v>1342788</v>
      </c>
      <c r="X78" s="117">
        <v>3329074</v>
      </c>
      <c r="Y78" s="117">
        <v>577072</v>
      </c>
      <c r="Z78" s="33">
        <v>67.2</v>
      </c>
      <c r="AA78" s="33">
        <v>51.8</v>
      </c>
      <c r="AB78" s="33">
        <v>74.2</v>
      </c>
      <c r="AC78" s="33">
        <v>46.7</v>
      </c>
      <c r="AD78" s="33">
        <v>38062</v>
      </c>
      <c r="AE78" s="33">
        <v>10.199999999999999</v>
      </c>
      <c r="AF78" s="33">
        <v>264</v>
      </c>
      <c r="AG78" s="33">
        <v>71.400000000000006</v>
      </c>
      <c r="AH78" s="33">
        <v>74.099999999999994</v>
      </c>
      <c r="AI78" s="33">
        <v>76.5</v>
      </c>
      <c r="AJ78" s="33">
        <v>79.599999999999994</v>
      </c>
      <c r="AK78" s="33">
        <v>156.65495999999999</v>
      </c>
      <c r="AL78" s="33">
        <v>56.2</v>
      </c>
      <c r="AM78" s="123"/>
      <c r="AN78" s="123">
        <v>10.869750079599955</v>
      </c>
      <c r="AO78" s="123"/>
      <c r="AP78" s="33">
        <v>13.66</v>
      </c>
      <c r="AQ78" s="33">
        <f t="shared" si="7"/>
        <v>0.17856209150326799</v>
      </c>
      <c r="AR78" s="33">
        <v>85.1</v>
      </c>
      <c r="AS78" s="33">
        <v>91.2</v>
      </c>
      <c r="AT78" s="33">
        <v>79.400000000000006</v>
      </c>
      <c r="AU78" s="33">
        <v>87.4</v>
      </c>
      <c r="AV78" s="65">
        <v>93.2</v>
      </c>
      <c r="AW78" s="33">
        <v>82</v>
      </c>
      <c r="AX78" s="33">
        <v>-5.4</v>
      </c>
      <c r="AY78" s="33">
        <v>-6.8</v>
      </c>
      <c r="AZ78" s="33">
        <v>-20</v>
      </c>
      <c r="BA78" s="33">
        <v>-11.8</v>
      </c>
      <c r="BB78" s="33">
        <v>77.400000000000006</v>
      </c>
      <c r="BC78" s="33">
        <v>82.5</v>
      </c>
      <c r="BD78" s="33">
        <v>72.599999999999994</v>
      </c>
      <c r="BE78" s="33">
        <v>-57.1</v>
      </c>
      <c r="BF78" s="33">
        <v>19.5</v>
      </c>
      <c r="BG78" s="33">
        <v>-29.1</v>
      </c>
      <c r="BH78" s="33">
        <v>172.9</v>
      </c>
      <c r="BI78" s="33">
        <v>79.2</v>
      </c>
      <c r="BJ78" s="34" t="s">
        <v>243</v>
      </c>
      <c r="BK78" s="45">
        <v>1.0278191201484645</v>
      </c>
      <c r="BL78" s="45" t="s">
        <v>243</v>
      </c>
      <c r="BM78" s="33">
        <v>99.228300000000004</v>
      </c>
      <c r="BN78" s="33">
        <v>99.338499999999996</v>
      </c>
      <c r="BO78" s="33">
        <v>-38.200000000000003</v>
      </c>
      <c r="BP78" s="33">
        <v>-37.5</v>
      </c>
      <c r="BQ78" s="33">
        <v>16.8</v>
      </c>
      <c r="BR78" s="33">
        <v>-6.3</v>
      </c>
      <c r="BS78" s="33">
        <v>-2.4</v>
      </c>
      <c r="BT78" s="45" t="s">
        <v>243</v>
      </c>
      <c r="BU78" s="33">
        <v>-20.399999999999999</v>
      </c>
      <c r="BV78" s="33">
        <v>36.299999999999997</v>
      </c>
      <c r="BW78" s="33">
        <v>-17.3</v>
      </c>
      <c r="BX78" s="33">
        <v>-25.7</v>
      </c>
      <c r="BY78" s="33">
        <v>-50.4</v>
      </c>
      <c r="BZ78" s="33">
        <v>96.8</v>
      </c>
      <c r="CA78" s="33">
        <v>-17.3</v>
      </c>
      <c r="CB78" s="33">
        <v>-11.6</v>
      </c>
      <c r="CC78" s="33">
        <v>-5.0999999999999996</v>
      </c>
      <c r="CD78" s="33">
        <v>-49.7</v>
      </c>
      <c r="CE78" s="33">
        <v>-36.700000000000003</v>
      </c>
      <c r="CF78" s="33">
        <v>22.5</v>
      </c>
      <c r="CG78" s="33">
        <v>46.2</v>
      </c>
      <c r="CH78" s="33">
        <v>48.7</v>
      </c>
      <c r="CI78" s="33">
        <v>-24.7</v>
      </c>
      <c r="CJ78" s="33">
        <v>-16</v>
      </c>
      <c r="CK78" s="33">
        <v>4.4000000000000004</v>
      </c>
      <c r="CL78" s="33">
        <v>10.1</v>
      </c>
      <c r="CM78" s="33">
        <v>1587.580952</v>
      </c>
      <c r="CN78" s="33">
        <v>5405.05</v>
      </c>
      <c r="CO78" s="33">
        <v>649.46714299999996</v>
      </c>
      <c r="CP78" s="33">
        <v>7.4589999999999996</v>
      </c>
      <c r="CQ78" s="33">
        <v>5.63</v>
      </c>
      <c r="CR78" s="33">
        <v>77.8</v>
      </c>
      <c r="CS78" s="121">
        <f t="shared" si="16"/>
        <v>49.850000000000009</v>
      </c>
      <c r="CT78" s="33">
        <v>87.2</v>
      </c>
      <c r="CU78" s="33">
        <v>89.7</v>
      </c>
      <c r="CV78" s="33">
        <v>147.19999999999999</v>
      </c>
      <c r="CW78" s="33">
        <v>93.2</v>
      </c>
      <c r="CX78" s="33">
        <v>94.6</v>
      </c>
      <c r="CY78" s="33">
        <v>2.42</v>
      </c>
      <c r="CZ78" s="33">
        <v>18278.012999999999</v>
      </c>
      <c r="DA78" s="33">
        <v>1.97</v>
      </c>
      <c r="DB78" s="33">
        <v>12.88</v>
      </c>
      <c r="DC78" s="33">
        <v>17.91</v>
      </c>
      <c r="DD78" s="33">
        <v>5.87</v>
      </c>
      <c r="DE78" s="33">
        <v>4188.4840000000004</v>
      </c>
      <c r="DF78" s="33">
        <v>607.73400000000004</v>
      </c>
      <c r="DG78" s="33">
        <v>388.971</v>
      </c>
      <c r="DH78" s="33">
        <v>929.55799999999999</v>
      </c>
      <c r="DI78" s="33">
        <v>404.767</v>
      </c>
      <c r="DJ78" s="33">
        <v>101.44240000000001</v>
      </c>
      <c r="DK78" s="33">
        <v>101.7791</v>
      </c>
      <c r="DL78" s="33">
        <v>100.91</v>
      </c>
      <c r="DM78" s="33">
        <v>101.15560000000001</v>
      </c>
      <c r="DN78" s="33">
        <v>99.338499999999996</v>
      </c>
      <c r="DO78" s="33">
        <v>99.228300000000004</v>
      </c>
      <c r="DP78" s="33">
        <v>98.879400000000004</v>
      </c>
      <c r="DQ78" s="33">
        <v>98.766999999999996</v>
      </c>
      <c r="DR78" s="104">
        <v>224876</v>
      </c>
      <c r="DS78" s="104">
        <v>27761.02972908282</v>
      </c>
      <c r="DT78" s="103" t="s">
        <v>243</v>
      </c>
      <c r="DU78">
        <v>127.78347015380859</v>
      </c>
      <c r="DV78">
        <v>123.00717926025391</v>
      </c>
      <c r="DW78">
        <v>1494</v>
      </c>
      <c r="DX78">
        <v>353700</v>
      </c>
      <c r="DY78" s="102">
        <f t="shared" si="12"/>
        <v>56.599999999999994</v>
      </c>
    </row>
    <row r="79" spans="1:129" x14ac:dyDescent="0.25">
      <c r="A79" s="1">
        <v>35125</v>
      </c>
      <c r="B79" s="33">
        <v>74.7</v>
      </c>
      <c r="C79" s="88">
        <v>3.38</v>
      </c>
      <c r="D79" s="33">
        <v>3</v>
      </c>
      <c r="E79" s="72">
        <v>3.3000000000000003</v>
      </c>
      <c r="F79" s="33">
        <v>5.0999999999999996</v>
      </c>
      <c r="G79" s="33">
        <v>5.99</v>
      </c>
      <c r="H79" s="33">
        <v>6.44</v>
      </c>
      <c r="I79" s="33">
        <f t="shared" si="17"/>
        <v>3.0600000000000005</v>
      </c>
      <c r="J79" s="33">
        <f t="shared" si="18"/>
        <v>3.4400000000000004</v>
      </c>
      <c r="K79" s="33">
        <f t="shared" si="19"/>
        <v>3.14</v>
      </c>
      <c r="L79" s="33">
        <f t="shared" si="20"/>
        <v>-0.37999999999999989</v>
      </c>
      <c r="M79" s="33">
        <v>107.3</v>
      </c>
      <c r="N79" s="33">
        <v>2501.2199999999998</v>
      </c>
      <c r="O79" s="33">
        <v>13.12</v>
      </c>
      <c r="P79" s="87">
        <v>528.80000000000007</v>
      </c>
      <c r="Q79" s="34">
        <f t="shared" si="4"/>
        <v>7.1266846361185987</v>
      </c>
      <c r="R79" s="71">
        <v>984.20367921855211</v>
      </c>
      <c r="S79" s="34">
        <f t="shared" si="5"/>
        <v>1326.4200528551914</v>
      </c>
      <c r="T79" s="71">
        <v>1040.4702189540681</v>
      </c>
      <c r="U79" s="34">
        <f t="shared" si="6"/>
        <v>1402.2509689407923</v>
      </c>
      <c r="V79" s="116">
        <v>590101</v>
      </c>
      <c r="W79" s="116">
        <v>1347622</v>
      </c>
      <c r="X79" s="117">
        <v>3337370</v>
      </c>
      <c r="Y79" s="117">
        <v>582022</v>
      </c>
      <c r="Z79" s="33">
        <v>67.900000000000006</v>
      </c>
      <c r="AA79" s="33">
        <v>53.8</v>
      </c>
      <c r="AB79" s="33">
        <v>76.900000000000006</v>
      </c>
      <c r="AC79" s="33">
        <v>49.1</v>
      </c>
      <c r="AD79" s="33">
        <v>38006</v>
      </c>
      <c r="AE79" s="33">
        <v>10.3</v>
      </c>
      <c r="AF79" s="33">
        <v>267</v>
      </c>
      <c r="AG79" s="33">
        <v>71.599999999999994</v>
      </c>
      <c r="AH79" s="33">
        <v>74.2</v>
      </c>
      <c r="AI79" s="33">
        <v>76.900000000000006</v>
      </c>
      <c r="AJ79" s="33">
        <v>79.599999999999994</v>
      </c>
      <c r="AK79" s="33">
        <v>156.47694300000001</v>
      </c>
      <c r="AL79" s="33">
        <v>56.3</v>
      </c>
      <c r="AM79" s="123"/>
      <c r="AN79" s="123">
        <v>11.767546546351575</v>
      </c>
      <c r="AO79" s="123"/>
      <c r="AP79" s="33">
        <v>15.23</v>
      </c>
      <c r="AQ79" s="33">
        <f t="shared" si="7"/>
        <v>0.19804941482444732</v>
      </c>
      <c r="AR79" s="33">
        <v>84.1</v>
      </c>
      <c r="AS79" s="33">
        <v>91.2</v>
      </c>
      <c r="AT79" s="33">
        <v>77.5</v>
      </c>
      <c r="AU79" s="33">
        <v>85.5</v>
      </c>
      <c r="AV79" s="65">
        <v>92.5</v>
      </c>
      <c r="AW79" s="33">
        <v>79.099999999999994</v>
      </c>
      <c r="AX79" s="33">
        <v>-8.1</v>
      </c>
      <c r="AY79" s="33">
        <v>-11.7</v>
      </c>
      <c r="AZ79" s="33">
        <v>-23.2</v>
      </c>
      <c r="BA79" s="33">
        <v>-10.9</v>
      </c>
      <c r="BB79" s="33">
        <v>77.2</v>
      </c>
      <c r="BC79" s="33">
        <v>84.9</v>
      </c>
      <c r="BD79" s="33">
        <v>70.2</v>
      </c>
      <c r="BE79" s="33">
        <v>-77.599999999999994</v>
      </c>
      <c r="BF79" s="33">
        <v>31.5</v>
      </c>
      <c r="BG79" s="33">
        <v>-26.1</v>
      </c>
      <c r="BH79" s="33">
        <v>175.6</v>
      </c>
      <c r="BI79" s="33">
        <v>60.3</v>
      </c>
      <c r="BJ79" s="34" t="s">
        <v>243</v>
      </c>
      <c r="BK79" s="45">
        <v>23.712941729181793</v>
      </c>
      <c r="BL79" s="45" t="s">
        <v>243</v>
      </c>
      <c r="BM79" s="33">
        <v>99.142099999999999</v>
      </c>
      <c r="BN79" s="33">
        <v>99.264499999999998</v>
      </c>
      <c r="BO79" s="33">
        <v>-38.9</v>
      </c>
      <c r="BP79" s="33">
        <v>-39.799999999999997</v>
      </c>
      <c r="BQ79" s="33">
        <v>19.5</v>
      </c>
      <c r="BR79" s="33">
        <v>-9.4</v>
      </c>
      <c r="BS79" s="33">
        <v>-1.9</v>
      </c>
      <c r="BT79" s="45" t="s">
        <v>243</v>
      </c>
      <c r="BU79" s="33">
        <v>-22.6</v>
      </c>
      <c r="BV79" s="33">
        <v>36.5</v>
      </c>
      <c r="BW79" s="33">
        <v>-15.7</v>
      </c>
      <c r="BX79" s="33">
        <v>-22.8</v>
      </c>
      <c r="BY79" s="33">
        <v>-49</v>
      </c>
      <c r="BZ79" s="33">
        <v>96.6</v>
      </c>
      <c r="CA79" s="33">
        <v>-15.7</v>
      </c>
      <c r="CB79" s="33">
        <v>-9.3000000000000007</v>
      </c>
      <c r="CC79" s="33">
        <v>-4.0999999999999996</v>
      </c>
      <c r="CD79" s="33">
        <v>-48.7</v>
      </c>
      <c r="CE79" s="33">
        <v>-35.700000000000003</v>
      </c>
      <c r="CF79" s="33">
        <v>18.3</v>
      </c>
      <c r="CG79" s="33">
        <v>44.1</v>
      </c>
      <c r="CH79" s="33">
        <v>49.5</v>
      </c>
      <c r="CI79" s="33">
        <v>-25.8</v>
      </c>
      <c r="CJ79" s="33">
        <v>-13.6</v>
      </c>
      <c r="CK79" s="33">
        <v>4.3</v>
      </c>
      <c r="CL79" s="33">
        <v>11.1</v>
      </c>
      <c r="CM79" s="33">
        <v>1594.0128569999999</v>
      </c>
      <c r="CN79" s="33">
        <v>5536.56</v>
      </c>
      <c r="CO79" s="33">
        <v>647.07476199999996</v>
      </c>
      <c r="CP79" s="33">
        <v>7.8470000000000004</v>
      </c>
      <c r="CQ79" s="33">
        <v>5.99</v>
      </c>
      <c r="CR79" s="33">
        <v>86.2</v>
      </c>
      <c r="CS79" s="121">
        <f t="shared" si="16"/>
        <v>49.25</v>
      </c>
      <c r="CT79" s="33">
        <v>88.3</v>
      </c>
      <c r="CU79" s="33">
        <v>91.1</v>
      </c>
      <c r="CV79" s="33">
        <v>128.5</v>
      </c>
      <c r="CW79" s="33">
        <v>83.6</v>
      </c>
      <c r="CX79" s="33">
        <v>90.1</v>
      </c>
      <c r="CY79" s="33">
        <v>2.37</v>
      </c>
      <c r="CZ79" s="33">
        <v>19214.542000000001</v>
      </c>
      <c r="DA79" s="33">
        <v>2.09</v>
      </c>
      <c r="DB79" s="33">
        <v>13.71</v>
      </c>
      <c r="DC79" s="33">
        <v>18.239999999999998</v>
      </c>
      <c r="DD79" s="33">
        <v>5.82</v>
      </c>
      <c r="DE79" s="33">
        <v>4127.4530000000004</v>
      </c>
      <c r="DF79" s="33">
        <v>624.08500000000004</v>
      </c>
      <c r="DG79" s="33">
        <v>434.92599999999999</v>
      </c>
      <c r="DH79" s="33">
        <v>960.09900000000005</v>
      </c>
      <c r="DI79" s="33">
        <v>363.42</v>
      </c>
      <c r="DJ79" s="33">
        <v>101.4482</v>
      </c>
      <c r="DK79" s="33">
        <v>101.7924</v>
      </c>
      <c r="DL79" s="33">
        <v>100.75</v>
      </c>
      <c r="DM79" s="33">
        <v>100.9529</v>
      </c>
      <c r="DN79" s="33">
        <v>99.264499999999998</v>
      </c>
      <c r="DO79" s="33">
        <v>99.142099999999999</v>
      </c>
      <c r="DP79" s="33">
        <v>99.033299999999997</v>
      </c>
      <c r="DQ79" s="33">
        <v>98.936300000000003</v>
      </c>
      <c r="DR79" s="104">
        <v>245696</v>
      </c>
      <c r="DS79" s="104">
        <v>27718.431186189366</v>
      </c>
      <c r="DT79" s="103" t="s">
        <v>243</v>
      </c>
      <c r="DU79">
        <v>132.01681518554688</v>
      </c>
      <c r="DV79">
        <v>136.39912414550781</v>
      </c>
      <c r="DW79">
        <v>1357</v>
      </c>
      <c r="DX79">
        <v>347975</v>
      </c>
      <c r="DY79" s="102">
        <f t="shared" si="12"/>
        <v>55.7</v>
      </c>
    </row>
    <row r="80" spans="1:129" x14ac:dyDescent="0.25">
      <c r="A80" s="1">
        <v>35156</v>
      </c>
      <c r="B80" s="33">
        <v>75.400000000000006</v>
      </c>
      <c r="C80" s="88">
        <v>3.37</v>
      </c>
      <c r="D80" s="33">
        <v>2.5</v>
      </c>
      <c r="E80" s="72">
        <v>3.27</v>
      </c>
      <c r="F80" s="33">
        <v>5</v>
      </c>
      <c r="G80" s="33">
        <v>5.88</v>
      </c>
      <c r="H80" s="33">
        <v>6.38</v>
      </c>
      <c r="I80" s="33">
        <f t="shared" si="17"/>
        <v>3.01</v>
      </c>
      <c r="J80" s="33">
        <f t="shared" si="18"/>
        <v>3.88</v>
      </c>
      <c r="K80" s="33">
        <f t="shared" si="19"/>
        <v>3.11</v>
      </c>
      <c r="L80" s="33">
        <f t="shared" si="20"/>
        <v>-0.87000000000000011</v>
      </c>
      <c r="M80" s="33">
        <v>106.5</v>
      </c>
      <c r="N80" s="33">
        <v>2489.09</v>
      </c>
      <c r="O80" s="33">
        <v>13.53</v>
      </c>
      <c r="P80" s="87">
        <v>536.20000000000005</v>
      </c>
      <c r="Q80" s="34">
        <f t="shared" si="4"/>
        <v>7.2166890982503373</v>
      </c>
      <c r="R80" s="71">
        <v>993.73868870526542</v>
      </c>
      <c r="S80" s="34">
        <f t="shared" si="5"/>
        <v>1337.4679524969927</v>
      </c>
      <c r="T80" s="71">
        <v>1043.2326135663238</v>
      </c>
      <c r="U80" s="34">
        <f t="shared" si="6"/>
        <v>1404.0815794970713</v>
      </c>
      <c r="V80" s="116">
        <v>591088</v>
      </c>
      <c r="W80" s="116">
        <v>1360812</v>
      </c>
      <c r="X80" s="117">
        <v>3358564</v>
      </c>
      <c r="Y80" s="117">
        <v>574999</v>
      </c>
      <c r="Z80" s="33">
        <v>68</v>
      </c>
      <c r="AA80" s="33">
        <v>53.5</v>
      </c>
      <c r="AB80" s="33">
        <v>76.7</v>
      </c>
      <c r="AC80" s="33">
        <v>48.7</v>
      </c>
      <c r="AD80" s="33">
        <v>38090</v>
      </c>
      <c r="AE80" s="33">
        <v>10.3</v>
      </c>
      <c r="AF80" s="33">
        <v>269</v>
      </c>
      <c r="AG80" s="33">
        <v>71.8</v>
      </c>
      <c r="AH80" s="33">
        <v>74.3</v>
      </c>
      <c r="AI80" s="33">
        <v>77.099999999999994</v>
      </c>
      <c r="AJ80" s="33">
        <v>79.599999999999994</v>
      </c>
      <c r="AK80" s="33">
        <v>156.65495999999999</v>
      </c>
      <c r="AL80" s="33">
        <v>56.4</v>
      </c>
      <c r="AM80" s="123"/>
      <c r="AN80" s="123">
        <v>12.875847329110449</v>
      </c>
      <c r="AO80" s="123">
        <v>50.077504484136782</v>
      </c>
      <c r="AP80" s="33">
        <v>16.489999999999998</v>
      </c>
      <c r="AQ80" s="33">
        <f t="shared" si="7"/>
        <v>0.21387808041504539</v>
      </c>
      <c r="AR80" s="33">
        <v>85.6</v>
      </c>
      <c r="AS80" s="33">
        <v>91.6</v>
      </c>
      <c r="AT80" s="33">
        <v>80</v>
      </c>
      <c r="AU80" s="33">
        <v>86.8</v>
      </c>
      <c r="AV80" s="65">
        <v>92.9</v>
      </c>
      <c r="AW80" s="33">
        <v>81.099999999999994</v>
      </c>
      <c r="AX80" s="33">
        <v>-7.8</v>
      </c>
      <c r="AY80" s="33">
        <v>-14.4</v>
      </c>
      <c r="AZ80" s="33">
        <v>-24</v>
      </c>
      <c r="BA80" s="33">
        <v>-10.9</v>
      </c>
      <c r="BB80" s="33">
        <v>80.099999999999994</v>
      </c>
      <c r="BC80" s="33">
        <v>86.4</v>
      </c>
      <c r="BD80" s="33">
        <v>74.2</v>
      </c>
      <c r="BE80" s="33">
        <v>-80.2</v>
      </c>
      <c r="BF80" s="33">
        <v>44.9</v>
      </c>
      <c r="BG80" s="33">
        <v>-21.4</v>
      </c>
      <c r="BH80" s="33">
        <v>175.3</v>
      </c>
      <c r="BI80" s="33">
        <v>13.8</v>
      </c>
      <c r="BJ80" s="34">
        <v>48.078996830000001</v>
      </c>
      <c r="BK80" s="45">
        <v>31.040106671629076</v>
      </c>
      <c r="BL80" s="45" t="s">
        <v>243</v>
      </c>
      <c r="BM80" s="33">
        <v>99.132800000000003</v>
      </c>
      <c r="BN80" s="33">
        <v>99.256399999999999</v>
      </c>
      <c r="BO80" s="33">
        <v>-39.6</v>
      </c>
      <c r="BP80" s="33">
        <v>-39.700000000000003</v>
      </c>
      <c r="BQ80" s="33">
        <v>18.600000000000001</v>
      </c>
      <c r="BR80" s="33">
        <v>-9</v>
      </c>
      <c r="BS80" s="33">
        <v>-1.7</v>
      </c>
      <c r="BT80" s="45" t="s">
        <v>243</v>
      </c>
      <c r="BU80" s="33">
        <v>-22.4</v>
      </c>
      <c r="BV80" s="33">
        <v>32.799999999999997</v>
      </c>
      <c r="BW80" s="33">
        <v>-16.7</v>
      </c>
      <c r="BX80" s="33">
        <v>-20.5</v>
      </c>
      <c r="BY80" s="33">
        <v>-46.3</v>
      </c>
      <c r="BZ80" s="33">
        <v>95.6</v>
      </c>
      <c r="CA80" s="33">
        <v>-16.7</v>
      </c>
      <c r="CB80" s="33">
        <v>-11.6</v>
      </c>
      <c r="CC80" s="33">
        <v>-5.4</v>
      </c>
      <c r="CD80" s="33">
        <v>-50.6</v>
      </c>
      <c r="CE80" s="33">
        <v>-36.1</v>
      </c>
      <c r="CF80" s="33">
        <v>21.3</v>
      </c>
      <c r="CG80" s="33">
        <v>46.7</v>
      </c>
      <c r="CH80" s="33">
        <v>49.9</v>
      </c>
      <c r="CI80" s="33">
        <v>-25.2</v>
      </c>
      <c r="CJ80" s="33">
        <v>-13.6</v>
      </c>
      <c r="CK80" s="33">
        <v>1.7</v>
      </c>
      <c r="CL80" s="33">
        <v>10.6</v>
      </c>
      <c r="CM80" s="33">
        <v>1645.455909</v>
      </c>
      <c r="CN80" s="33">
        <v>5637.71</v>
      </c>
      <c r="CO80" s="33">
        <v>647.56772699999999</v>
      </c>
      <c r="CP80" s="33">
        <v>8.1150000000000002</v>
      </c>
      <c r="CQ80" s="33">
        <v>6.31</v>
      </c>
      <c r="CR80" s="33">
        <v>83</v>
      </c>
      <c r="CS80" s="121">
        <f t="shared" si="16"/>
        <v>48.150000000000006</v>
      </c>
      <c r="CT80" s="33">
        <v>89.2</v>
      </c>
      <c r="CU80" s="33">
        <v>91.2</v>
      </c>
      <c r="CV80" s="33">
        <v>152.30000000000001</v>
      </c>
      <c r="CW80" s="33">
        <v>85.9</v>
      </c>
      <c r="CX80" s="33">
        <v>84.9</v>
      </c>
      <c r="CY80" s="33">
        <v>2.46</v>
      </c>
      <c r="CZ80" s="33">
        <v>19345.306</v>
      </c>
      <c r="DA80" s="33">
        <v>2.0099999999999998</v>
      </c>
      <c r="DB80" s="33">
        <v>13.84</v>
      </c>
      <c r="DC80" s="33">
        <v>18.63</v>
      </c>
      <c r="DD80" s="33">
        <v>5.8</v>
      </c>
      <c r="DE80" s="33">
        <v>4187.7860000000001</v>
      </c>
      <c r="DF80" s="33">
        <v>581.24599999999998</v>
      </c>
      <c r="DG80" s="33">
        <v>453.66699999999997</v>
      </c>
      <c r="DH80" s="33">
        <v>940.15599999999995</v>
      </c>
      <c r="DI80" s="33">
        <v>493.68299999999999</v>
      </c>
      <c r="DJ80" s="33">
        <v>101.4457</v>
      </c>
      <c r="DK80" s="33">
        <v>101.7944</v>
      </c>
      <c r="DL80" s="33">
        <v>100.6</v>
      </c>
      <c r="DM80" s="33">
        <v>100.7612</v>
      </c>
      <c r="DN80" s="33">
        <v>99.256399999999999</v>
      </c>
      <c r="DO80" s="33">
        <v>99.132800000000003</v>
      </c>
      <c r="DP80" s="33">
        <v>99.195800000000006</v>
      </c>
      <c r="DQ80" s="33">
        <v>99.114999999999995</v>
      </c>
      <c r="DR80" s="104">
        <v>281917</v>
      </c>
      <c r="DS80" s="104">
        <v>27762.498644355008</v>
      </c>
      <c r="DT80" s="103" t="s">
        <v>243</v>
      </c>
      <c r="DU80">
        <v>79.618217468261719</v>
      </c>
      <c r="DV80">
        <v>69.279289245605469</v>
      </c>
      <c r="DW80">
        <v>1449</v>
      </c>
      <c r="DX80">
        <v>319375</v>
      </c>
      <c r="DY80" s="102">
        <f t="shared" si="12"/>
        <v>57.2</v>
      </c>
    </row>
    <row r="81" spans="1:129" x14ac:dyDescent="0.25">
      <c r="A81" s="1">
        <v>35186</v>
      </c>
      <c r="B81" s="33">
        <v>76.2</v>
      </c>
      <c r="C81" s="88">
        <v>3.33</v>
      </c>
      <c r="D81" s="33">
        <v>2.5</v>
      </c>
      <c r="E81" s="72">
        <v>3.25</v>
      </c>
      <c r="F81" s="33">
        <v>5.01</v>
      </c>
      <c r="G81" s="33">
        <v>5.92</v>
      </c>
      <c r="H81" s="33">
        <v>6.45</v>
      </c>
      <c r="I81" s="33">
        <f t="shared" si="17"/>
        <v>3.12</v>
      </c>
      <c r="J81" s="33">
        <f t="shared" si="18"/>
        <v>3.95</v>
      </c>
      <c r="K81" s="33">
        <f t="shared" si="19"/>
        <v>3.2</v>
      </c>
      <c r="L81" s="33">
        <f t="shared" si="20"/>
        <v>-0.83000000000000007</v>
      </c>
      <c r="M81" s="33">
        <v>105.5</v>
      </c>
      <c r="N81" s="33">
        <v>2505.25</v>
      </c>
      <c r="O81" s="33">
        <v>13.41</v>
      </c>
      <c r="P81" s="87">
        <v>537.30000000000007</v>
      </c>
      <c r="Q81" s="34">
        <f t="shared" ref="Q81:Q144" si="21">IF(ISNUMBER(P81),IF(ISNUMBER(AH81),P81/AH81,"NA"),"")</f>
        <v>7.2314939434724099</v>
      </c>
      <c r="R81" s="71">
        <v>995.74104069747523</v>
      </c>
      <c r="S81" s="34">
        <f t="shared" ref="S81:S144" si="22">IF(ISNUMBER(R81),IF(ISNUMBER(AH81),R81/AH81*100,""),"")</f>
        <v>1340.162908071972</v>
      </c>
      <c r="T81" s="71">
        <v>1043.5183785262125</v>
      </c>
      <c r="U81" s="34">
        <f t="shared" ref="U81:U144" si="23">IF(ISNUMBER(T81),IF(ISNUMBER(AH81),T81/AH81*100,""),"")</f>
        <v>1404.4661891335297</v>
      </c>
      <c r="V81" s="116">
        <v>593877</v>
      </c>
      <c r="W81" s="116">
        <v>1367743</v>
      </c>
      <c r="X81" s="117">
        <v>3368180</v>
      </c>
      <c r="Y81" s="117">
        <v>572294</v>
      </c>
      <c r="Z81" s="33">
        <v>69.3</v>
      </c>
      <c r="AA81" s="33">
        <v>53.6</v>
      </c>
      <c r="AB81" s="33">
        <v>77.2</v>
      </c>
      <c r="AC81" s="33">
        <v>48.4</v>
      </c>
      <c r="AD81" s="33">
        <v>38147</v>
      </c>
      <c r="AE81" s="33">
        <v>10.3</v>
      </c>
      <c r="AF81" s="33">
        <v>266</v>
      </c>
      <c r="AG81" s="33">
        <v>71.900000000000006</v>
      </c>
      <c r="AH81" s="33">
        <v>74.3</v>
      </c>
      <c r="AI81" s="33">
        <v>77</v>
      </c>
      <c r="AJ81" s="33">
        <v>79.599999999999994</v>
      </c>
      <c r="AK81" s="33">
        <v>156.65495999999999</v>
      </c>
      <c r="AL81" s="33">
        <v>56.8</v>
      </c>
      <c r="AM81" s="123">
        <v>10.379634994066683</v>
      </c>
      <c r="AN81" s="123">
        <v>12.220660407496423</v>
      </c>
      <c r="AO81" s="123">
        <v>53.398971618288698</v>
      </c>
      <c r="AP81" s="33">
        <v>15.23</v>
      </c>
      <c r="AQ81" s="33">
        <f t="shared" ref="AQ81:AQ144" si="24">AP81/AI81</f>
        <v>0.1977922077922078</v>
      </c>
      <c r="AR81" s="33">
        <v>85.3</v>
      </c>
      <c r="AS81" s="33">
        <v>92.1</v>
      </c>
      <c r="AT81" s="33">
        <v>79</v>
      </c>
      <c r="AU81" s="33">
        <v>86.9</v>
      </c>
      <c r="AV81" s="65">
        <v>93.6</v>
      </c>
      <c r="AW81" s="33">
        <v>80.599999999999994</v>
      </c>
      <c r="AX81" s="33">
        <v>-10</v>
      </c>
      <c r="AY81" s="33">
        <v>-11.5</v>
      </c>
      <c r="AZ81" s="33">
        <v>-21</v>
      </c>
      <c r="BA81" s="33">
        <v>-9</v>
      </c>
      <c r="BB81" s="33">
        <v>79.8</v>
      </c>
      <c r="BC81" s="33">
        <v>86.2</v>
      </c>
      <c r="BD81" s="33">
        <v>73.8</v>
      </c>
      <c r="BE81" s="33">
        <v>-81.5</v>
      </c>
      <c r="BF81" s="33">
        <v>54.8</v>
      </c>
      <c r="BG81" s="33">
        <v>-26.8</v>
      </c>
      <c r="BH81" s="33">
        <v>174.9</v>
      </c>
      <c r="BI81" s="33">
        <v>5.2</v>
      </c>
      <c r="BJ81" s="34">
        <v>47.956696919999999</v>
      </c>
      <c r="BK81" s="45">
        <v>29.100957605382394</v>
      </c>
      <c r="BL81" s="45" t="s">
        <v>243</v>
      </c>
      <c r="BM81" s="33">
        <v>99.181399999999996</v>
      </c>
      <c r="BN81" s="33">
        <v>99.298199999999994</v>
      </c>
      <c r="BO81" s="33">
        <v>-39</v>
      </c>
      <c r="BP81" s="33">
        <v>-38.299999999999997</v>
      </c>
      <c r="BQ81" s="33">
        <v>18.100000000000001</v>
      </c>
      <c r="BR81" s="33">
        <v>-7.8</v>
      </c>
      <c r="BS81" s="33">
        <v>-0.8</v>
      </c>
      <c r="BT81" s="45" t="s">
        <v>243</v>
      </c>
      <c r="BU81" s="33">
        <v>-21.6</v>
      </c>
      <c r="BV81" s="33">
        <v>33</v>
      </c>
      <c r="BW81" s="33">
        <v>-17.3</v>
      </c>
      <c r="BX81" s="33">
        <v>-24.3</v>
      </c>
      <c r="BY81" s="33">
        <v>-47.5</v>
      </c>
      <c r="BZ81" s="33">
        <v>95.6</v>
      </c>
      <c r="CA81" s="33">
        <v>-17.3</v>
      </c>
      <c r="CB81" s="33">
        <v>-11.9</v>
      </c>
      <c r="CC81" s="33">
        <v>-4.9000000000000004</v>
      </c>
      <c r="CD81" s="33">
        <v>-51.6</v>
      </c>
      <c r="CE81" s="33">
        <v>-37</v>
      </c>
      <c r="CF81" s="33">
        <v>20.5</v>
      </c>
      <c r="CG81" s="33">
        <v>46</v>
      </c>
      <c r="CH81" s="33">
        <v>49.8</v>
      </c>
      <c r="CI81" s="33">
        <v>-24.4</v>
      </c>
      <c r="CJ81" s="33">
        <v>-15.4</v>
      </c>
      <c r="CK81" s="33">
        <v>1</v>
      </c>
      <c r="CL81" s="33">
        <v>9.8000000000000007</v>
      </c>
      <c r="CM81" s="33">
        <v>1672.2713040000001</v>
      </c>
      <c r="CN81" s="33">
        <v>5575.21</v>
      </c>
      <c r="CO81" s="33">
        <v>661.98173899999995</v>
      </c>
      <c r="CP81" s="33">
        <v>8.0370000000000008</v>
      </c>
      <c r="CQ81" s="33">
        <v>6.68</v>
      </c>
      <c r="CR81" s="33">
        <v>79.2</v>
      </c>
      <c r="CS81" s="121">
        <f t="shared" si="16"/>
        <v>47.25</v>
      </c>
      <c r="CT81" s="33">
        <v>85</v>
      </c>
      <c r="CU81" s="33">
        <v>92.8</v>
      </c>
      <c r="CV81" s="33">
        <v>154.1</v>
      </c>
      <c r="CW81" s="33">
        <v>95.4</v>
      </c>
      <c r="CX81" s="33">
        <v>87.2</v>
      </c>
      <c r="CY81" s="33">
        <v>2.56</v>
      </c>
      <c r="CZ81" s="33">
        <v>18710.858</v>
      </c>
      <c r="DA81" s="33">
        <v>2.08</v>
      </c>
      <c r="DB81" s="33">
        <v>12.71</v>
      </c>
      <c r="DC81" s="33">
        <v>18.62</v>
      </c>
      <c r="DD81" s="33">
        <v>5.74</v>
      </c>
      <c r="DE81" s="33">
        <v>4041.5970000000002</v>
      </c>
      <c r="DF81" s="33">
        <v>630.654</v>
      </c>
      <c r="DG81" s="33">
        <v>478.53</v>
      </c>
      <c r="DH81" s="33">
        <v>854.90899999999999</v>
      </c>
      <c r="DI81" s="33">
        <v>357.887</v>
      </c>
      <c r="DJ81" s="33">
        <v>101.4308</v>
      </c>
      <c r="DK81" s="33">
        <v>101.77970000000001</v>
      </c>
      <c r="DL81" s="33">
        <v>100.47</v>
      </c>
      <c r="DM81" s="33">
        <v>100.6061</v>
      </c>
      <c r="DN81" s="33">
        <v>99.298199999999994</v>
      </c>
      <c r="DO81" s="33">
        <v>99.181399999999996</v>
      </c>
      <c r="DP81" s="33">
        <v>99.347399999999993</v>
      </c>
      <c r="DQ81" s="33">
        <v>99.281800000000004</v>
      </c>
      <c r="DR81" s="104">
        <v>237799</v>
      </c>
      <c r="DS81" s="104">
        <v>27806.566102520654</v>
      </c>
      <c r="DT81" s="103" t="s">
        <v>243</v>
      </c>
      <c r="DU81">
        <v>119.47566223144531</v>
      </c>
      <c r="DV81">
        <v>127.69841766357422</v>
      </c>
      <c r="DW81">
        <v>1456</v>
      </c>
      <c r="DX81">
        <v>303575</v>
      </c>
      <c r="DY81" s="102">
        <f t="shared" si="12"/>
        <v>57.900000000000006</v>
      </c>
    </row>
    <row r="82" spans="1:129" x14ac:dyDescent="0.25">
      <c r="A82" s="1">
        <v>35217</v>
      </c>
      <c r="B82" s="33">
        <v>76.3</v>
      </c>
      <c r="C82" s="88">
        <v>3.34</v>
      </c>
      <c r="D82" s="33">
        <v>2.5</v>
      </c>
      <c r="E82" s="72">
        <v>3.34</v>
      </c>
      <c r="F82" s="33">
        <v>5.19</v>
      </c>
      <c r="G82" s="33">
        <v>6.04</v>
      </c>
      <c r="H82" s="33">
        <v>6.56</v>
      </c>
      <c r="I82" s="33">
        <f t="shared" si="17"/>
        <v>3.2199999999999998</v>
      </c>
      <c r="J82" s="33">
        <f t="shared" si="18"/>
        <v>4.0599999999999996</v>
      </c>
      <c r="K82" s="33">
        <f t="shared" si="19"/>
        <v>3.2199999999999998</v>
      </c>
      <c r="L82" s="33">
        <f t="shared" si="20"/>
        <v>-0.83999999999999986</v>
      </c>
      <c r="M82" s="33">
        <v>105.7</v>
      </c>
      <c r="N82" s="33">
        <v>2532.83</v>
      </c>
      <c r="O82" s="33">
        <v>12.64</v>
      </c>
      <c r="P82" s="87">
        <v>540.6</v>
      </c>
      <c r="Q82" s="34">
        <f t="shared" si="21"/>
        <v>7.256375838926175</v>
      </c>
      <c r="R82" s="71">
        <v>999.17364411269216</v>
      </c>
      <c r="S82" s="34">
        <f t="shared" si="22"/>
        <v>1341.1726766613319</v>
      </c>
      <c r="T82" s="71">
        <v>1046.0902631652091</v>
      </c>
      <c r="U82" s="34">
        <f t="shared" si="23"/>
        <v>1404.1480042486028</v>
      </c>
      <c r="V82" s="116">
        <v>595628</v>
      </c>
      <c r="W82" s="116">
        <v>1370698</v>
      </c>
      <c r="X82" s="117">
        <v>3382265</v>
      </c>
      <c r="Y82" s="117">
        <v>566396</v>
      </c>
      <c r="Z82" s="33">
        <v>68.8</v>
      </c>
      <c r="AA82" s="33">
        <v>54.5</v>
      </c>
      <c r="AB82" s="33">
        <v>75.400000000000006</v>
      </c>
      <c r="AC82" s="33">
        <v>49.9</v>
      </c>
      <c r="AD82" s="33">
        <v>38107</v>
      </c>
      <c r="AE82" s="33">
        <v>10.3</v>
      </c>
      <c r="AF82" s="33">
        <v>270</v>
      </c>
      <c r="AG82" s="33">
        <v>72</v>
      </c>
      <c r="AH82" s="33">
        <v>74.5</v>
      </c>
      <c r="AI82" s="33">
        <v>76.7</v>
      </c>
      <c r="AJ82" s="33">
        <v>79.5</v>
      </c>
      <c r="AK82" s="33">
        <v>156.47694300000001</v>
      </c>
      <c r="AL82" s="33">
        <v>56.8</v>
      </c>
      <c r="AM82" s="123">
        <v>9.8375650814171642</v>
      </c>
      <c r="AN82" s="123">
        <v>11.841499106070518</v>
      </c>
      <c r="AO82" s="123">
        <v>51.467026190709511</v>
      </c>
      <c r="AP82" s="33">
        <v>14.59</v>
      </c>
      <c r="AQ82" s="33">
        <f t="shared" si="24"/>
        <v>0.19022164276401562</v>
      </c>
      <c r="AR82" s="33">
        <v>84.9</v>
      </c>
      <c r="AS82" s="33">
        <v>92.2</v>
      </c>
      <c r="AT82" s="33">
        <v>78.099999999999994</v>
      </c>
      <c r="AU82" s="33">
        <v>86.7</v>
      </c>
      <c r="AV82" s="65">
        <v>94.4</v>
      </c>
      <c r="AW82" s="33">
        <v>79.5</v>
      </c>
      <c r="AX82" s="33">
        <v>-11.9</v>
      </c>
      <c r="AY82" s="33">
        <v>-12.8</v>
      </c>
      <c r="AZ82" s="33">
        <v>-20</v>
      </c>
      <c r="BA82" s="33">
        <v>-8.3000000000000007</v>
      </c>
      <c r="BB82" s="33">
        <v>79.599999999999994</v>
      </c>
      <c r="BC82" s="33">
        <v>86.4</v>
      </c>
      <c r="BD82" s="33">
        <v>73.400000000000006</v>
      </c>
      <c r="BE82" s="33">
        <v>-80.099999999999994</v>
      </c>
      <c r="BF82" s="33">
        <v>65.099999999999994</v>
      </c>
      <c r="BG82" s="33">
        <v>-25.7</v>
      </c>
      <c r="BH82" s="33">
        <v>174.9</v>
      </c>
      <c r="BI82" s="33">
        <v>2.5</v>
      </c>
      <c r="BJ82" s="34">
        <v>49.307806319999997</v>
      </c>
      <c r="BK82" s="45">
        <v>51.045203765589982</v>
      </c>
      <c r="BL82" s="45" t="s">
        <v>243</v>
      </c>
      <c r="BM82" s="33">
        <v>99.273200000000003</v>
      </c>
      <c r="BN82" s="33">
        <v>99.376999999999995</v>
      </c>
      <c r="BO82" s="33">
        <v>-40.700000000000003</v>
      </c>
      <c r="BP82" s="33">
        <v>-39.700000000000003</v>
      </c>
      <c r="BQ82" s="33">
        <v>18.5</v>
      </c>
      <c r="BR82" s="33">
        <v>-6.7</v>
      </c>
      <c r="BS82" s="33">
        <v>-1.1000000000000001</v>
      </c>
      <c r="BT82" s="45" t="s">
        <v>243</v>
      </c>
      <c r="BU82" s="33">
        <v>-21.9</v>
      </c>
      <c r="BV82" s="33">
        <v>33</v>
      </c>
      <c r="BW82" s="33">
        <v>-17.5</v>
      </c>
      <c r="BX82" s="33">
        <v>-25.3</v>
      </c>
      <c r="BY82" s="33">
        <v>-49.8</v>
      </c>
      <c r="BZ82" s="33">
        <v>95.4</v>
      </c>
      <c r="CA82" s="33">
        <v>-17.5</v>
      </c>
      <c r="CB82" s="33">
        <v>-10.8</v>
      </c>
      <c r="CC82" s="33">
        <v>-5.4</v>
      </c>
      <c r="CD82" s="33">
        <v>-52.6</v>
      </c>
      <c r="CE82" s="33">
        <v>-37.799999999999997</v>
      </c>
      <c r="CF82" s="33">
        <v>20.3</v>
      </c>
      <c r="CG82" s="33">
        <v>44</v>
      </c>
      <c r="CH82" s="33">
        <v>50.5</v>
      </c>
      <c r="CI82" s="33">
        <v>-24.3</v>
      </c>
      <c r="CJ82" s="33">
        <v>-16</v>
      </c>
      <c r="CK82" s="33">
        <v>1.6</v>
      </c>
      <c r="CL82" s="33">
        <v>8</v>
      </c>
      <c r="CM82" s="33">
        <v>1667.2085</v>
      </c>
      <c r="CN82" s="33">
        <v>5624.7</v>
      </c>
      <c r="CO82" s="33">
        <v>668.49900000000002</v>
      </c>
      <c r="CP82" s="33">
        <v>8.0839999999999996</v>
      </c>
      <c r="CQ82" s="33">
        <v>6.87</v>
      </c>
      <c r="CR82" s="33">
        <v>84</v>
      </c>
      <c r="CS82" s="121">
        <f t="shared" si="16"/>
        <v>51.45</v>
      </c>
      <c r="CT82" s="33">
        <v>84.6</v>
      </c>
      <c r="CU82" s="33">
        <v>94.5</v>
      </c>
      <c r="CV82" s="33">
        <v>121</v>
      </c>
      <c r="CW82" s="33">
        <v>94.4</v>
      </c>
      <c r="CX82" s="33">
        <v>88.8</v>
      </c>
      <c r="CY82" s="33">
        <v>2.42</v>
      </c>
      <c r="CZ82" s="33">
        <v>18628.825000000001</v>
      </c>
      <c r="DA82" s="33">
        <v>2.19</v>
      </c>
      <c r="DB82" s="33">
        <v>13.62</v>
      </c>
      <c r="DC82" s="33">
        <v>18.22</v>
      </c>
      <c r="DD82" s="33">
        <v>5.84</v>
      </c>
      <c r="DE82" s="33">
        <v>3860.085</v>
      </c>
      <c r="DF82" s="33">
        <v>670.64400000000001</v>
      </c>
      <c r="DG82" s="33">
        <v>466.46600000000001</v>
      </c>
      <c r="DH82" s="33">
        <v>761.81600000000003</v>
      </c>
      <c r="DI82" s="33">
        <v>347.09</v>
      </c>
      <c r="DJ82" s="33">
        <v>101.40779999999999</v>
      </c>
      <c r="DK82" s="33">
        <v>101.7529</v>
      </c>
      <c r="DL82" s="33">
        <v>100.4</v>
      </c>
      <c r="DM82" s="33">
        <v>100.5063</v>
      </c>
      <c r="DN82" s="33">
        <v>99.376999999999995</v>
      </c>
      <c r="DO82" s="33">
        <v>99.273200000000003</v>
      </c>
      <c r="DP82" s="33">
        <v>99.470200000000006</v>
      </c>
      <c r="DQ82" s="33">
        <v>99.416899999999998</v>
      </c>
      <c r="DR82" s="104">
        <v>231067</v>
      </c>
      <c r="DS82" s="104">
        <v>27777.922254712983</v>
      </c>
      <c r="DT82" s="103" t="s">
        <v>243</v>
      </c>
      <c r="DU82">
        <v>108.29830169677734</v>
      </c>
      <c r="DV82">
        <v>104.27190399169922</v>
      </c>
      <c r="DW82">
        <v>1337</v>
      </c>
      <c r="DX82">
        <v>309850</v>
      </c>
      <c r="DY82" s="102">
        <f t="shared" ref="DY82:DY113" si="25">DY83-(B82-B81)</f>
        <v>58.7</v>
      </c>
    </row>
    <row r="83" spans="1:129" x14ac:dyDescent="0.25">
      <c r="A83" s="1">
        <v>35247</v>
      </c>
      <c r="B83" s="33">
        <v>75.8</v>
      </c>
      <c r="C83" s="88">
        <v>3.29</v>
      </c>
      <c r="D83" s="33">
        <v>2.5</v>
      </c>
      <c r="E83" s="72">
        <v>3.34</v>
      </c>
      <c r="F83" s="33">
        <v>5.26</v>
      </c>
      <c r="G83" s="33">
        <v>6.04</v>
      </c>
      <c r="H83" s="33">
        <v>6.48</v>
      </c>
      <c r="I83" s="33">
        <f t="shared" si="17"/>
        <v>3.1900000000000004</v>
      </c>
      <c r="J83" s="33">
        <f t="shared" si="18"/>
        <v>3.9800000000000004</v>
      </c>
      <c r="K83" s="33">
        <f t="shared" si="19"/>
        <v>3.1400000000000006</v>
      </c>
      <c r="L83" s="33">
        <f t="shared" si="20"/>
        <v>-0.79</v>
      </c>
      <c r="M83" s="33">
        <v>106.1</v>
      </c>
      <c r="N83" s="33">
        <v>2564</v>
      </c>
      <c r="O83" s="33">
        <v>13.11</v>
      </c>
      <c r="P83" s="87">
        <v>546.9</v>
      </c>
      <c r="Q83" s="34">
        <f t="shared" si="21"/>
        <v>7.3409395973154359</v>
      </c>
      <c r="R83" s="71">
        <v>1005.8481507533916</v>
      </c>
      <c r="S83" s="34">
        <f t="shared" si="22"/>
        <v>1350.1317459777067</v>
      </c>
      <c r="T83" s="71">
        <v>1050.2814825769074</v>
      </c>
      <c r="U83" s="34">
        <f t="shared" si="23"/>
        <v>1409.7738021166542</v>
      </c>
      <c r="V83" s="116">
        <v>591464</v>
      </c>
      <c r="W83" s="116">
        <v>1379242</v>
      </c>
      <c r="X83" s="117">
        <v>3397399</v>
      </c>
      <c r="Y83" s="117">
        <v>566180</v>
      </c>
      <c r="Z83" s="33">
        <v>68.7</v>
      </c>
      <c r="AA83" s="33">
        <v>54.2</v>
      </c>
      <c r="AB83" s="33">
        <v>74.099999999999994</v>
      </c>
      <c r="AC83" s="33">
        <v>49.3</v>
      </c>
      <c r="AD83" s="33">
        <v>38098</v>
      </c>
      <c r="AE83" s="33">
        <v>10.4</v>
      </c>
      <c r="AF83" s="33">
        <v>267</v>
      </c>
      <c r="AG83" s="33">
        <v>72</v>
      </c>
      <c r="AH83" s="33">
        <v>74.5</v>
      </c>
      <c r="AI83" s="33">
        <v>76.400000000000006</v>
      </c>
      <c r="AJ83" s="33">
        <v>79.3</v>
      </c>
      <c r="AK83" s="33">
        <v>156.47694300000001</v>
      </c>
      <c r="AL83" s="33">
        <v>77.2</v>
      </c>
      <c r="AM83" s="123">
        <v>10.099318476044672</v>
      </c>
      <c r="AN83" s="123">
        <v>12.344056097309588</v>
      </c>
      <c r="AO83" s="123">
        <v>49.909778802185784</v>
      </c>
      <c r="AP83" s="33">
        <v>15.26</v>
      </c>
      <c r="AQ83" s="33">
        <f t="shared" si="24"/>
        <v>0.19973821989528795</v>
      </c>
      <c r="AR83" s="33">
        <v>86.3</v>
      </c>
      <c r="AS83" s="33">
        <v>93.9</v>
      </c>
      <c r="AT83" s="33">
        <v>79.3</v>
      </c>
      <c r="AU83" s="33">
        <v>87</v>
      </c>
      <c r="AV83" s="65">
        <v>95</v>
      </c>
      <c r="AW83" s="33">
        <v>79.7</v>
      </c>
      <c r="AX83" s="33">
        <v>-9.8000000000000007</v>
      </c>
      <c r="AY83" s="33">
        <v>-5.6</v>
      </c>
      <c r="AZ83" s="33">
        <v>-19.399999999999999</v>
      </c>
      <c r="BA83" s="33">
        <v>-7</v>
      </c>
      <c r="BB83" s="33">
        <v>84.2</v>
      </c>
      <c r="BC83" s="33">
        <v>92.3</v>
      </c>
      <c r="BD83" s="33">
        <v>76.900000000000006</v>
      </c>
      <c r="BE83" s="33">
        <v>-77.599999999999994</v>
      </c>
      <c r="BF83" s="33">
        <v>66.400000000000006</v>
      </c>
      <c r="BG83" s="33">
        <v>-24.1</v>
      </c>
      <c r="BH83" s="33">
        <v>174.8</v>
      </c>
      <c r="BI83" s="33">
        <v>1.5</v>
      </c>
      <c r="BJ83" s="34">
        <v>49.699508160000001</v>
      </c>
      <c r="BK83" s="45">
        <v>25.265279105878442</v>
      </c>
      <c r="BL83" s="45" t="s">
        <v>243</v>
      </c>
      <c r="BM83" s="33">
        <v>99.399900000000002</v>
      </c>
      <c r="BN83" s="33">
        <v>99.485900000000001</v>
      </c>
      <c r="BO83" s="33">
        <v>-38.799999999999997</v>
      </c>
      <c r="BP83" s="33">
        <v>-39.4</v>
      </c>
      <c r="BQ83" s="33">
        <v>18.3</v>
      </c>
      <c r="BR83" s="33">
        <v>-3.1</v>
      </c>
      <c r="BS83" s="33">
        <v>-1.4</v>
      </c>
      <c r="BT83" s="45" t="s">
        <v>243</v>
      </c>
      <c r="BU83" s="33">
        <v>-20</v>
      </c>
      <c r="BV83" s="33">
        <v>35.6</v>
      </c>
      <c r="BW83" s="33">
        <v>-17.899999999999999</v>
      </c>
      <c r="BX83" s="33">
        <v>-15.7</v>
      </c>
      <c r="BY83" s="33">
        <v>-50.5</v>
      </c>
      <c r="BZ83" s="33">
        <v>97.2</v>
      </c>
      <c r="CA83" s="33">
        <v>-17.899999999999999</v>
      </c>
      <c r="CB83" s="33">
        <v>-12</v>
      </c>
      <c r="CC83" s="33">
        <v>-6.6</v>
      </c>
      <c r="CD83" s="33">
        <v>-49.4</v>
      </c>
      <c r="CE83" s="33">
        <v>-36.799999999999997</v>
      </c>
      <c r="CF83" s="33">
        <v>18.7</v>
      </c>
      <c r="CG83" s="33">
        <v>44.2</v>
      </c>
      <c r="CH83" s="33">
        <v>50.8</v>
      </c>
      <c r="CI83" s="33">
        <v>-25.3</v>
      </c>
      <c r="CJ83" s="33">
        <v>-16.100000000000001</v>
      </c>
      <c r="CK83" s="33">
        <v>3.5</v>
      </c>
      <c r="CL83" s="33">
        <v>9.6</v>
      </c>
      <c r="CM83" s="33">
        <v>1613.712174</v>
      </c>
      <c r="CN83" s="33">
        <v>5729.98</v>
      </c>
      <c r="CO83" s="33">
        <v>645.30217400000004</v>
      </c>
      <c r="CP83" s="33">
        <v>7.9210000000000003</v>
      </c>
      <c r="CQ83" s="33">
        <v>6.74</v>
      </c>
      <c r="CR83" s="33">
        <v>86.5</v>
      </c>
      <c r="CS83" s="121">
        <f t="shared" si="16"/>
        <v>51.850000000000009</v>
      </c>
      <c r="CT83" s="33">
        <v>83.6</v>
      </c>
      <c r="CU83" s="33">
        <v>96</v>
      </c>
      <c r="CV83" s="33">
        <v>148.1</v>
      </c>
      <c r="CW83" s="33">
        <v>89.1</v>
      </c>
      <c r="CX83" s="33">
        <v>89.9</v>
      </c>
      <c r="CY83" s="33">
        <v>2.5099999999999998</v>
      </c>
      <c r="CZ83" s="33">
        <v>19396.673999999999</v>
      </c>
      <c r="DA83" s="33">
        <v>2.14</v>
      </c>
      <c r="DB83" s="33">
        <v>13.73</v>
      </c>
      <c r="DC83" s="33">
        <v>19.54</v>
      </c>
      <c r="DD83" s="33">
        <v>6.09</v>
      </c>
      <c r="DE83" s="33">
        <v>4712.5169999999998</v>
      </c>
      <c r="DF83" s="33">
        <v>818.33500000000004</v>
      </c>
      <c r="DG83" s="33">
        <v>539.803</v>
      </c>
      <c r="DH83" s="33">
        <v>909.25599999999997</v>
      </c>
      <c r="DI83" s="33">
        <v>427.59699999999998</v>
      </c>
      <c r="DJ83" s="33">
        <v>101.3858</v>
      </c>
      <c r="DK83" s="33">
        <v>101.7257</v>
      </c>
      <c r="DL83" s="33">
        <v>100.36</v>
      </c>
      <c r="DM83" s="33">
        <v>100.465</v>
      </c>
      <c r="DN83" s="33">
        <v>99.485900000000001</v>
      </c>
      <c r="DO83" s="33">
        <v>99.399900000000002</v>
      </c>
      <c r="DP83" s="33">
        <v>99.555700000000002</v>
      </c>
      <c r="DQ83" s="33">
        <v>99.510999999999996</v>
      </c>
      <c r="DR83" s="104">
        <v>197173</v>
      </c>
      <c r="DS83" s="104">
        <v>27761.764186718916</v>
      </c>
      <c r="DT83" s="103" t="s">
        <v>243</v>
      </c>
      <c r="DU83">
        <v>104.59107971191406</v>
      </c>
      <c r="DV83">
        <v>100.25531768798828</v>
      </c>
      <c r="DW83">
        <v>1182</v>
      </c>
      <c r="DX83">
        <v>253300</v>
      </c>
      <c r="DY83" s="102">
        <f t="shared" si="25"/>
        <v>58.8</v>
      </c>
    </row>
    <row r="84" spans="1:129" x14ac:dyDescent="0.25">
      <c r="A84" s="1">
        <v>35278</v>
      </c>
      <c r="B84" s="33">
        <v>76.7</v>
      </c>
      <c r="C84" s="88">
        <v>3.25</v>
      </c>
      <c r="D84" s="33">
        <v>2.5</v>
      </c>
      <c r="E84" s="72">
        <v>3.27</v>
      </c>
      <c r="F84" s="33">
        <v>4.99</v>
      </c>
      <c r="G84" s="33">
        <v>5.84</v>
      </c>
      <c r="H84" s="33">
        <v>6.3</v>
      </c>
      <c r="I84" s="33">
        <f t="shared" si="17"/>
        <v>3.05</v>
      </c>
      <c r="J84" s="33">
        <f t="shared" si="18"/>
        <v>3.8</v>
      </c>
      <c r="K84" s="33">
        <f t="shared" si="19"/>
        <v>3.03</v>
      </c>
      <c r="L84" s="33">
        <f t="shared" si="20"/>
        <v>-0.75</v>
      </c>
      <c r="M84" s="33">
        <v>106.9</v>
      </c>
      <c r="N84" s="33">
        <v>2494.46</v>
      </c>
      <c r="O84" s="33">
        <v>15.84</v>
      </c>
      <c r="P84" s="87">
        <v>550.5</v>
      </c>
      <c r="Q84" s="34">
        <f t="shared" si="21"/>
        <v>7.3793565683646118</v>
      </c>
      <c r="R84" s="71">
        <v>1010.9017057813496</v>
      </c>
      <c r="S84" s="34">
        <f t="shared" si="22"/>
        <v>1355.0961203503346</v>
      </c>
      <c r="T84" s="71">
        <v>1054.8537219351235</v>
      </c>
      <c r="U84" s="34">
        <f t="shared" si="23"/>
        <v>1414.013032084616</v>
      </c>
      <c r="V84" s="116">
        <v>592195</v>
      </c>
      <c r="W84" s="116">
        <v>1391358</v>
      </c>
      <c r="X84" s="117">
        <v>3412208</v>
      </c>
      <c r="Y84" s="117">
        <v>570694</v>
      </c>
      <c r="Z84" s="33">
        <v>69.900000000000006</v>
      </c>
      <c r="AA84" s="33">
        <v>54.4</v>
      </c>
      <c r="AB84" s="33">
        <v>74.3</v>
      </c>
      <c r="AC84" s="33">
        <v>49.2</v>
      </c>
      <c r="AD84" s="33">
        <v>38057</v>
      </c>
      <c r="AE84" s="33">
        <v>10.4</v>
      </c>
      <c r="AF84" s="33">
        <v>261</v>
      </c>
      <c r="AG84" s="33">
        <v>72.099999999999994</v>
      </c>
      <c r="AH84" s="33">
        <v>74.599999999999994</v>
      </c>
      <c r="AI84" s="33">
        <v>76.3</v>
      </c>
      <c r="AJ84" s="33">
        <v>79.099999999999994</v>
      </c>
      <c r="AK84" s="33">
        <v>156.47694300000001</v>
      </c>
      <c r="AL84" s="33">
        <v>57</v>
      </c>
      <c r="AM84" s="123">
        <v>9.6135797116657695</v>
      </c>
      <c r="AN84" s="123">
        <v>12.749290262120258</v>
      </c>
      <c r="AO84" s="123">
        <v>47.391395468130533</v>
      </c>
      <c r="AP84" s="33">
        <v>15.78</v>
      </c>
      <c r="AQ84" s="33">
        <f t="shared" si="24"/>
        <v>0.20681520314547838</v>
      </c>
      <c r="AR84" s="33">
        <v>87.2</v>
      </c>
      <c r="AS84" s="33">
        <v>95.1</v>
      </c>
      <c r="AT84" s="33">
        <v>79.900000000000006</v>
      </c>
      <c r="AU84" s="33">
        <v>88.6</v>
      </c>
      <c r="AV84" s="65">
        <v>97.3</v>
      </c>
      <c r="AW84" s="33">
        <v>80.599999999999994</v>
      </c>
      <c r="AX84" s="33">
        <v>-8.6999999999999993</v>
      </c>
      <c r="AY84" s="33">
        <v>-5.0999999999999996</v>
      </c>
      <c r="AZ84" s="33">
        <v>-17.100000000000001</v>
      </c>
      <c r="BA84" s="33">
        <v>-4.2</v>
      </c>
      <c r="BB84" s="33">
        <v>83.7</v>
      </c>
      <c r="BC84" s="33">
        <v>92.2</v>
      </c>
      <c r="BD84" s="33">
        <v>76.099999999999994</v>
      </c>
      <c r="BE84" s="33">
        <v>-72.8</v>
      </c>
      <c r="BF84" s="33">
        <v>62.2</v>
      </c>
      <c r="BG84" s="33">
        <v>-26.4</v>
      </c>
      <c r="BH84" s="33">
        <v>172.2</v>
      </c>
      <c r="BI84" s="33">
        <v>2.2000000000000002</v>
      </c>
      <c r="BJ84" s="34">
        <v>50.254121840000003</v>
      </c>
      <c r="BK84" s="45">
        <v>25.571766227639653</v>
      </c>
      <c r="BL84" s="45" t="s">
        <v>243</v>
      </c>
      <c r="BM84" s="33">
        <v>99.543199999999999</v>
      </c>
      <c r="BN84" s="33">
        <v>99.608999999999995</v>
      </c>
      <c r="BO84" s="33">
        <v>-36.700000000000003</v>
      </c>
      <c r="BP84" s="33">
        <v>-39.799999999999997</v>
      </c>
      <c r="BQ84" s="33">
        <v>18.2</v>
      </c>
      <c r="BR84" s="33">
        <v>-2.5</v>
      </c>
      <c r="BS84" s="33">
        <v>0.5</v>
      </c>
      <c r="BT84" s="45" t="s">
        <v>243</v>
      </c>
      <c r="BU84" s="33">
        <v>-19.100000000000001</v>
      </c>
      <c r="BV84" s="33">
        <v>36</v>
      </c>
      <c r="BW84" s="33">
        <v>-16.5</v>
      </c>
      <c r="BX84" s="33">
        <v>-19.100000000000001</v>
      </c>
      <c r="BY84" s="33">
        <v>-50.9</v>
      </c>
      <c r="BZ84" s="33">
        <v>98</v>
      </c>
      <c r="CA84" s="33">
        <v>-16.5</v>
      </c>
      <c r="CB84" s="33">
        <v>-10.1</v>
      </c>
      <c r="CC84" s="33">
        <v>-3.2</v>
      </c>
      <c r="CD84" s="33">
        <v>-47.7</v>
      </c>
      <c r="CE84" s="33">
        <v>-37.5</v>
      </c>
      <c r="CF84" s="33">
        <v>18</v>
      </c>
      <c r="CG84" s="33">
        <v>44</v>
      </c>
      <c r="CH84" s="33">
        <v>50.6</v>
      </c>
      <c r="CI84" s="33">
        <v>-20.6</v>
      </c>
      <c r="CJ84" s="33">
        <v>-15.4</v>
      </c>
      <c r="CK84" s="33">
        <v>5.6</v>
      </c>
      <c r="CL84" s="33">
        <v>7.8</v>
      </c>
      <c r="CM84" s="33">
        <v>1620.2022730000001</v>
      </c>
      <c r="CN84" s="33">
        <v>5594.75</v>
      </c>
      <c r="CO84" s="33">
        <v>662.68227300000001</v>
      </c>
      <c r="CP84" s="33">
        <v>7.8540000000000001</v>
      </c>
      <c r="CQ84" s="33">
        <v>6.65</v>
      </c>
      <c r="CR84" s="33">
        <v>87.3</v>
      </c>
      <c r="CS84" s="121">
        <f t="shared" si="16"/>
        <v>52.850000000000009</v>
      </c>
      <c r="CT84" s="33">
        <v>86.1</v>
      </c>
      <c r="CU84" s="33">
        <v>95.2</v>
      </c>
      <c r="CV84" s="33">
        <v>153.9</v>
      </c>
      <c r="CW84" s="33">
        <v>96.4</v>
      </c>
      <c r="CX84" s="33">
        <v>86.6</v>
      </c>
      <c r="CY84" s="33">
        <v>2.67</v>
      </c>
      <c r="CZ84" s="33">
        <v>16322.686</v>
      </c>
      <c r="DA84" s="33">
        <v>2.19</v>
      </c>
      <c r="DB84" s="33">
        <v>13.15</v>
      </c>
      <c r="DC84" s="33">
        <v>18.59</v>
      </c>
      <c r="DD84" s="33">
        <v>5.61</v>
      </c>
      <c r="DE84" s="33">
        <v>4102.826</v>
      </c>
      <c r="DF84" s="33">
        <v>658.98199999999997</v>
      </c>
      <c r="DG84" s="33">
        <v>482.42599999999999</v>
      </c>
      <c r="DH84" s="33">
        <v>823.80100000000004</v>
      </c>
      <c r="DI84" s="33">
        <v>465.19</v>
      </c>
      <c r="DJ84" s="33">
        <v>101.364</v>
      </c>
      <c r="DK84" s="33">
        <v>101.7007</v>
      </c>
      <c r="DL84" s="33">
        <v>100.38</v>
      </c>
      <c r="DM84" s="33">
        <v>100.4915</v>
      </c>
      <c r="DN84" s="33">
        <v>99.608999999999995</v>
      </c>
      <c r="DO84" s="33">
        <v>99.543199999999999</v>
      </c>
      <c r="DP84" s="33">
        <v>99.6233</v>
      </c>
      <c r="DQ84" s="33">
        <v>99.585400000000007</v>
      </c>
      <c r="DR84" s="104">
        <v>142732</v>
      </c>
      <c r="DS84" s="104">
        <v>27744.871661088753</v>
      </c>
      <c r="DT84" s="103" t="s">
        <v>243</v>
      </c>
      <c r="DU84">
        <v>55.987277984619141</v>
      </c>
      <c r="DV84">
        <v>53.115158081054688</v>
      </c>
      <c r="DW84">
        <v>1062</v>
      </c>
      <c r="DX84">
        <v>234850</v>
      </c>
      <c r="DY84" s="102">
        <f t="shared" si="25"/>
        <v>58.3</v>
      </c>
    </row>
    <row r="85" spans="1:129" x14ac:dyDescent="0.25">
      <c r="A85" s="1">
        <v>35309</v>
      </c>
      <c r="B85" s="33">
        <v>77.099999999999994</v>
      </c>
      <c r="C85" s="88">
        <v>3.09</v>
      </c>
      <c r="D85" s="33">
        <v>2.5</v>
      </c>
      <c r="E85" s="72">
        <v>3.1</v>
      </c>
      <c r="F85" s="33">
        <v>4.88</v>
      </c>
      <c r="G85" s="33">
        <v>5.75</v>
      </c>
      <c r="H85" s="33">
        <v>6.23</v>
      </c>
      <c r="I85" s="33">
        <f t="shared" si="17"/>
        <v>3.1400000000000006</v>
      </c>
      <c r="J85" s="33">
        <f t="shared" si="18"/>
        <v>3.7300000000000004</v>
      </c>
      <c r="K85" s="33">
        <f t="shared" si="19"/>
        <v>3.1300000000000003</v>
      </c>
      <c r="L85" s="33">
        <f t="shared" si="20"/>
        <v>-0.58999999999999986</v>
      </c>
      <c r="M85" s="33">
        <v>106.1</v>
      </c>
      <c r="N85" s="33">
        <v>2532.88</v>
      </c>
      <c r="O85" s="33">
        <v>13.58</v>
      </c>
      <c r="P85" s="87">
        <v>559.5</v>
      </c>
      <c r="Q85" s="34">
        <f t="shared" si="21"/>
        <v>7.5000000000000009</v>
      </c>
      <c r="R85" s="71">
        <v>1018.4343632758532</v>
      </c>
      <c r="S85" s="34">
        <f t="shared" si="22"/>
        <v>1365.1935164555673</v>
      </c>
      <c r="T85" s="71">
        <v>1059.9974912131165</v>
      </c>
      <c r="U85" s="34">
        <f t="shared" si="23"/>
        <v>1420.9081651650356</v>
      </c>
      <c r="V85" s="116">
        <v>585844</v>
      </c>
      <c r="W85" s="116">
        <v>1403713</v>
      </c>
      <c r="X85" s="117">
        <v>3430659</v>
      </c>
      <c r="Y85" s="117">
        <v>572045</v>
      </c>
      <c r="Z85" s="33">
        <v>70.400000000000006</v>
      </c>
      <c r="AA85" s="33">
        <v>54.3</v>
      </c>
      <c r="AB85" s="33">
        <v>76.2</v>
      </c>
      <c r="AC85" s="33">
        <v>48.3</v>
      </c>
      <c r="AD85" s="33">
        <v>38026</v>
      </c>
      <c r="AE85" s="33">
        <v>10.5</v>
      </c>
      <c r="AF85" s="33">
        <v>263</v>
      </c>
      <c r="AG85" s="33">
        <v>72.2</v>
      </c>
      <c r="AH85" s="33">
        <v>74.599999999999994</v>
      </c>
      <c r="AI85" s="33">
        <v>76.7</v>
      </c>
      <c r="AJ85" s="33">
        <v>79.3</v>
      </c>
      <c r="AK85" s="33">
        <v>156.832977</v>
      </c>
      <c r="AL85" s="33">
        <v>57</v>
      </c>
      <c r="AM85" s="123">
        <v>10.812280423843545</v>
      </c>
      <c r="AN85" s="123">
        <v>14.424130001648118</v>
      </c>
      <c r="AO85" s="123">
        <v>48.547283162475189</v>
      </c>
      <c r="AP85" s="33">
        <v>17.88</v>
      </c>
      <c r="AQ85" s="33">
        <f t="shared" si="24"/>
        <v>0.23311603650586699</v>
      </c>
      <c r="AR85" s="33">
        <v>88.8</v>
      </c>
      <c r="AS85" s="33">
        <v>96.7</v>
      </c>
      <c r="AT85" s="33">
        <v>81.599999999999994</v>
      </c>
      <c r="AU85" s="33">
        <v>90.5</v>
      </c>
      <c r="AV85" s="65">
        <v>99.4</v>
      </c>
      <c r="AW85" s="33">
        <v>82.4</v>
      </c>
      <c r="AX85" s="33">
        <v>-0.6</v>
      </c>
      <c r="AY85" s="33">
        <v>-2</v>
      </c>
      <c r="AZ85" s="33">
        <v>-12.3</v>
      </c>
      <c r="BA85" s="33">
        <v>-0.9</v>
      </c>
      <c r="BB85" s="33">
        <v>85.3</v>
      </c>
      <c r="BC85" s="33">
        <v>91</v>
      </c>
      <c r="BD85" s="33">
        <v>80</v>
      </c>
      <c r="BE85" s="33">
        <v>-66.3</v>
      </c>
      <c r="BF85" s="33">
        <v>71</v>
      </c>
      <c r="BG85" s="33">
        <v>-23.5</v>
      </c>
      <c r="BH85" s="33">
        <v>169.9</v>
      </c>
      <c r="BI85" s="33">
        <v>2.4</v>
      </c>
      <c r="BJ85" s="34">
        <v>50.932234739999998</v>
      </c>
      <c r="BK85" s="45">
        <v>26.430536376878973</v>
      </c>
      <c r="BL85" s="45" t="s">
        <v>243</v>
      </c>
      <c r="BM85" s="33">
        <v>99.688900000000004</v>
      </c>
      <c r="BN85" s="33">
        <v>99.734200000000001</v>
      </c>
      <c r="BO85" s="33">
        <v>-35.6</v>
      </c>
      <c r="BP85" s="33">
        <v>-36.6</v>
      </c>
      <c r="BQ85" s="33">
        <v>17</v>
      </c>
      <c r="BR85" s="33">
        <v>-0.5</v>
      </c>
      <c r="BS85" s="33">
        <v>-0.8</v>
      </c>
      <c r="BT85" s="45" t="s">
        <v>243</v>
      </c>
      <c r="BU85" s="33">
        <v>-17.7</v>
      </c>
      <c r="BV85" s="33">
        <v>36.1</v>
      </c>
      <c r="BW85" s="33">
        <v>-16.100000000000001</v>
      </c>
      <c r="BX85" s="33">
        <v>-17.600000000000001</v>
      </c>
      <c r="BY85" s="33">
        <v>-50.4</v>
      </c>
      <c r="BZ85" s="33">
        <v>98.9</v>
      </c>
      <c r="CA85" s="33">
        <v>-16.100000000000001</v>
      </c>
      <c r="CB85" s="33">
        <v>-9</v>
      </c>
      <c r="CC85" s="33">
        <v>-3.3</v>
      </c>
      <c r="CD85" s="33">
        <v>-50</v>
      </c>
      <c r="CE85" s="33">
        <v>-37.200000000000003</v>
      </c>
      <c r="CF85" s="33">
        <v>16.3</v>
      </c>
      <c r="CG85" s="33">
        <v>42.4</v>
      </c>
      <c r="CH85" s="33">
        <v>50.6</v>
      </c>
      <c r="CI85" s="33">
        <v>-20.6</v>
      </c>
      <c r="CJ85" s="33">
        <v>-14.8</v>
      </c>
      <c r="CK85" s="33">
        <v>5.0999999999999996</v>
      </c>
      <c r="CL85" s="33">
        <v>10.6</v>
      </c>
      <c r="CM85" s="33">
        <v>1644.4595240000001</v>
      </c>
      <c r="CN85" s="33">
        <v>5616.2</v>
      </c>
      <c r="CO85" s="33">
        <v>673.79428600000006</v>
      </c>
      <c r="CP85" s="33">
        <v>7.8920000000000003</v>
      </c>
      <c r="CQ85" s="33">
        <v>6.96</v>
      </c>
      <c r="CR85" s="33">
        <v>90.1</v>
      </c>
      <c r="CS85" s="121">
        <f t="shared" si="16"/>
        <v>50.350000000000009</v>
      </c>
      <c r="CT85" s="33">
        <v>88.6</v>
      </c>
      <c r="CU85" s="33">
        <v>98.8</v>
      </c>
      <c r="CV85" s="33">
        <v>151.5</v>
      </c>
      <c r="CW85" s="33">
        <v>96.8</v>
      </c>
      <c r="CX85" s="33">
        <v>83.8</v>
      </c>
      <c r="CY85" s="33">
        <v>2.78</v>
      </c>
      <c r="CZ85" s="33">
        <v>18500.392</v>
      </c>
      <c r="DA85" s="33">
        <v>2.16</v>
      </c>
      <c r="DB85" s="33">
        <v>13.57</v>
      </c>
      <c r="DC85" s="33">
        <v>19.2</v>
      </c>
      <c r="DD85" s="33">
        <v>5.56</v>
      </c>
      <c r="DE85" s="33">
        <v>4230.9350000000004</v>
      </c>
      <c r="DF85" s="33">
        <v>702.06600000000003</v>
      </c>
      <c r="DG85" s="33">
        <v>497.61399999999998</v>
      </c>
      <c r="DH85" s="33">
        <v>964.38599999999997</v>
      </c>
      <c r="DI85" s="33">
        <v>423.32799999999997</v>
      </c>
      <c r="DJ85" s="33">
        <v>101.3396</v>
      </c>
      <c r="DK85" s="33">
        <v>101.6747</v>
      </c>
      <c r="DL85" s="33">
        <v>100.43</v>
      </c>
      <c r="DM85" s="33">
        <v>100.54349999999999</v>
      </c>
      <c r="DN85" s="33">
        <v>99.734200000000001</v>
      </c>
      <c r="DO85" s="33">
        <v>99.688900000000004</v>
      </c>
      <c r="DP85" s="33">
        <v>99.687700000000007</v>
      </c>
      <c r="DQ85" s="33">
        <v>99.656099999999995</v>
      </c>
      <c r="DR85" s="104">
        <v>178508</v>
      </c>
      <c r="DS85" s="104">
        <v>27702.273118195299</v>
      </c>
      <c r="DT85" s="103" t="s">
        <v>243</v>
      </c>
      <c r="DU85">
        <v>88.872406005859375</v>
      </c>
      <c r="DV85">
        <v>81.139694213867188</v>
      </c>
      <c r="DW85">
        <v>1091</v>
      </c>
      <c r="DX85">
        <v>275775</v>
      </c>
      <c r="DY85" s="102">
        <f t="shared" si="25"/>
        <v>59.2</v>
      </c>
    </row>
    <row r="86" spans="1:129" x14ac:dyDescent="0.25">
      <c r="A86" s="1">
        <v>35339</v>
      </c>
      <c r="B86" s="33">
        <v>75.900000000000006</v>
      </c>
      <c r="C86" s="88">
        <v>3.08</v>
      </c>
      <c r="D86" s="33">
        <v>2.5</v>
      </c>
      <c r="E86" s="72">
        <v>3.1</v>
      </c>
      <c r="F86" s="33">
        <v>4.5999999999999996</v>
      </c>
      <c r="G86" s="33">
        <v>5.5</v>
      </c>
      <c r="H86" s="33">
        <v>6.01</v>
      </c>
      <c r="I86" s="33">
        <f t="shared" si="17"/>
        <v>2.9299999999999997</v>
      </c>
      <c r="J86" s="33">
        <f t="shared" si="18"/>
        <v>3.51</v>
      </c>
      <c r="K86" s="33">
        <f t="shared" si="19"/>
        <v>2.9099999999999997</v>
      </c>
      <c r="L86" s="33">
        <f t="shared" si="20"/>
        <v>-0.58000000000000007</v>
      </c>
      <c r="M86" s="33">
        <v>105.3</v>
      </c>
      <c r="N86" s="33">
        <v>2655.73</v>
      </c>
      <c r="O86" s="33">
        <v>12.9</v>
      </c>
      <c r="P86" s="87">
        <v>567.30000000000007</v>
      </c>
      <c r="Q86" s="34">
        <f t="shared" si="21"/>
        <v>7.5842245989304828</v>
      </c>
      <c r="R86" s="71">
        <v>1022.629767450007</v>
      </c>
      <c r="S86" s="34">
        <f t="shared" si="22"/>
        <v>1367.1520955213998</v>
      </c>
      <c r="T86" s="71">
        <v>1064.1887106248148</v>
      </c>
      <c r="U86" s="34">
        <f t="shared" si="23"/>
        <v>1422.7121799796989</v>
      </c>
      <c r="V86" s="116">
        <v>582973</v>
      </c>
      <c r="W86" s="116">
        <v>1413817</v>
      </c>
      <c r="X86" s="117">
        <v>3436406</v>
      </c>
      <c r="Y86" s="117">
        <v>570794</v>
      </c>
      <c r="Z86" s="33">
        <v>69.8</v>
      </c>
      <c r="AA86" s="33">
        <v>55.1</v>
      </c>
      <c r="AB86" s="33">
        <v>75.3</v>
      </c>
      <c r="AC86" s="33">
        <v>50.1</v>
      </c>
      <c r="AD86" s="33">
        <v>38004</v>
      </c>
      <c r="AE86" s="33">
        <v>10.6</v>
      </c>
      <c r="AF86" s="33">
        <v>265</v>
      </c>
      <c r="AG86" s="33">
        <v>72.400000000000006</v>
      </c>
      <c r="AH86" s="33">
        <v>74.8</v>
      </c>
      <c r="AI86" s="33">
        <v>77.5</v>
      </c>
      <c r="AJ86" s="33">
        <v>79.599999999999994</v>
      </c>
      <c r="AK86" s="33">
        <v>157.367028</v>
      </c>
      <c r="AL86" s="33">
        <v>57.1</v>
      </c>
      <c r="AM86" s="123">
        <v>11.168974211021888</v>
      </c>
      <c r="AN86" s="123">
        <v>15.546373525803807</v>
      </c>
      <c r="AO86" s="123">
        <v>46.986277273006536</v>
      </c>
      <c r="AP86" s="33">
        <v>19</v>
      </c>
      <c r="AQ86" s="33">
        <f t="shared" si="24"/>
        <v>0.24516129032258063</v>
      </c>
      <c r="AR86" s="33">
        <v>90</v>
      </c>
      <c r="AS86" s="33">
        <v>98</v>
      </c>
      <c r="AT86" s="33">
        <v>82.7</v>
      </c>
      <c r="AU86" s="33">
        <v>92.4</v>
      </c>
      <c r="AV86" s="65">
        <v>101</v>
      </c>
      <c r="AW86" s="33">
        <v>84.6</v>
      </c>
      <c r="AX86" s="33">
        <v>-1.4</v>
      </c>
      <c r="AY86" s="33">
        <v>1.7</v>
      </c>
      <c r="AZ86" s="33">
        <v>-6.5</v>
      </c>
      <c r="BA86" s="33">
        <v>3.7</v>
      </c>
      <c r="BB86" s="33">
        <v>85.8</v>
      </c>
      <c r="BC86" s="33">
        <v>92.4</v>
      </c>
      <c r="BD86" s="33">
        <v>79.599999999999994</v>
      </c>
      <c r="BE86" s="33">
        <v>-56.5</v>
      </c>
      <c r="BF86" s="33">
        <v>76.2</v>
      </c>
      <c r="BG86" s="33">
        <v>-22.3</v>
      </c>
      <c r="BH86" s="33">
        <v>167.1</v>
      </c>
      <c r="BI86" s="33">
        <v>5.5</v>
      </c>
      <c r="BJ86" s="34">
        <v>51.201268890000001</v>
      </c>
      <c r="BK86" s="45">
        <v>27.424598179323141</v>
      </c>
      <c r="BL86" s="45" t="s">
        <v>243</v>
      </c>
      <c r="BM86" s="33">
        <v>99.82</v>
      </c>
      <c r="BN86" s="33">
        <v>99.846800000000002</v>
      </c>
      <c r="BO86" s="33">
        <v>-33.4</v>
      </c>
      <c r="BP86" s="33">
        <v>-33.6</v>
      </c>
      <c r="BQ86" s="33">
        <v>14.3</v>
      </c>
      <c r="BR86" s="33">
        <v>2</v>
      </c>
      <c r="BS86" s="33">
        <v>-1.6</v>
      </c>
      <c r="BT86" s="45" t="s">
        <v>243</v>
      </c>
      <c r="BU86" s="33">
        <v>-15.2</v>
      </c>
      <c r="BV86" s="33">
        <v>36.6</v>
      </c>
      <c r="BW86" s="33">
        <v>-17.2</v>
      </c>
      <c r="BX86" s="33">
        <v>-17.5</v>
      </c>
      <c r="BY86" s="33">
        <v>-50.5</v>
      </c>
      <c r="BZ86" s="33">
        <v>99.8</v>
      </c>
      <c r="CA86" s="33">
        <v>-17.2</v>
      </c>
      <c r="CB86" s="33">
        <v>-11.9</v>
      </c>
      <c r="CC86" s="33">
        <v>-5.3</v>
      </c>
      <c r="CD86" s="33">
        <v>-49.1</v>
      </c>
      <c r="CE86" s="33">
        <v>-37.9</v>
      </c>
      <c r="CF86" s="33">
        <v>16.8</v>
      </c>
      <c r="CG86" s="33">
        <v>43.6</v>
      </c>
      <c r="CH86" s="33">
        <v>50.6</v>
      </c>
      <c r="CI86" s="33">
        <v>-23</v>
      </c>
      <c r="CJ86" s="33">
        <v>-13.7</v>
      </c>
      <c r="CK86" s="33">
        <v>6.7</v>
      </c>
      <c r="CL86" s="33">
        <v>8.5</v>
      </c>
      <c r="CM86" s="33">
        <v>1714.0334780000001</v>
      </c>
      <c r="CN86" s="33">
        <v>5904.9</v>
      </c>
      <c r="CO86" s="33">
        <v>701.45565199999999</v>
      </c>
      <c r="CP86" s="33">
        <v>7.6120000000000001</v>
      </c>
      <c r="CQ86" s="33">
        <v>6.65</v>
      </c>
      <c r="CR86" s="33">
        <v>89.9</v>
      </c>
      <c r="CS86" s="121">
        <f t="shared" si="16"/>
        <v>47.850000000000009</v>
      </c>
      <c r="CT86" s="33">
        <v>90.5</v>
      </c>
      <c r="CU86" s="33">
        <v>103.1</v>
      </c>
      <c r="CV86" s="33">
        <v>158.1</v>
      </c>
      <c r="CW86" s="33">
        <v>100</v>
      </c>
      <c r="CX86" s="33">
        <v>97</v>
      </c>
      <c r="CY86" s="33">
        <v>2.95</v>
      </c>
      <c r="CZ86" s="33">
        <v>21348.43</v>
      </c>
      <c r="DA86" s="33">
        <v>2.16</v>
      </c>
      <c r="DB86" s="33">
        <v>14.32</v>
      </c>
      <c r="DC86" s="33">
        <v>20.11</v>
      </c>
      <c r="DD86" s="33">
        <v>5.8</v>
      </c>
      <c r="DE86" s="33">
        <v>5029.1509999999998</v>
      </c>
      <c r="DF86" s="33">
        <v>799.91300000000001</v>
      </c>
      <c r="DG86" s="33">
        <v>570.25300000000004</v>
      </c>
      <c r="DH86" s="33">
        <v>1025.3779999999999</v>
      </c>
      <c r="DI86" s="33">
        <v>613.36099999999999</v>
      </c>
      <c r="DJ86" s="33">
        <v>101.3081</v>
      </c>
      <c r="DK86" s="33">
        <v>101.64400000000001</v>
      </c>
      <c r="DL86" s="33">
        <v>100.46</v>
      </c>
      <c r="DM86" s="33">
        <v>100.5937</v>
      </c>
      <c r="DN86" s="33">
        <v>99.846800000000002</v>
      </c>
      <c r="DO86" s="33">
        <v>99.82</v>
      </c>
      <c r="DP86" s="33">
        <v>99.753399999999999</v>
      </c>
      <c r="DQ86" s="33">
        <v>99.728399999999993</v>
      </c>
      <c r="DR86" s="104">
        <v>203767</v>
      </c>
      <c r="DS86" s="104">
        <v>27683.911677292948</v>
      </c>
      <c r="DT86" s="103" t="s">
        <v>243</v>
      </c>
      <c r="DU86">
        <v>91.027122497558594</v>
      </c>
      <c r="DV86">
        <v>80.009750366210938</v>
      </c>
      <c r="DW86">
        <v>1003</v>
      </c>
      <c r="DX86">
        <v>239500</v>
      </c>
      <c r="DY86" s="102">
        <f t="shared" si="25"/>
        <v>59.599999999999994</v>
      </c>
    </row>
    <row r="87" spans="1:129" x14ac:dyDescent="0.25">
      <c r="A87" s="1">
        <v>35370</v>
      </c>
      <c r="B87" s="33">
        <v>76.8</v>
      </c>
      <c r="C87" s="88">
        <v>3.09</v>
      </c>
      <c r="D87" s="33">
        <v>2.5</v>
      </c>
      <c r="E87" s="72">
        <v>3.17</v>
      </c>
      <c r="F87" s="33">
        <v>4.59</v>
      </c>
      <c r="G87" s="33">
        <v>5.42</v>
      </c>
      <c r="H87" s="33">
        <v>5.86</v>
      </c>
      <c r="I87" s="33">
        <f t="shared" si="17"/>
        <v>2.7700000000000005</v>
      </c>
      <c r="J87" s="33">
        <f t="shared" si="18"/>
        <v>3.3600000000000003</v>
      </c>
      <c r="K87" s="33">
        <f t="shared" si="19"/>
        <v>2.6900000000000004</v>
      </c>
      <c r="L87" s="33">
        <f t="shared" si="20"/>
        <v>-0.58999999999999986</v>
      </c>
      <c r="M87" s="33">
        <v>105.1</v>
      </c>
      <c r="N87" s="33">
        <v>2683.25</v>
      </c>
      <c r="O87" s="33">
        <v>13.59</v>
      </c>
      <c r="P87" s="87">
        <v>575.9</v>
      </c>
      <c r="Q87" s="34">
        <f t="shared" si="21"/>
        <v>7.6991978609625669</v>
      </c>
      <c r="R87" s="71">
        <v>1026.8251716241609</v>
      </c>
      <c r="S87" s="34">
        <f t="shared" si="22"/>
        <v>1372.7609246312313</v>
      </c>
      <c r="T87" s="71">
        <v>1067.236870196959</v>
      </c>
      <c r="U87" s="34">
        <f t="shared" si="23"/>
        <v>1426.787259621603</v>
      </c>
      <c r="V87" s="116">
        <v>576779</v>
      </c>
      <c r="W87" s="116">
        <v>1431291</v>
      </c>
      <c r="X87" s="117">
        <v>3455104</v>
      </c>
      <c r="Y87" s="117">
        <v>561011</v>
      </c>
      <c r="Z87" s="33">
        <v>70.3</v>
      </c>
      <c r="AA87" s="33">
        <v>54.6</v>
      </c>
      <c r="AB87" s="33">
        <v>74.099999999999994</v>
      </c>
      <c r="AC87" s="33">
        <v>49.3</v>
      </c>
      <c r="AD87" s="33">
        <v>38021</v>
      </c>
      <c r="AE87" s="33">
        <v>10.7</v>
      </c>
      <c r="AF87" s="33">
        <v>264</v>
      </c>
      <c r="AG87" s="33">
        <v>72.400000000000006</v>
      </c>
      <c r="AH87" s="33">
        <v>74.8</v>
      </c>
      <c r="AI87" s="33">
        <v>77.5</v>
      </c>
      <c r="AJ87" s="33">
        <v>79.5</v>
      </c>
      <c r="AK87" s="33">
        <v>157.367028</v>
      </c>
      <c r="AL87" s="33">
        <v>95.5</v>
      </c>
      <c r="AM87" s="123">
        <v>10.793195639436103</v>
      </c>
      <c r="AN87" s="123">
        <v>14.67461426267462</v>
      </c>
      <c r="AO87" s="123">
        <v>45.349939258523719</v>
      </c>
      <c r="AP87" s="33">
        <v>17.899999999999999</v>
      </c>
      <c r="AQ87" s="33">
        <f t="shared" si="24"/>
        <v>0.23096774193548386</v>
      </c>
      <c r="AR87" s="33">
        <v>89.2</v>
      </c>
      <c r="AS87" s="33">
        <v>97.1</v>
      </c>
      <c r="AT87" s="33">
        <v>81.900000000000006</v>
      </c>
      <c r="AU87" s="33">
        <v>91.9</v>
      </c>
      <c r="AV87" s="65">
        <v>100.7</v>
      </c>
      <c r="AW87" s="33">
        <v>83.9</v>
      </c>
      <c r="AX87" s="33">
        <v>0.4</v>
      </c>
      <c r="AY87" s="33">
        <v>4.9000000000000004</v>
      </c>
      <c r="AZ87" s="33">
        <v>-7.8</v>
      </c>
      <c r="BA87" s="33">
        <v>3.4</v>
      </c>
      <c r="BB87" s="33">
        <v>84.8</v>
      </c>
      <c r="BC87" s="33">
        <v>90.7</v>
      </c>
      <c r="BD87" s="33">
        <v>79.3</v>
      </c>
      <c r="BE87" s="33">
        <v>-55.4</v>
      </c>
      <c r="BF87" s="33">
        <v>74.599999999999994</v>
      </c>
      <c r="BG87" s="33">
        <v>-23.9</v>
      </c>
      <c r="BH87" s="33">
        <v>169</v>
      </c>
      <c r="BI87" s="33">
        <v>23.6</v>
      </c>
      <c r="BJ87" s="34">
        <v>51.816529269999997</v>
      </c>
      <c r="BK87" s="45">
        <v>37.687636420985534</v>
      </c>
      <c r="BL87" s="45" t="s">
        <v>243</v>
      </c>
      <c r="BM87" s="33">
        <v>99.924400000000006</v>
      </c>
      <c r="BN87" s="33">
        <v>99.936499999999995</v>
      </c>
      <c r="BO87" s="33">
        <v>-34.5</v>
      </c>
      <c r="BP87" s="33">
        <v>-34.4</v>
      </c>
      <c r="BQ87" s="33">
        <v>15.8</v>
      </c>
      <c r="BR87" s="33">
        <v>2.9</v>
      </c>
      <c r="BS87" s="33">
        <v>-1.4</v>
      </c>
      <c r="BT87" s="45" t="s">
        <v>243</v>
      </c>
      <c r="BU87" s="33">
        <v>-15.8</v>
      </c>
      <c r="BV87" s="33">
        <v>36.700000000000003</v>
      </c>
      <c r="BW87" s="33">
        <v>-17.5</v>
      </c>
      <c r="BX87" s="33">
        <v>-18</v>
      </c>
      <c r="BY87" s="33">
        <v>-52.8</v>
      </c>
      <c r="BZ87" s="33">
        <v>99.4</v>
      </c>
      <c r="CA87" s="33">
        <v>-17.5</v>
      </c>
      <c r="CB87" s="33">
        <v>-11.8</v>
      </c>
      <c r="CC87" s="33">
        <v>-5</v>
      </c>
      <c r="CD87" s="33">
        <v>-49.2</v>
      </c>
      <c r="CE87" s="33">
        <v>-38.200000000000003</v>
      </c>
      <c r="CF87" s="33">
        <v>16.5</v>
      </c>
      <c r="CG87" s="33">
        <v>45.1</v>
      </c>
      <c r="CH87" s="33">
        <v>50.6</v>
      </c>
      <c r="CI87" s="33">
        <v>-23.6</v>
      </c>
      <c r="CJ87" s="33">
        <v>-15.2</v>
      </c>
      <c r="CK87" s="33">
        <v>4.5</v>
      </c>
      <c r="CL87" s="33">
        <v>8.5</v>
      </c>
      <c r="CM87" s="33">
        <v>1760.7957140000001</v>
      </c>
      <c r="CN87" s="33">
        <v>6021.92</v>
      </c>
      <c r="CO87" s="33">
        <v>736.58952399999998</v>
      </c>
      <c r="CP87" s="33">
        <v>7.7089999999999996</v>
      </c>
      <c r="CQ87" s="33">
        <v>6.38</v>
      </c>
      <c r="CR87" s="33">
        <v>93.9</v>
      </c>
      <c r="CS87" s="121">
        <f t="shared" si="16"/>
        <v>45.95</v>
      </c>
      <c r="CT87" s="33">
        <v>90.8</v>
      </c>
      <c r="CU87" s="33">
        <v>102.4</v>
      </c>
      <c r="CV87" s="33">
        <v>154</v>
      </c>
      <c r="CW87" s="33">
        <v>94.7</v>
      </c>
      <c r="CX87" s="33">
        <v>100.8</v>
      </c>
      <c r="CY87" s="33">
        <v>2.77</v>
      </c>
      <c r="CZ87" s="33">
        <v>19750.219000000001</v>
      </c>
      <c r="DA87" s="33">
        <v>2.2999999999999998</v>
      </c>
      <c r="DB87" s="33">
        <v>13.85</v>
      </c>
      <c r="DC87" s="33">
        <v>19.190000000000001</v>
      </c>
      <c r="DD87" s="33">
        <v>6.08</v>
      </c>
      <c r="DE87" s="33">
        <v>4799.2939999999999</v>
      </c>
      <c r="DF87" s="33">
        <v>723.423</v>
      </c>
      <c r="DG87" s="33">
        <v>599.70000000000005</v>
      </c>
      <c r="DH87" s="33">
        <v>1024.758</v>
      </c>
      <c r="DI87" s="33">
        <v>769.75800000000004</v>
      </c>
      <c r="DJ87" s="33">
        <v>101.2624</v>
      </c>
      <c r="DK87" s="33">
        <v>101.6006</v>
      </c>
      <c r="DL87" s="33">
        <v>100.48</v>
      </c>
      <c r="DM87" s="33">
        <v>100.61069999999999</v>
      </c>
      <c r="DN87" s="33">
        <v>99.936499999999995</v>
      </c>
      <c r="DO87" s="33">
        <v>99.924400000000006</v>
      </c>
      <c r="DP87" s="33">
        <v>99.828100000000006</v>
      </c>
      <c r="DQ87" s="33">
        <v>99.810599999999994</v>
      </c>
      <c r="DR87" s="104">
        <v>177649</v>
      </c>
      <c r="DS87" s="104">
        <v>27694.194084198261</v>
      </c>
      <c r="DT87" s="103" t="s">
        <v>243</v>
      </c>
      <c r="DU87">
        <v>103.19831848144531</v>
      </c>
      <c r="DV87">
        <v>100.17250061035156</v>
      </c>
      <c r="DW87">
        <v>1323</v>
      </c>
      <c r="DX87">
        <v>123700</v>
      </c>
      <c r="DY87" s="102">
        <f t="shared" si="25"/>
        <v>58.400000000000006</v>
      </c>
    </row>
    <row r="88" spans="1:129" x14ac:dyDescent="0.25">
      <c r="A88" s="1">
        <v>35400</v>
      </c>
      <c r="B88" s="33">
        <v>76.900000000000006</v>
      </c>
      <c r="C88" s="88">
        <v>3.11</v>
      </c>
      <c r="D88" s="33">
        <v>2.5</v>
      </c>
      <c r="E88" s="72">
        <v>3.21</v>
      </c>
      <c r="F88" s="33">
        <v>4.47</v>
      </c>
      <c r="G88" s="33">
        <v>5.32</v>
      </c>
      <c r="H88" s="33">
        <v>5.79</v>
      </c>
      <c r="I88" s="33">
        <f t="shared" si="17"/>
        <v>2.68</v>
      </c>
      <c r="J88" s="33">
        <f t="shared" si="18"/>
        <v>3.29</v>
      </c>
      <c r="K88" s="33">
        <f t="shared" si="19"/>
        <v>2.58</v>
      </c>
      <c r="L88" s="33">
        <f t="shared" si="20"/>
        <v>-0.60999999999999988</v>
      </c>
      <c r="M88" s="33">
        <v>103.9</v>
      </c>
      <c r="N88" s="33">
        <v>2858.6</v>
      </c>
      <c r="O88" s="33">
        <v>13.28</v>
      </c>
      <c r="P88" s="87">
        <v>579.30000000000007</v>
      </c>
      <c r="Q88" s="34">
        <f t="shared" si="21"/>
        <v>7.7446524064171136</v>
      </c>
      <c r="R88" s="71">
        <v>1033.5950283597274</v>
      </c>
      <c r="S88" s="34">
        <f t="shared" si="22"/>
        <v>1381.8115352402772</v>
      </c>
      <c r="T88" s="71">
        <v>1073.5236993145063</v>
      </c>
      <c r="U88" s="34">
        <f t="shared" si="23"/>
        <v>1435.1921113830299</v>
      </c>
      <c r="V88" s="116">
        <v>578040</v>
      </c>
      <c r="W88" s="116">
        <v>1458860</v>
      </c>
      <c r="X88" s="117">
        <v>3485231</v>
      </c>
      <c r="Y88" s="117">
        <v>552344</v>
      </c>
      <c r="Z88" s="33">
        <v>70.7</v>
      </c>
      <c r="AA88" s="33">
        <v>54.6</v>
      </c>
      <c r="AB88" s="33">
        <v>76.900000000000006</v>
      </c>
      <c r="AC88" s="33">
        <v>48.6</v>
      </c>
      <c r="AD88" s="33">
        <v>38014</v>
      </c>
      <c r="AE88" s="33">
        <v>10.8</v>
      </c>
      <c r="AF88" s="33">
        <v>271</v>
      </c>
      <c r="AG88" s="33">
        <v>72.400000000000006</v>
      </c>
      <c r="AH88" s="33">
        <v>74.8</v>
      </c>
      <c r="AI88" s="33">
        <v>78.099999999999994</v>
      </c>
      <c r="AJ88" s="33">
        <v>79.7</v>
      </c>
      <c r="AK88" s="33">
        <v>157.367028</v>
      </c>
      <c r="AL88" s="33">
        <v>57.1</v>
      </c>
      <c r="AM88" s="123">
        <v>11.197099010558453</v>
      </c>
      <c r="AN88" s="123">
        <v>15.421331360111603</v>
      </c>
      <c r="AO88" s="123">
        <v>47.465141649313075</v>
      </c>
      <c r="AP88" s="33">
        <v>19.04</v>
      </c>
      <c r="AQ88" s="33">
        <f t="shared" si="24"/>
        <v>0.24379001280409732</v>
      </c>
      <c r="AR88" s="33">
        <v>89.2</v>
      </c>
      <c r="AS88" s="33">
        <v>97</v>
      </c>
      <c r="AT88" s="33">
        <v>82.1</v>
      </c>
      <c r="AU88" s="33">
        <v>91.9</v>
      </c>
      <c r="AV88" s="65">
        <v>100.5</v>
      </c>
      <c r="AW88" s="33">
        <v>84</v>
      </c>
      <c r="AX88" s="33">
        <v>-1.1000000000000001</v>
      </c>
      <c r="AY88" s="33">
        <v>3.5</v>
      </c>
      <c r="AZ88" s="33">
        <v>-7.2</v>
      </c>
      <c r="BA88" s="33">
        <v>5</v>
      </c>
      <c r="BB88" s="33">
        <v>84.8</v>
      </c>
      <c r="BC88" s="33">
        <v>91.2</v>
      </c>
      <c r="BD88" s="33">
        <v>78.8</v>
      </c>
      <c r="BE88" s="33">
        <v>-46.6</v>
      </c>
      <c r="BF88" s="33">
        <v>69.3</v>
      </c>
      <c r="BG88" s="33">
        <v>-23.4</v>
      </c>
      <c r="BH88" s="33">
        <v>167.2</v>
      </c>
      <c r="BI88" s="33">
        <v>45.8</v>
      </c>
      <c r="BJ88" s="34">
        <v>51.623883190000001</v>
      </c>
      <c r="BK88" s="45">
        <v>48.844720116191681</v>
      </c>
      <c r="BL88" s="45" t="s">
        <v>243</v>
      </c>
      <c r="BM88" s="33">
        <v>100.0197</v>
      </c>
      <c r="BN88" s="33">
        <v>100.0184</v>
      </c>
      <c r="BO88" s="33">
        <v>-35.1</v>
      </c>
      <c r="BP88" s="33">
        <v>-35.5</v>
      </c>
      <c r="BQ88" s="33">
        <v>15.1</v>
      </c>
      <c r="BR88" s="33">
        <v>4.3</v>
      </c>
      <c r="BS88" s="33">
        <v>-3.3</v>
      </c>
      <c r="BT88" s="45" t="s">
        <v>243</v>
      </c>
      <c r="BU88" s="33">
        <v>-15.3</v>
      </c>
      <c r="BV88" s="33">
        <v>36.299999999999997</v>
      </c>
      <c r="BW88" s="33">
        <v>-18.7</v>
      </c>
      <c r="BX88" s="33">
        <v>-18.8</v>
      </c>
      <c r="BY88" s="33">
        <v>-51.8</v>
      </c>
      <c r="BZ88" s="33">
        <v>99.1</v>
      </c>
      <c r="CA88" s="33">
        <v>-18.7</v>
      </c>
      <c r="CB88" s="33">
        <v>-12.2</v>
      </c>
      <c r="CC88" s="33">
        <v>-6.9</v>
      </c>
      <c r="CD88" s="33">
        <v>-49.2</v>
      </c>
      <c r="CE88" s="33">
        <v>-38.799999999999997</v>
      </c>
      <c r="CF88" s="33">
        <v>17.600000000000001</v>
      </c>
      <c r="CG88" s="33">
        <v>47.5</v>
      </c>
      <c r="CH88" s="33">
        <v>50.9</v>
      </c>
      <c r="CI88" s="33">
        <v>-22.3</v>
      </c>
      <c r="CJ88" s="33">
        <v>-16.8</v>
      </c>
      <c r="CK88" s="33">
        <v>2.7</v>
      </c>
      <c r="CL88" s="33">
        <v>9.9</v>
      </c>
      <c r="CM88" s="33">
        <v>1816.100909</v>
      </c>
      <c r="CN88" s="33">
        <v>6521.7</v>
      </c>
      <c r="CO88" s="33">
        <v>743.60636399999999</v>
      </c>
      <c r="CP88" s="33">
        <v>7.3390000000000004</v>
      </c>
      <c r="CQ88" s="33">
        <v>6.08</v>
      </c>
      <c r="CR88" s="33">
        <v>91.8</v>
      </c>
      <c r="CS88" s="121">
        <f t="shared" si="16"/>
        <v>45.650000000000006</v>
      </c>
      <c r="CT88" s="33">
        <v>91.5</v>
      </c>
      <c r="CU88" s="33">
        <v>102.1</v>
      </c>
      <c r="CV88" s="33">
        <v>120.3</v>
      </c>
      <c r="CW88" s="33">
        <v>97.2</v>
      </c>
      <c r="CX88" s="33">
        <v>95.4</v>
      </c>
      <c r="CY88" s="33">
        <v>2.66</v>
      </c>
      <c r="CZ88" s="33">
        <v>18967.696</v>
      </c>
      <c r="DA88" s="33">
        <v>2.16</v>
      </c>
      <c r="DB88" s="33">
        <v>14.52</v>
      </c>
      <c r="DC88" s="33">
        <v>20.59</v>
      </c>
      <c r="DD88" s="33">
        <v>5.77</v>
      </c>
      <c r="DE88" s="33">
        <v>4495.4390000000003</v>
      </c>
      <c r="DF88" s="33">
        <v>760.55399999999997</v>
      </c>
      <c r="DG88" s="33">
        <v>543.78</v>
      </c>
      <c r="DH88" s="33">
        <v>813.41</v>
      </c>
      <c r="DI88" s="33">
        <v>569.42899999999997</v>
      </c>
      <c r="DJ88" s="33">
        <v>101.2047</v>
      </c>
      <c r="DK88" s="33">
        <v>101.5455</v>
      </c>
      <c r="DL88" s="33">
        <v>100.44</v>
      </c>
      <c r="DM88" s="33">
        <v>100.5642</v>
      </c>
      <c r="DN88" s="33">
        <v>100.0184</v>
      </c>
      <c r="DO88" s="33">
        <v>100.0197</v>
      </c>
      <c r="DP88" s="33">
        <v>99.908299999999997</v>
      </c>
      <c r="DQ88" s="33">
        <v>99.898799999999994</v>
      </c>
      <c r="DR88" s="104">
        <v>154993</v>
      </c>
      <c r="DS88" s="104">
        <v>27675.832643295915</v>
      </c>
      <c r="DT88" s="103" t="s">
        <v>243</v>
      </c>
      <c r="DU88">
        <v>86.60009765625</v>
      </c>
      <c r="DV88">
        <v>80.475776672363281</v>
      </c>
      <c r="DW88">
        <v>1427</v>
      </c>
      <c r="DX88">
        <v>93475</v>
      </c>
      <c r="DY88" s="102">
        <f t="shared" si="25"/>
        <v>59.3</v>
      </c>
    </row>
    <row r="89" spans="1:129" x14ac:dyDescent="0.25">
      <c r="A89" s="1">
        <v>35431</v>
      </c>
      <c r="B89" s="33">
        <v>74.5</v>
      </c>
      <c r="C89" s="88">
        <v>3.12</v>
      </c>
      <c r="D89" s="33">
        <v>2.5</v>
      </c>
      <c r="E89" s="72">
        <v>3.09</v>
      </c>
      <c r="F89" s="33">
        <v>4.4000000000000004</v>
      </c>
      <c r="G89" s="33">
        <v>5.28</v>
      </c>
      <c r="H89" s="33">
        <v>5.8</v>
      </c>
      <c r="I89" s="33">
        <f t="shared" si="17"/>
        <v>2.6799999999999997</v>
      </c>
      <c r="J89" s="33">
        <f t="shared" si="18"/>
        <v>3.3</v>
      </c>
      <c r="K89" s="33">
        <f t="shared" si="19"/>
        <v>2.71</v>
      </c>
      <c r="L89" s="33">
        <f t="shared" si="20"/>
        <v>-0.62000000000000011</v>
      </c>
      <c r="M89" s="33">
        <v>103.8</v>
      </c>
      <c r="N89" s="33">
        <v>2888.69</v>
      </c>
      <c r="O89" s="33">
        <v>16.079999999999998</v>
      </c>
      <c r="P89" s="87">
        <v>584.1</v>
      </c>
      <c r="Q89" s="34">
        <f t="shared" si="21"/>
        <v>7.7672872340425529</v>
      </c>
      <c r="R89" s="71">
        <v>1044.4649391745806</v>
      </c>
      <c r="S89" s="34">
        <f t="shared" si="22"/>
        <v>1388.916142519389</v>
      </c>
      <c r="T89" s="71">
        <v>1085.7163376030826</v>
      </c>
      <c r="U89" s="34">
        <f t="shared" si="23"/>
        <v>1443.7717255360142</v>
      </c>
      <c r="V89" s="116">
        <v>639406</v>
      </c>
      <c r="W89" s="116">
        <v>1455766</v>
      </c>
      <c r="X89" s="117">
        <v>3482856</v>
      </c>
      <c r="Y89" s="117">
        <v>557906</v>
      </c>
      <c r="Z89" s="33">
        <v>69.099999999999994</v>
      </c>
      <c r="AA89" s="33">
        <v>55.4</v>
      </c>
      <c r="AB89" s="33">
        <v>75.099999999999994</v>
      </c>
      <c r="AC89" s="33">
        <v>49.9</v>
      </c>
      <c r="AD89" s="33">
        <v>37915</v>
      </c>
      <c r="AE89" s="33">
        <v>11.3</v>
      </c>
      <c r="AF89" s="33">
        <v>270</v>
      </c>
      <c r="AG89" s="33">
        <v>72.8</v>
      </c>
      <c r="AH89" s="33">
        <v>75.2</v>
      </c>
      <c r="AI89" s="33">
        <v>78.7</v>
      </c>
      <c r="AJ89" s="33">
        <v>79.900000000000006</v>
      </c>
      <c r="AK89" s="33">
        <v>157.90107900000001</v>
      </c>
      <c r="AL89" s="33">
        <v>57.2</v>
      </c>
      <c r="AM89" s="123">
        <v>11.463168690017266</v>
      </c>
      <c r="AN89" s="123">
        <v>15.73734224863848</v>
      </c>
      <c r="AO89" s="123">
        <v>46.590574550246998</v>
      </c>
      <c r="AP89" s="33">
        <v>19.239999999999998</v>
      </c>
      <c r="AQ89" s="33">
        <f t="shared" si="24"/>
        <v>0.24447268106734432</v>
      </c>
      <c r="AR89" s="33">
        <v>89.2</v>
      </c>
      <c r="AS89" s="33">
        <v>98</v>
      </c>
      <c r="AT89" s="33">
        <v>81.2</v>
      </c>
      <c r="AU89" s="33">
        <v>92.1</v>
      </c>
      <c r="AV89" s="65">
        <v>101.7</v>
      </c>
      <c r="AW89" s="33">
        <v>83.3</v>
      </c>
      <c r="AX89" s="33">
        <v>-2.2000000000000002</v>
      </c>
      <c r="AY89" s="33">
        <v>7.2</v>
      </c>
      <c r="AZ89" s="33">
        <v>-4.5999999999999996</v>
      </c>
      <c r="BA89" s="33">
        <v>7.2</v>
      </c>
      <c r="BB89" s="33">
        <v>83.1</v>
      </c>
      <c r="BC89" s="33">
        <v>90.3</v>
      </c>
      <c r="BD89" s="33">
        <v>76.5</v>
      </c>
      <c r="BE89" s="33">
        <v>-47.7</v>
      </c>
      <c r="BF89" s="33">
        <v>70.8</v>
      </c>
      <c r="BG89" s="33">
        <v>-26.5</v>
      </c>
      <c r="BH89" s="33">
        <v>163.4</v>
      </c>
      <c r="BI89" s="33">
        <v>73</v>
      </c>
      <c r="BJ89" s="34">
        <v>51.583838389999997</v>
      </c>
      <c r="BK89" s="45">
        <v>93.400156272706454</v>
      </c>
      <c r="BL89" s="45" t="s">
        <v>243</v>
      </c>
      <c r="BM89" s="33">
        <v>100.1224</v>
      </c>
      <c r="BN89" s="33">
        <v>100.1067</v>
      </c>
      <c r="BO89" s="33">
        <v>-32.200000000000003</v>
      </c>
      <c r="BP89" s="33">
        <v>-33</v>
      </c>
      <c r="BQ89" s="33">
        <v>11.7</v>
      </c>
      <c r="BR89" s="33">
        <v>6.7</v>
      </c>
      <c r="BS89" s="33">
        <v>-3.2</v>
      </c>
      <c r="BT89" s="45" t="s">
        <v>243</v>
      </c>
      <c r="BU89" s="33">
        <v>-12.4</v>
      </c>
      <c r="BV89" s="33">
        <v>35.4</v>
      </c>
      <c r="BW89" s="33">
        <v>-16.899999999999999</v>
      </c>
      <c r="BX89" s="33">
        <v>-16</v>
      </c>
      <c r="BY89" s="33">
        <v>-48.9</v>
      </c>
      <c r="BZ89" s="33">
        <v>101.1</v>
      </c>
      <c r="CA89" s="33">
        <v>-16.899999999999999</v>
      </c>
      <c r="CB89" s="33">
        <v>-11</v>
      </c>
      <c r="CC89" s="33">
        <v>-4.5999999999999996</v>
      </c>
      <c r="CD89" s="33">
        <v>-52.9</v>
      </c>
      <c r="CE89" s="33">
        <v>-39.1</v>
      </c>
      <c r="CF89" s="33">
        <v>12.9</v>
      </c>
      <c r="CG89" s="33">
        <v>45</v>
      </c>
      <c r="CH89" s="33">
        <v>50.6</v>
      </c>
      <c r="CI89" s="33">
        <v>-21.8</v>
      </c>
      <c r="CJ89" s="33">
        <v>-13.1</v>
      </c>
      <c r="CK89" s="33">
        <v>5.5</v>
      </c>
      <c r="CL89" s="33">
        <v>10</v>
      </c>
      <c r="CM89" s="33">
        <v>1932.3560869999999</v>
      </c>
      <c r="CN89" s="33">
        <v>6448.26</v>
      </c>
      <c r="CO89" s="33">
        <v>765.10913000000005</v>
      </c>
      <c r="CP89" s="33">
        <v>7.508</v>
      </c>
      <c r="CQ89" s="33">
        <v>6.43</v>
      </c>
      <c r="CR89" s="33">
        <v>91.3</v>
      </c>
      <c r="CS89" s="121">
        <f t="shared" si="16"/>
        <v>44.95</v>
      </c>
      <c r="CT89" s="33">
        <v>95.8</v>
      </c>
      <c r="CU89" s="33">
        <v>106.4</v>
      </c>
      <c r="CV89" s="33">
        <v>118.3</v>
      </c>
      <c r="CW89" s="33">
        <v>90.7</v>
      </c>
      <c r="CX89" s="33">
        <v>100.1</v>
      </c>
      <c r="CY89" s="33">
        <v>2.88</v>
      </c>
      <c r="CZ89" s="33">
        <v>18538.115000000002</v>
      </c>
      <c r="DA89" s="33">
        <v>2.4300000000000002</v>
      </c>
      <c r="DB89" s="33">
        <v>14.38</v>
      </c>
      <c r="DC89" s="33">
        <v>18.75</v>
      </c>
      <c r="DD89" s="33">
        <v>6.52</v>
      </c>
      <c r="DE89" s="33">
        <v>4100.41</v>
      </c>
      <c r="DF89" s="33">
        <v>620.31500000000005</v>
      </c>
      <c r="DG89" s="33">
        <v>447.64600000000002</v>
      </c>
      <c r="DH89" s="33">
        <v>997.60199999999998</v>
      </c>
      <c r="DI89" s="33">
        <v>329.53500000000003</v>
      </c>
      <c r="DJ89" s="33">
        <v>101.12860000000001</v>
      </c>
      <c r="DK89" s="33">
        <v>101.46980000000001</v>
      </c>
      <c r="DL89" s="33">
        <v>100.33</v>
      </c>
      <c r="DM89" s="33">
        <v>100.41840000000001</v>
      </c>
      <c r="DN89" s="33">
        <v>100.1067</v>
      </c>
      <c r="DO89" s="33">
        <v>100.1224</v>
      </c>
      <c r="DP89" s="33">
        <v>100.00230000000001</v>
      </c>
      <c r="DQ89" s="33">
        <v>100.0022</v>
      </c>
      <c r="DR89" s="104">
        <v>184250</v>
      </c>
      <c r="DS89" s="104">
        <v>27212.846932760574</v>
      </c>
      <c r="DT89" s="103" t="s">
        <v>243</v>
      </c>
      <c r="DU89">
        <v>119.68685150146484</v>
      </c>
      <c r="DV89">
        <v>86.682220458984375</v>
      </c>
      <c r="DW89">
        <v>1516</v>
      </c>
      <c r="DX89">
        <v>125350</v>
      </c>
      <c r="DY89" s="102">
        <f t="shared" si="25"/>
        <v>59.400000000000006</v>
      </c>
    </row>
    <row r="90" spans="1:129" x14ac:dyDescent="0.25">
      <c r="A90" s="1">
        <v>35462</v>
      </c>
      <c r="B90" s="33">
        <v>76.3</v>
      </c>
      <c r="C90" s="88">
        <v>3.13</v>
      </c>
      <c r="D90" s="33">
        <v>2.5</v>
      </c>
      <c r="E90" s="72">
        <v>3.16</v>
      </c>
      <c r="F90" s="33">
        <v>4.24</v>
      </c>
      <c r="G90" s="33">
        <v>5.0199999999999996</v>
      </c>
      <c r="H90" s="33">
        <v>5.55</v>
      </c>
      <c r="I90" s="33">
        <f t="shared" si="17"/>
        <v>2.42</v>
      </c>
      <c r="J90" s="33">
        <f t="shared" si="18"/>
        <v>3.05</v>
      </c>
      <c r="K90" s="33">
        <f t="shared" si="19"/>
        <v>2.3899999999999997</v>
      </c>
      <c r="L90" s="33">
        <f t="shared" si="20"/>
        <v>-0.62999999999999989</v>
      </c>
      <c r="M90" s="33">
        <v>103</v>
      </c>
      <c r="N90" s="33">
        <v>3062.29</v>
      </c>
      <c r="O90" s="33">
        <v>16.48</v>
      </c>
      <c r="P90" s="87">
        <v>587.6</v>
      </c>
      <c r="Q90" s="34">
        <f t="shared" si="21"/>
        <v>7.7827814569536429</v>
      </c>
      <c r="R90" s="71">
        <v>1046.6579913565247</v>
      </c>
      <c r="S90" s="34">
        <f t="shared" si="22"/>
        <v>1386.3019753066553</v>
      </c>
      <c r="T90" s="71">
        <v>1088.7644971752268</v>
      </c>
      <c r="U90" s="34">
        <f t="shared" si="23"/>
        <v>1442.0721816890421</v>
      </c>
      <c r="V90" s="116">
        <v>638046</v>
      </c>
      <c r="W90" s="116">
        <v>1462263</v>
      </c>
      <c r="X90" s="117">
        <v>3493517</v>
      </c>
      <c r="Y90" s="117">
        <v>560495</v>
      </c>
      <c r="Z90" s="33">
        <v>70.900000000000006</v>
      </c>
      <c r="AA90" s="33">
        <v>55.4</v>
      </c>
      <c r="AB90" s="33">
        <v>77.099999999999994</v>
      </c>
      <c r="AC90" s="33">
        <v>48.8</v>
      </c>
      <c r="AD90" s="33">
        <v>37958</v>
      </c>
      <c r="AE90" s="33">
        <v>11.2</v>
      </c>
      <c r="AF90" s="33">
        <v>277</v>
      </c>
      <c r="AG90" s="33">
        <v>72.900000000000006</v>
      </c>
      <c r="AH90" s="33">
        <v>75.5</v>
      </c>
      <c r="AI90" s="33">
        <v>79.099999999999994</v>
      </c>
      <c r="AJ90" s="33">
        <v>80</v>
      </c>
      <c r="AK90" s="33">
        <v>157.90107900000001</v>
      </c>
      <c r="AL90" s="33">
        <v>57.2</v>
      </c>
      <c r="AM90" s="123">
        <v>11.866959367943512</v>
      </c>
      <c r="AN90" s="123">
        <v>14.777393460828741</v>
      </c>
      <c r="AO90" s="123">
        <v>52.631788539080588</v>
      </c>
      <c r="AP90" s="33">
        <v>17.899999999999999</v>
      </c>
      <c r="AQ90" s="33">
        <f t="shared" si="24"/>
        <v>0.22629582806573956</v>
      </c>
      <c r="AR90" s="33">
        <v>89.8</v>
      </c>
      <c r="AS90" s="33">
        <v>97.6</v>
      </c>
      <c r="AT90" s="33">
        <v>82.6</v>
      </c>
      <c r="AU90" s="33">
        <v>92.7</v>
      </c>
      <c r="AV90" s="65">
        <v>100.9</v>
      </c>
      <c r="AW90" s="33">
        <v>85.1</v>
      </c>
      <c r="AX90" s="33">
        <v>4.3</v>
      </c>
      <c r="AY90" s="33">
        <v>12</v>
      </c>
      <c r="AZ90" s="33">
        <v>-2.7</v>
      </c>
      <c r="BA90" s="33">
        <v>3.2</v>
      </c>
      <c r="BB90" s="33">
        <v>84.7</v>
      </c>
      <c r="BC90" s="33">
        <v>89.8</v>
      </c>
      <c r="BD90" s="33">
        <v>79.900000000000006</v>
      </c>
      <c r="BE90" s="33">
        <v>-58.9</v>
      </c>
      <c r="BF90" s="33">
        <v>62.3</v>
      </c>
      <c r="BG90" s="33">
        <v>-29</v>
      </c>
      <c r="BH90" s="33">
        <v>165.5</v>
      </c>
      <c r="BI90" s="33">
        <v>53.3</v>
      </c>
      <c r="BJ90" s="34">
        <v>52.76256317</v>
      </c>
      <c r="BK90" s="45">
        <v>84.01998354557503</v>
      </c>
      <c r="BL90" s="45" t="s">
        <v>243</v>
      </c>
      <c r="BM90" s="33">
        <v>100.2266</v>
      </c>
      <c r="BN90" s="33">
        <v>100.1961</v>
      </c>
      <c r="BO90" s="33">
        <v>-29.2</v>
      </c>
      <c r="BP90" s="33">
        <v>-29.5</v>
      </c>
      <c r="BQ90" s="33">
        <v>10.6</v>
      </c>
      <c r="BR90" s="33">
        <v>5.3</v>
      </c>
      <c r="BS90" s="33">
        <v>0.5</v>
      </c>
      <c r="BT90" s="45" t="s">
        <v>243</v>
      </c>
      <c r="BU90" s="33">
        <v>-11.5</v>
      </c>
      <c r="BV90" s="33">
        <v>35.9</v>
      </c>
      <c r="BW90" s="33">
        <v>-19.100000000000001</v>
      </c>
      <c r="BX90" s="33">
        <v>-22.8</v>
      </c>
      <c r="BY90" s="33">
        <v>-46.8</v>
      </c>
      <c r="BZ90" s="33">
        <v>100.5</v>
      </c>
      <c r="CA90" s="33">
        <v>-19.100000000000001</v>
      </c>
      <c r="CB90" s="33">
        <v>-13.6</v>
      </c>
      <c r="CC90" s="33">
        <v>-7.5</v>
      </c>
      <c r="CD90" s="33">
        <v>-57.8</v>
      </c>
      <c r="CE90" s="33">
        <v>-40.799999999999997</v>
      </c>
      <c r="CF90" s="33">
        <v>17.7</v>
      </c>
      <c r="CG90" s="33">
        <v>44.9</v>
      </c>
      <c r="CH90" s="33">
        <v>50.1</v>
      </c>
      <c r="CI90" s="33">
        <v>-22</v>
      </c>
      <c r="CJ90" s="33">
        <v>-14.5</v>
      </c>
      <c r="CK90" s="33">
        <v>2.2000000000000002</v>
      </c>
      <c r="CL90" s="33">
        <v>8.8000000000000007</v>
      </c>
      <c r="CM90" s="33">
        <v>2070.8415</v>
      </c>
      <c r="CN90" s="33">
        <v>6806.16</v>
      </c>
      <c r="CO90" s="33">
        <v>798.89250000000004</v>
      </c>
      <c r="CP90" s="33">
        <v>7.3170000000000002</v>
      </c>
      <c r="CQ90" s="33">
        <v>6.47</v>
      </c>
      <c r="CR90" s="33">
        <v>94.9</v>
      </c>
      <c r="CS90" s="121">
        <f t="shared" si="16"/>
        <v>40.650000000000006</v>
      </c>
      <c r="CT90" s="33">
        <v>96.5</v>
      </c>
      <c r="CU90" s="33">
        <v>106.6</v>
      </c>
      <c r="CV90" s="33">
        <v>131</v>
      </c>
      <c r="CW90" s="33">
        <v>93.3</v>
      </c>
      <c r="CX90" s="33">
        <v>101.4</v>
      </c>
      <c r="CY90" s="33">
        <v>3.01</v>
      </c>
      <c r="CZ90" s="33">
        <v>19772.164000000001</v>
      </c>
      <c r="DA90" s="33">
        <v>2.14</v>
      </c>
      <c r="DB90" s="33">
        <v>14.97</v>
      </c>
      <c r="DC90" s="33">
        <v>19.809999999999999</v>
      </c>
      <c r="DD90" s="33">
        <v>6.55</v>
      </c>
      <c r="DE90" s="33">
        <v>4046.2959999999998</v>
      </c>
      <c r="DF90" s="33">
        <v>721.55499999999995</v>
      </c>
      <c r="DG90" s="33">
        <v>539.62099999999998</v>
      </c>
      <c r="DH90" s="33">
        <v>880.18200000000002</v>
      </c>
      <c r="DI90" s="33">
        <v>397.24299999999999</v>
      </c>
      <c r="DJ90" s="33">
        <v>101.0347</v>
      </c>
      <c r="DK90" s="33">
        <v>101.37</v>
      </c>
      <c r="DL90" s="33">
        <v>100.13</v>
      </c>
      <c r="DM90" s="33">
        <v>100.1709</v>
      </c>
      <c r="DN90" s="33">
        <v>100.1961</v>
      </c>
      <c r="DO90" s="33">
        <v>100.2266</v>
      </c>
      <c r="DP90" s="33">
        <v>100.1176</v>
      </c>
      <c r="DQ90" s="33">
        <v>100.129</v>
      </c>
      <c r="DR90" s="104">
        <v>203609</v>
      </c>
      <c r="DS90" s="104">
        <v>27239.611295772593</v>
      </c>
      <c r="DT90" s="103" t="s">
        <v>243</v>
      </c>
      <c r="DU90">
        <v>125.70890808105469</v>
      </c>
      <c r="DV90">
        <v>56.295875549316406</v>
      </c>
      <c r="DW90">
        <v>1374</v>
      </c>
      <c r="DX90">
        <v>200500</v>
      </c>
      <c r="DY90" s="102">
        <f t="shared" si="25"/>
        <v>57</v>
      </c>
    </row>
    <row r="91" spans="1:129" x14ac:dyDescent="0.25">
      <c r="A91" s="1">
        <v>35490</v>
      </c>
      <c r="B91" s="33">
        <v>77.400000000000006</v>
      </c>
      <c r="C91" s="88">
        <v>3.15</v>
      </c>
      <c r="D91" s="33">
        <v>2.5</v>
      </c>
      <c r="E91" s="72">
        <v>3.24</v>
      </c>
      <c r="F91" s="33">
        <v>4.4800000000000004</v>
      </c>
      <c r="G91" s="33">
        <v>5.2</v>
      </c>
      <c r="H91" s="33">
        <v>5.71</v>
      </c>
      <c r="I91" s="33">
        <f t="shared" si="17"/>
        <v>2.56</v>
      </c>
      <c r="J91" s="33">
        <f t="shared" si="18"/>
        <v>3.21</v>
      </c>
      <c r="K91" s="33">
        <f t="shared" si="19"/>
        <v>2.4699999999999998</v>
      </c>
      <c r="L91" s="33">
        <f t="shared" si="20"/>
        <v>-0.64999999999999991</v>
      </c>
      <c r="M91" s="33">
        <v>103.1</v>
      </c>
      <c r="N91" s="33">
        <v>3263.86</v>
      </c>
      <c r="O91" s="33">
        <v>18.71</v>
      </c>
      <c r="P91" s="87">
        <v>591.30000000000007</v>
      </c>
      <c r="Q91" s="34">
        <f t="shared" si="21"/>
        <v>7.8317880794701997</v>
      </c>
      <c r="R91" s="71">
        <v>1048.5649932538674</v>
      </c>
      <c r="S91" s="34">
        <f t="shared" si="22"/>
        <v>1388.8278056342615</v>
      </c>
      <c r="T91" s="71">
        <v>1089.0502621351152</v>
      </c>
      <c r="U91" s="34">
        <f t="shared" si="23"/>
        <v>1442.4506783246559</v>
      </c>
      <c r="V91" s="116">
        <v>633024</v>
      </c>
      <c r="W91" s="116">
        <v>1462135</v>
      </c>
      <c r="X91" s="117">
        <v>3496684</v>
      </c>
      <c r="Y91" s="117">
        <v>564889</v>
      </c>
      <c r="Z91" s="33">
        <v>71.3</v>
      </c>
      <c r="AA91" s="33">
        <v>57.3</v>
      </c>
      <c r="AB91" s="33">
        <v>78.2</v>
      </c>
      <c r="AC91" s="33">
        <v>51.6</v>
      </c>
      <c r="AD91" s="33">
        <v>37983</v>
      </c>
      <c r="AE91" s="33">
        <v>11.2</v>
      </c>
      <c r="AF91" s="33">
        <v>278</v>
      </c>
      <c r="AG91" s="33">
        <v>72.8</v>
      </c>
      <c r="AH91" s="33">
        <v>75.5</v>
      </c>
      <c r="AI91" s="33">
        <v>79.2</v>
      </c>
      <c r="AJ91" s="33">
        <v>80.2</v>
      </c>
      <c r="AK91" s="33">
        <v>157.723062</v>
      </c>
      <c r="AL91" s="33">
        <v>57.3</v>
      </c>
      <c r="AM91" s="123">
        <v>11.23049614924758</v>
      </c>
      <c r="AN91" s="123">
        <v>14.325024273252351</v>
      </c>
      <c r="AO91" s="123">
        <v>57.375810295154196</v>
      </c>
      <c r="AP91" s="33">
        <v>16.96</v>
      </c>
      <c r="AQ91" s="33">
        <f t="shared" si="24"/>
        <v>0.21414141414141413</v>
      </c>
      <c r="AR91" s="33">
        <v>90.1</v>
      </c>
      <c r="AS91" s="33">
        <v>97.6</v>
      </c>
      <c r="AT91" s="33">
        <v>83.1</v>
      </c>
      <c r="AU91" s="33">
        <v>92.9</v>
      </c>
      <c r="AV91" s="65">
        <v>101.3</v>
      </c>
      <c r="AW91" s="33">
        <v>85.3</v>
      </c>
      <c r="AX91" s="33">
        <v>4.7</v>
      </c>
      <c r="AY91" s="33">
        <v>8.1</v>
      </c>
      <c r="AZ91" s="33">
        <v>1</v>
      </c>
      <c r="BA91" s="33">
        <v>7.6</v>
      </c>
      <c r="BB91" s="33">
        <v>85</v>
      </c>
      <c r="BC91" s="33">
        <v>92.2</v>
      </c>
      <c r="BD91" s="33">
        <v>78.3</v>
      </c>
      <c r="BE91" s="33">
        <v>-56.9</v>
      </c>
      <c r="BF91" s="33">
        <v>65.7</v>
      </c>
      <c r="BG91" s="33">
        <v>-28.9</v>
      </c>
      <c r="BH91" s="33">
        <v>165</v>
      </c>
      <c r="BI91" s="33">
        <v>19.8</v>
      </c>
      <c r="BJ91" s="34">
        <v>54.579611389999997</v>
      </c>
      <c r="BK91" s="45">
        <v>82.932305853232947</v>
      </c>
      <c r="BL91" s="45" t="s">
        <v>243</v>
      </c>
      <c r="BM91" s="33">
        <v>100.3394</v>
      </c>
      <c r="BN91" s="33">
        <v>100.2931</v>
      </c>
      <c r="BO91" s="33">
        <v>-27.1</v>
      </c>
      <c r="BP91" s="33">
        <v>-31.5</v>
      </c>
      <c r="BQ91" s="33">
        <v>9.3000000000000007</v>
      </c>
      <c r="BR91" s="33">
        <v>4.9000000000000004</v>
      </c>
      <c r="BS91" s="33">
        <v>-1.3</v>
      </c>
      <c r="BT91" s="45" t="s">
        <v>243</v>
      </c>
      <c r="BU91" s="33">
        <v>-10.5</v>
      </c>
      <c r="BV91" s="33">
        <v>35.4</v>
      </c>
      <c r="BW91" s="33">
        <v>-17.899999999999999</v>
      </c>
      <c r="BX91" s="33">
        <v>-21.5</v>
      </c>
      <c r="BY91" s="33">
        <v>-46.9</v>
      </c>
      <c r="BZ91" s="33">
        <v>101.3</v>
      </c>
      <c r="CA91" s="33">
        <v>-17.899999999999999</v>
      </c>
      <c r="CB91" s="33">
        <v>-10.5</v>
      </c>
      <c r="CC91" s="33">
        <v>-5.0999999999999996</v>
      </c>
      <c r="CD91" s="33">
        <v>-54.9</v>
      </c>
      <c r="CE91" s="33">
        <v>-40</v>
      </c>
      <c r="CF91" s="33">
        <v>17.2</v>
      </c>
      <c r="CG91" s="33">
        <v>44.4</v>
      </c>
      <c r="CH91" s="33">
        <v>50.1</v>
      </c>
      <c r="CI91" s="33">
        <v>-23.8</v>
      </c>
      <c r="CJ91" s="33">
        <v>-15.9</v>
      </c>
      <c r="CK91" s="33">
        <v>3.9</v>
      </c>
      <c r="CL91" s="33">
        <v>8.9</v>
      </c>
      <c r="CM91" s="33">
        <v>2122.853333</v>
      </c>
      <c r="CN91" s="33">
        <v>6918.91</v>
      </c>
      <c r="CO91" s="33">
        <v>791.28523800000005</v>
      </c>
      <c r="CP91" s="33">
        <v>7.2439999999999998</v>
      </c>
      <c r="CQ91" s="33">
        <v>6.58</v>
      </c>
      <c r="CR91" s="33">
        <v>93.6</v>
      </c>
      <c r="CS91" s="121">
        <f t="shared" si="16"/>
        <v>39.950000000000003</v>
      </c>
      <c r="CT91" s="33">
        <v>96.1</v>
      </c>
      <c r="CU91" s="33">
        <v>106.8</v>
      </c>
      <c r="CV91" s="33">
        <v>125.8</v>
      </c>
      <c r="CW91" s="33">
        <v>98.2</v>
      </c>
      <c r="CX91" s="33">
        <v>97.8</v>
      </c>
      <c r="CY91" s="33">
        <v>3.21</v>
      </c>
      <c r="CZ91" s="33">
        <v>20268.319</v>
      </c>
      <c r="DA91" s="33">
        <v>2.36</v>
      </c>
      <c r="DB91" s="33">
        <v>14.62</v>
      </c>
      <c r="DC91" s="33">
        <v>20.09</v>
      </c>
      <c r="DD91" s="33">
        <v>6.7</v>
      </c>
      <c r="DE91" s="33">
        <v>4309.2389999999996</v>
      </c>
      <c r="DF91" s="33">
        <v>758.96</v>
      </c>
      <c r="DG91" s="33">
        <v>583.05700000000002</v>
      </c>
      <c r="DH91" s="33">
        <v>901.62099999999998</v>
      </c>
      <c r="DI91" s="33">
        <v>303.483</v>
      </c>
      <c r="DJ91" s="33">
        <v>100.91670000000001</v>
      </c>
      <c r="DK91" s="33">
        <v>101.23650000000001</v>
      </c>
      <c r="DL91" s="33">
        <v>99.87</v>
      </c>
      <c r="DM91" s="33">
        <v>99.833600000000004</v>
      </c>
      <c r="DN91" s="33">
        <v>100.2931</v>
      </c>
      <c r="DO91" s="33">
        <v>100.3394</v>
      </c>
      <c r="DP91" s="33">
        <v>100.242</v>
      </c>
      <c r="DQ91" s="33">
        <v>100.2659</v>
      </c>
      <c r="DR91" s="104">
        <v>181391</v>
      </c>
      <c r="DS91" s="104">
        <v>27246.844907397463</v>
      </c>
      <c r="DT91" s="103" t="s">
        <v>243</v>
      </c>
      <c r="DU91">
        <v>119.40225219726563</v>
      </c>
      <c r="DV91">
        <v>47.050636291503906</v>
      </c>
      <c r="DW91">
        <v>1430</v>
      </c>
      <c r="DX91">
        <v>214800</v>
      </c>
      <c r="DY91" s="102">
        <f t="shared" si="25"/>
        <v>58.8</v>
      </c>
    </row>
    <row r="92" spans="1:129" x14ac:dyDescent="0.25">
      <c r="A92" s="1">
        <v>35521</v>
      </c>
      <c r="B92" s="33">
        <v>77.099999999999994</v>
      </c>
      <c r="C92" s="88">
        <v>3.08</v>
      </c>
      <c r="D92" s="33">
        <v>2.5</v>
      </c>
      <c r="E92" s="72">
        <v>3.21</v>
      </c>
      <c r="F92" s="33">
        <v>4.49</v>
      </c>
      <c r="G92" s="33">
        <v>5.29</v>
      </c>
      <c r="H92" s="33">
        <v>5.87</v>
      </c>
      <c r="I92" s="33">
        <f t="shared" si="17"/>
        <v>2.79</v>
      </c>
      <c r="J92" s="33">
        <f t="shared" si="18"/>
        <v>3.37</v>
      </c>
      <c r="K92" s="33">
        <f t="shared" si="19"/>
        <v>2.66</v>
      </c>
      <c r="L92" s="33">
        <f t="shared" si="20"/>
        <v>-0.58000000000000007</v>
      </c>
      <c r="M92" s="33">
        <v>102.3</v>
      </c>
      <c r="N92" s="33">
        <v>3295.93</v>
      </c>
      <c r="O92" s="33">
        <v>22.14</v>
      </c>
      <c r="P92" s="87">
        <v>595.70000000000005</v>
      </c>
      <c r="Q92" s="34">
        <f t="shared" si="21"/>
        <v>7.9005305039787794</v>
      </c>
      <c r="R92" s="71">
        <v>1055.4302000843011</v>
      </c>
      <c r="S92" s="34">
        <f t="shared" si="22"/>
        <v>1399.7748011728129</v>
      </c>
      <c r="T92" s="71">
        <v>1096.765916052105</v>
      </c>
      <c r="U92" s="34">
        <f t="shared" si="23"/>
        <v>1454.5967056393965</v>
      </c>
      <c r="V92" s="116">
        <v>619745</v>
      </c>
      <c r="W92" s="116">
        <v>1462884</v>
      </c>
      <c r="X92" s="117">
        <v>3498629</v>
      </c>
      <c r="Y92" s="117">
        <v>570304</v>
      </c>
      <c r="Z92" s="33">
        <v>72.3</v>
      </c>
      <c r="AA92" s="33">
        <v>57.9</v>
      </c>
      <c r="AB92" s="33">
        <v>76.900000000000006</v>
      </c>
      <c r="AC92" s="33">
        <v>52.7</v>
      </c>
      <c r="AD92" s="33">
        <v>38009</v>
      </c>
      <c r="AE92" s="33">
        <v>11.2</v>
      </c>
      <c r="AF92" s="33">
        <v>274</v>
      </c>
      <c r="AG92" s="33">
        <v>72.8</v>
      </c>
      <c r="AH92" s="33">
        <v>75.400000000000006</v>
      </c>
      <c r="AI92" s="33">
        <v>79</v>
      </c>
      <c r="AJ92" s="33">
        <v>80.3</v>
      </c>
      <c r="AK92" s="33">
        <v>158.257113</v>
      </c>
      <c r="AL92" s="33">
        <v>57.2</v>
      </c>
      <c r="AM92" s="123">
        <v>11.252302937886896</v>
      </c>
      <c r="AN92" s="123">
        <v>13.44798197080833</v>
      </c>
      <c r="AO92" s="123">
        <v>57.792180471461549</v>
      </c>
      <c r="AP92" s="33">
        <v>15.53</v>
      </c>
      <c r="AQ92" s="33">
        <f t="shared" si="24"/>
        <v>0.19658227848101265</v>
      </c>
      <c r="AR92" s="33">
        <v>90.5</v>
      </c>
      <c r="AS92" s="33">
        <v>97.4</v>
      </c>
      <c r="AT92" s="33">
        <v>84</v>
      </c>
      <c r="AU92" s="33">
        <v>94.2</v>
      </c>
      <c r="AV92" s="65">
        <v>101.6</v>
      </c>
      <c r="AW92" s="33">
        <v>87.4</v>
      </c>
      <c r="AX92" s="33">
        <v>8.8000000000000007</v>
      </c>
      <c r="AY92" s="33">
        <v>7.3</v>
      </c>
      <c r="AZ92" s="33">
        <v>2.4</v>
      </c>
      <c r="BA92" s="33">
        <v>8</v>
      </c>
      <c r="BB92" s="33">
        <v>85.8</v>
      </c>
      <c r="BC92" s="33">
        <v>91.3</v>
      </c>
      <c r="BD92" s="33">
        <v>80.5</v>
      </c>
      <c r="BE92" s="33">
        <v>-52.4</v>
      </c>
      <c r="BF92" s="33">
        <v>73</v>
      </c>
      <c r="BG92" s="33">
        <v>-22.5</v>
      </c>
      <c r="BH92" s="33">
        <v>162.6</v>
      </c>
      <c r="BI92" s="33">
        <v>6.2</v>
      </c>
      <c r="BJ92" s="34">
        <v>56.58230743</v>
      </c>
      <c r="BK92" s="45">
        <v>81.169639149069155</v>
      </c>
      <c r="BL92" s="45" t="s">
        <v>243</v>
      </c>
      <c r="BM92" s="33">
        <v>100.45659999999999</v>
      </c>
      <c r="BN92" s="33">
        <v>100.3937</v>
      </c>
      <c r="BO92" s="33">
        <v>-24.1</v>
      </c>
      <c r="BP92" s="33">
        <v>-29.3</v>
      </c>
      <c r="BQ92" s="33">
        <v>8</v>
      </c>
      <c r="BR92" s="33">
        <v>4.7</v>
      </c>
      <c r="BS92" s="33">
        <v>2.2999999999999998</v>
      </c>
      <c r="BT92" s="45" t="s">
        <v>243</v>
      </c>
      <c r="BU92" s="33">
        <v>-9.1</v>
      </c>
      <c r="BV92" s="33">
        <v>37.200000000000003</v>
      </c>
      <c r="BW92" s="33">
        <v>-17.5</v>
      </c>
      <c r="BX92" s="33">
        <v>-21.8</v>
      </c>
      <c r="BY92" s="33">
        <v>-48.9</v>
      </c>
      <c r="BZ92" s="33">
        <v>102.2</v>
      </c>
      <c r="CA92" s="33">
        <v>-17.5</v>
      </c>
      <c r="CB92" s="33">
        <v>-12.3</v>
      </c>
      <c r="CC92" s="33">
        <v>-3.8</v>
      </c>
      <c r="CD92" s="33">
        <v>-50.9</v>
      </c>
      <c r="CE92" s="33">
        <v>-38</v>
      </c>
      <c r="CF92" s="33">
        <v>16</v>
      </c>
      <c r="CG92" s="33">
        <v>43.6</v>
      </c>
      <c r="CH92" s="33">
        <v>49.8</v>
      </c>
      <c r="CI92" s="33">
        <v>-19.600000000000001</v>
      </c>
      <c r="CJ92" s="33">
        <v>-15.8</v>
      </c>
      <c r="CK92" s="33">
        <v>6.3</v>
      </c>
      <c r="CL92" s="33">
        <v>8</v>
      </c>
      <c r="CM92" s="33">
        <v>2096.5477270000001</v>
      </c>
      <c r="CN92" s="33">
        <v>6611.04</v>
      </c>
      <c r="CO92" s="33">
        <v>763.92818199999999</v>
      </c>
      <c r="CP92" s="33">
        <v>7.72</v>
      </c>
      <c r="CQ92" s="33">
        <v>6.9</v>
      </c>
      <c r="CR92" s="33">
        <v>92.5</v>
      </c>
      <c r="CS92" s="121">
        <f t="shared" si="16"/>
        <v>40.350000000000009</v>
      </c>
      <c r="CT92" s="33">
        <v>96.4</v>
      </c>
      <c r="CU92" s="33">
        <v>106.2</v>
      </c>
      <c r="CV92" s="33">
        <v>122.5</v>
      </c>
      <c r="CW92" s="33">
        <v>84.6</v>
      </c>
      <c r="CX92" s="33">
        <v>83.1</v>
      </c>
      <c r="CY92" s="33">
        <v>3.13</v>
      </c>
      <c r="CZ92" s="33">
        <v>20194.885999999999</v>
      </c>
      <c r="DA92" s="33">
        <v>2.82</v>
      </c>
      <c r="DB92" s="33">
        <v>13.56</v>
      </c>
      <c r="DC92" s="33">
        <v>18.63</v>
      </c>
      <c r="DD92" s="33">
        <v>6.64</v>
      </c>
      <c r="DE92" s="33">
        <v>4834.7700000000004</v>
      </c>
      <c r="DF92" s="33">
        <v>801.75800000000004</v>
      </c>
      <c r="DG92" s="33">
        <v>611.15099999999995</v>
      </c>
      <c r="DH92" s="33">
        <v>933.68899999999996</v>
      </c>
      <c r="DI92" s="33">
        <v>400.46300000000002</v>
      </c>
      <c r="DJ92" s="33">
        <v>100.77419999999999</v>
      </c>
      <c r="DK92" s="33">
        <v>101.0664</v>
      </c>
      <c r="DL92" s="33">
        <v>99.55</v>
      </c>
      <c r="DM92" s="33">
        <v>99.430700000000002</v>
      </c>
      <c r="DN92" s="33">
        <v>100.3937</v>
      </c>
      <c r="DO92" s="33">
        <v>100.45659999999999</v>
      </c>
      <c r="DP92" s="33">
        <v>100.3712</v>
      </c>
      <c r="DQ92" s="33">
        <v>100.408</v>
      </c>
      <c r="DR92" s="104">
        <v>170564</v>
      </c>
      <c r="DS92" s="104">
        <v>27266.375658784615</v>
      </c>
      <c r="DT92" s="103" t="s">
        <v>243</v>
      </c>
      <c r="DU92">
        <v>132.73011779785156</v>
      </c>
      <c r="DV92">
        <v>101.56806182861328</v>
      </c>
      <c r="DW92">
        <v>1506</v>
      </c>
      <c r="DX92">
        <v>177250</v>
      </c>
      <c r="DY92" s="102">
        <f t="shared" si="25"/>
        <v>59.900000000000006</v>
      </c>
    </row>
    <row r="93" spans="1:129" x14ac:dyDescent="0.25">
      <c r="A93" s="1">
        <v>35551</v>
      </c>
      <c r="B93" s="33">
        <v>76.2</v>
      </c>
      <c r="C93" s="88">
        <v>3.0100000000000002</v>
      </c>
      <c r="D93" s="33">
        <v>2.5</v>
      </c>
      <c r="E93" s="72">
        <v>3.15</v>
      </c>
      <c r="F93" s="33">
        <v>4.41</v>
      </c>
      <c r="G93" s="33">
        <v>5.2</v>
      </c>
      <c r="H93" s="33">
        <v>5.76</v>
      </c>
      <c r="I93" s="33">
        <f t="shared" si="17"/>
        <v>2.7499999999999996</v>
      </c>
      <c r="J93" s="33">
        <f t="shared" si="18"/>
        <v>3.26</v>
      </c>
      <c r="K93" s="33">
        <f t="shared" si="19"/>
        <v>2.61</v>
      </c>
      <c r="L93" s="33">
        <f t="shared" si="20"/>
        <v>-0.51000000000000023</v>
      </c>
      <c r="M93" s="33">
        <v>102.1</v>
      </c>
      <c r="N93" s="33">
        <v>3438.07</v>
      </c>
      <c r="O93" s="33">
        <v>18.45</v>
      </c>
      <c r="P93" s="87">
        <v>602.70000000000005</v>
      </c>
      <c r="Q93" s="34">
        <f t="shared" si="21"/>
        <v>7.9827814569536431</v>
      </c>
      <c r="R93" s="71">
        <v>1059.6256042584548</v>
      </c>
      <c r="S93" s="34">
        <f t="shared" si="22"/>
        <v>1403.4776215343772</v>
      </c>
      <c r="T93" s="71">
        <v>1100.7666254905441</v>
      </c>
      <c r="U93" s="34">
        <f t="shared" si="23"/>
        <v>1457.9690403848267</v>
      </c>
      <c r="V93" s="116">
        <v>615785</v>
      </c>
      <c r="W93" s="116">
        <v>1481529</v>
      </c>
      <c r="X93" s="117">
        <v>3514659</v>
      </c>
      <c r="Y93" s="117">
        <v>582703</v>
      </c>
      <c r="Z93" s="33">
        <v>71.400000000000006</v>
      </c>
      <c r="AA93" s="33">
        <v>56.8</v>
      </c>
      <c r="AB93" s="33">
        <v>76.2</v>
      </c>
      <c r="AC93" s="33">
        <v>51.3</v>
      </c>
      <c r="AD93" s="33">
        <v>38020</v>
      </c>
      <c r="AE93" s="33">
        <v>11.4</v>
      </c>
      <c r="AF93" s="33">
        <v>274</v>
      </c>
      <c r="AG93" s="33">
        <v>73.099999999999994</v>
      </c>
      <c r="AH93" s="33">
        <v>75.5</v>
      </c>
      <c r="AI93" s="33">
        <v>79.3</v>
      </c>
      <c r="AJ93" s="33">
        <v>80.5</v>
      </c>
      <c r="AK93" s="33">
        <v>158.613147</v>
      </c>
      <c r="AL93" s="33">
        <v>57.3</v>
      </c>
      <c r="AM93" s="123">
        <v>11.474241851849161</v>
      </c>
      <c r="AN93" s="123">
        <v>14.103981091335566</v>
      </c>
      <c r="AO93" s="123">
        <v>59.935807343548397</v>
      </c>
      <c r="AP93" s="33">
        <v>16.75</v>
      </c>
      <c r="AQ93" s="33">
        <f t="shared" si="24"/>
        <v>0.21122320302648173</v>
      </c>
      <c r="AR93" s="33">
        <v>91</v>
      </c>
      <c r="AS93" s="33">
        <v>97.4</v>
      </c>
      <c r="AT93" s="33">
        <v>85</v>
      </c>
      <c r="AU93" s="33">
        <v>94.7</v>
      </c>
      <c r="AV93" s="65">
        <v>101.4</v>
      </c>
      <c r="AW93" s="33">
        <v>88.5</v>
      </c>
      <c r="AX93" s="33">
        <v>6.7</v>
      </c>
      <c r="AY93" s="33">
        <v>6.7</v>
      </c>
      <c r="AZ93" s="33">
        <v>3.2</v>
      </c>
      <c r="BA93" s="33">
        <v>7</v>
      </c>
      <c r="BB93" s="33">
        <v>84.8</v>
      </c>
      <c r="BC93" s="33">
        <v>90.6</v>
      </c>
      <c r="BD93" s="33">
        <v>79.400000000000006</v>
      </c>
      <c r="BE93" s="33">
        <v>-52.4</v>
      </c>
      <c r="BF93" s="33">
        <v>70.099999999999994</v>
      </c>
      <c r="BG93" s="33">
        <v>-21.4</v>
      </c>
      <c r="BH93" s="33">
        <v>162.1</v>
      </c>
      <c r="BI93" s="33">
        <v>2.2000000000000002</v>
      </c>
      <c r="BJ93" s="34">
        <v>57.551322399999997</v>
      </c>
      <c r="BK93" s="45">
        <v>90.823346923578882</v>
      </c>
      <c r="BL93" s="45" t="s">
        <v>243</v>
      </c>
      <c r="BM93" s="33">
        <v>100.56059999999999</v>
      </c>
      <c r="BN93" s="33">
        <v>100.48309999999999</v>
      </c>
      <c r="BO93" s="33">
        <v>-24.3</v>
      </c>
      <c r="BP93" s="33">
        <v>-28.8</v>
      </c>
      <c r="BQ93" s="33">
        <v>9</v>
      </c>
      <c r="BR93" s="33">
        <v>3.8</v>
      </c>
      <c r="BS93" s="33">
        <v>2.5</v>
      </c>
      <c r="BT93" s="45" t="s">
        <v>243</v>
      </c>
      <c r="BU93" s="33">
        <v>-9.8000000000000007</v>
      </c>
      <c r="BV93" s="33">
        <v>36.799999999999997</v>
      </c>
      <c r="BW93" s="33">
        <v>-16.100000000000001</v>
      </c>
      <c r="BX93" s="33">
        <v>-21.5</v>
      </c>
      <c r="BY93" s="33">
        <v>-50.8</v>
      </c>
      <c r="BZ93" s="33">
        <v>102.2</v>
      </c>
      <c r="CA93" s="33">
        <v>-16.100000000000001</v>
      </c>
      <c r="CB93" s="33">
        <v>-10</v>
      </c>
      <c r="CC93" s="33">
        <v>-3.6</v>
      </c>
      <c r="CD93" s="33">
        <v>-50.6</v>
      </c>
      <c r="CE93" s="33">
        <v>-36.700000000000003</v>
      </c>
      <c r="CF93" s="33">
        <v>15.6</v>
      </c>
      <c r="CG93" s="33">
        <v>44.6</v>
      </c>
      <c r="CH93" s="33">
        <v>50.4</v>
      </c>
      <c r="CI93" s="33">
        <v>-19.5</v>
      </c>
      <c r="CJ93" s="33">
        <v>-14</v>
      </c>
      <c r="CK93" s="33">
        <v>6.3</v>
      </c>
      <c r="CL93" s="33">
        <v>8.1</v>
      </c>
      <c r="CM93" s="33">
        <v>2241.6313639999998</v>
      </c>
      <c r="CN93" s="33">
        <v>6976.48</v>
      </c>
      <c r="CO93" s="33">
        <v>833.72272699999996</v>
      </c>
      <c r="CP93" s="33">
        <v>7.4130000000000003</v>
      </c>
      <c r="CQ93" s="33">
        <v>6.69</v>
      </c>
      <c r="CR93" s="33">
        <v>96.6</v>
      </c>
      <c r="CS93" s="121">
        <f t="shared" si="16"/>
        <v>40.049999999999997</v>
      </c>
      <c r="CT93" s="33">
        <v>98</v>
      </c>
      <c r="CU93" s="33">
        <v>109.9</v>
      </c>
      <c r="CV93" s="33">
        <v>122.5</v>
      </c>
      <c r="CW93" s="33">
        <v>90.1</v>
      </c>
      <c r="CX93" s="33">
        <v>96.3</v>
      </c>
      <c r="CY93" s="33">
        <v>3.14</v>
      </c>
      <c r="CZ93" s="33">
        <v>20482.883000000002</v>
      </c>
      <c r="DA93" s="33">
        <v>2.54</v>
      </c>
      <c r="DB93" s="33">
        <v>14.99</v>
      </c>
      <c r="DC93" s="33">
        <v>21.18</v>
      </c>
      <c r="DD93" s="33">
        <v>6.67</v>
      </c>
      <c r="DE93" s="33">
        <v>4204.2669999999998</v>
      </c>
      <c r="DF93" s="33">
        <v>696.60199999999998</v>
      </c>
      <c r="DG93" s="33">
        <v>548.51900000000001</v>
      </c>
      <c r="DH93" s="33">
        <v>726.63699999999994</v>
      </c>
      <c r="DI93" s="33">
        <v>418.84100000000001</v>
      </c>
      <c r="DJ93" s="33">
        <v>100.6053</v>
      </c>
      <c r="DK93" s="33">
        <v>100.8574</v>
      </c>
      <c r="DL93" s="33">
        <v>99.21</v>
      </c>
      <c r="DM93" s="33">
        <v>98.995599999999996</v>
      </c>
      <c r="DN93" s="33">
        <v>100.48309999999999</v>
      </c>
      <c r="DO93" s="33">
        <v>100.56059999999999</v>
      </c>
      <c r="DP93" s="33">
        <v>100.50069999999999</v>
      </c>
      <c r="DQ93" s="33">
        <v>100.5505</v>
      </c>
      <c r="DR93" s="104">
        <v>134928</v>
      </c>
      <c r="DS93" s="104">
        <v>27269.992464597046</v>
      </c>
      <c r="DT93" s="103" t="s">
        <v>243</v>
      </c>
      <c r="DU93">
        <v>110.46891784667969</v>
      </c>
      <c r="DV93">
        <v>76.708152770996094</v>
      </c>
      <c r="DW93">
        <v>1258</v>
      </c>
      <c r="DX93">
        <v>147925</v>
      </c>
      <c r="DY93" s="102">
        <f t="shared" si="25"/>
        <v>59.599999999999994</v>
      </c>
    </row>
    <row r="94" spans="1:129" x14ac:dyDescent="0.25">
      <c r="A94" s="1">
        <v>35582</v>
      </c>
      <c r="B94" s="33">
        <v>78.5</v>
      </c>
      <c r="C94" s="88">
        <v>3.0700000000000003</v>
      </c>
      <c r="D94" s="33">
        <v>2.5</v>
      </c>
      <c r="E94" s="72">
        <v>3.11</v>
      </c>
      <c r="F94" s="33">
        <v>4.34</v>
      </c>
      <c r="G94" s="33">
        <v>5.12</v>
      </c>
      <c r="H94" s="33">
        <v>5.72</v>
      </c>
      <c r="I94" s="33">
        <f t="shared" si="17"/>
        <v>2.6499999999999995</v>
      </c>
      <c r="J94" s="33">
        <f t="shared" si="18"/>
        <v>3.2199999999999998</v>
      </c>
      <c r="K94" s="33">
        <f t="shared" si="19"/>
        <v>2.61</v>
      </c>
      <c r="L94" s="33">
        <f t="shared" si="20"/>
        <v>-0.57000000000000028</v>
      </c>
      <c r="M94" s="33">
        <v>101.2</v>
      </c>
      <c r="N94" s="33">
        <v>3605.62</v>
      </c>
      <c r="O94" s="33">
        <v>21.23</v>
      </c>
      <c r="P94" s="87">
        <v>605.9</v>
      </c>
      <c r="Q94" s="34">
        <f t="shared" si="21"/>
        <v>8.0039630118890344</v>
      </c>
      <c r="R94" s="71">
        <v>1061.1512057763291</v>
      </c>
      <c r="S94" s="34">
        <f t="shared" si="22"/>
        <v>1401.7849481853752</v>
      </c>
      <c r="T94" s="71">
        <v>1102.0049403167277</v>
      </c>
      <c r="U94" s="34">
        <f t="shared" si="23"/>
        <v>1455.7528934170773</v>
      </c>
      <c r="V94" s="116">
        <v>611297</v>
      </c>
      <c r="W94" s="116">
        <v>1497996</v>
      </c>
      <c r="X94" s="117">
        <v>3533982</v>
      </c>
      <c r="Y94" s="117">
        <v>587596</v>
      </c>
      <c r="Z94" s="33">
        <v>73.3</v>
      </c>
      <c r="AA94" s="33">
        <v>57.9</v>
      </c>
      <c r="AB94" s="33">
        <v>77.7</v>
      </c>
      <c r="AC94" s="33">
        <v>51.6</v>
      </c>
      <c r="AD94" s="33">
        <v>38040</v>
      </c>
      <c r="AE94" s="33">
        <v>11.5</v>
      </c>
      <c r="AF94" s="33">
        <v>274</v>
      </c>
      <c r="AG94" s="33">
        <v>73.099999999999994</v>
      </c>
      <c r="AH94" s="33">
        <v>75.7</v>
      </c>
      <c r="AI94" s="33">
        <v>79.400000000000006</v>
      </c>
      <c r="AJ94" s="33">
        <v>80.599999999999994</v>
      </c>
      <c r="AK94" s="33">
        <v>158.613147</v>
      </c>
      <c r="AL94" s="33">
        <v>57.3</v>
      </c>
      <c r="AM94" s="123">
        <v>11.880010718908659</v>
      </c>
      <c r="AN94" s="123">
        <v>13.446592142163144</v>
      </c>
      <c r="AO94" s="123">
        <v>61.902317427573529</v>
      </c>
      <c r="AP94" s="33">
        <v>15.69</v>
      </c>
      <c r="AQ94" s="33">
        <f t="shared" si="24"/>
        <v>0.19760705289672542</v>
      </c>
      <c r="AR94" s="33">
        <v>91.2</v>
      </c>
      <c r="AS94" s="33">
        <v>97.7</v>
      </c>
      <c r="AT94" s="33">
        <v>85.1</v>
      </c>
      <c r="AU94" s="33">
        <v>95.5</v>
      </c>
      <c r="AV94" s="65">
        <v>101.3</v>
      </c>
      <c r="AW94" s="33">
        <v>90</v>
      </c>
      <c r="AX94" s="33">
        <v>11.3</v>
      </c>
      <c r="AY94" s="33">
        <v>11.4</v>
      </c>
      <c r="AZ94" s="33">
        <v>4.4000000000000004</v>
      </c>
      <c r="BA94" s="33">
        <v>5.9</v>
      </c>
      <c r="BB94" s="33">
        <v>86.2</v>
      </c>
      <c r="BC94" s="33">
        <v>91.7</v>
      </c>
      <c r="BD94" s="33">
        <v>80.900000000000006</v>
      </c>
      <c r="BE94" s="33">
        <v>-47.7</v>
      </c>
      <c r="BF94" s="33">
        <v>68.099999999999994</v>
      </c>
      <c r="BG94" s="33">
        <v>-24.3</v>
      </c>
      <c r="BH94" s="33">
        <v>159.9</v>
      </c>
      <c r="BI94" s="33">
        <v>2.9</v>
      </c>
      <c r="BJ94" s="34">
        <v>56.667849510000003</v>
      </c>
      <c r="BK94" s="45">
        <v>86.26635407001443</v>
      </c>
      <c r="BL94" s="45" t="s">
        <v>243</v>
      </c>
      <c r="BM94" s="33">
        <v>100.6651</v>
      </c>
      <c r="BN94" s="33">
        <v>100.5729</v>
      </c>
      <c r="BO94" s="33">
        <v>-20.3</v>
      </c>
      <c r="BP94" s="33">
        <v>-27.7</v>
      </c>
      <c r="BQ94" s="33">
        <v>7.2</v>
      </c>
      <c r="BR94" s="33">
        <v>5.7</v>
      </c>
      <c r="BS94" s="33">
        <v>2</v>
      </c>
      <c r="BT94" s="45" t="s">
        <v>243</v>
      </c>
      <c r="BU94" s="33">
        <v>-7.3</v>
      </c>
      <c r="BV94" s="33">
        <v>37</v>
      </c>
      <c r="BW94" s="33">
        <v>-17.100000000000001</v>
      </c>
      <c r="BX94" s="33">
        <v>-26.2</v>
      </c>
      <c r="BY94" s="33">
        <v>-50.2</v>
      </c>
      <c r="BZ94" s="33">
        <v>102.7</v>
      </c>
      <c r="CA94" s="33">
        <v>-17.100000000000001</v>
      </c>
      <c r="CB94" s="33">
        <v>-10.5</v>
      </c>
      <c r="CC94" s="33">
        <v>-5.6</v>
      </c>
      <c r="CD94" s="33">
        <v>-53</v>
      </c>
      <c r="CE94" s="33">
        <v>-37.4</v>
      </c>
      <c r="CF94" s="33">
        <v>17.600000000000001</v>
      </c>
      <c r="CG94" s="33">
        <v>45.8</v>
      </c>
      <c r="CH94" s="33">
        <v>51.3</v>
      </c>
      <c r="CI94" s="33">
        <v>-19.3</v>
      </c>
      <c r="CJ94" s="33">
        <v>-14.8</v>
      </c>
      <c r="CK94" s="33">
        <v>4.7</v>
      </c>
      <c r="CL94" s="33">
        <v>8.8000000000000007</v>
      </c>
      <c r="CM94" s="33">
        <v>2350.2319050000001</v>
      </c>
      <c r="CN94" s="33">
        <v>7289.4</v>
      </c>
      <c r="CO94" s="33">
        <v>876.28714300000001</v>
      </c>
      <c r="CP94" s="33">
        <v>7.1929999999999996</v>
      </c>
      <c r="CQ94" s="33">
        <v>6.66</v>
      </c>
      <c r="CR94" s="33">
        <v>98.9</v>
      </c>
      <c r="CS94" s="121">
        <f t="shared" si="16"/>
        <v>38.450000000000003</v>
      </c>
      <c r="CT94" s="33">
        <v>101.7</v>
      </c>
      <c r="CU94" s="33">
        <v>108.7</v>
      </c>
      <c r="CV94" s="33">
        <v>120</v>
      </c>
      <c r="CW94" s="33">
        <v>85.5</v>
      </c>
      <c r="CX94" s="33">
        <v>100.7</v>
      </c>
      <c r="CY94" s="33">
        <v>3.11</v>
      </c>
      <c r="CZ94" s="33">
        <v>22140.437000000002</v>
      </c>
      <c r="DA94" s="33">
        <v>2.29</v>
      </c>
      <c r="DB94" s="33">
        <v>15.12</v>
      </c>
      <c r="DC94" s="33">
        <v>20.94</v>
      </c>
      <c r="DD94" s="33">
        <v>6.87</v>
      </c>
      <c r="DE94" s="33">
        <v>4674.1289999999999</v>
      </c>
      <c r="DF94" s="33">
        <v>872.76800000000003</v>
      </c>
      <c r="DG94" s="33">
        <v>680.78499999999997</v>
      </c>
      <c r="DH94" s="33">
        <v>864.51199999999994</v>
      </c>
      <c r="DI94" s="33">
        <v>392.93400000000003</v>
      </c>
      <c r="DJ94" s="33">
        <v>100.39790000000001</v>
      </c>
      <c r="DK94" s="33">
        <v>100.5942</v>
      </c>
      <c r="DL94" s="33">
        <v>98.87</v>
      </c>
      <c r="DM94" s="33">
        <v>98.560500000000005</v>
      </c>
      <c r="DN94" s="33">
        <v>100.5729</v>
      </c>
      <c r="DO94" s="33">
        <v>100.6651</v>
      </c>
      <c r="DP94" s="33">
        <v>100.625</v>
      </c>
      <c r="DQ94" s="33">
        <v>100.6872</v>
      </c>
      <c r="DR94" s="104">
        <v>129574</v>
      </c>
      <c r="DS94" s="104">
        <v>27269.992464597046</v>
      </c>
      <c r="DT94" s="103" t="s">
        <v>243</v>
      </c>
      <c r="DU94">
        <v>128.70796203613281</v>
      </c>
      <c r="DV94">
        <v>100.66197967529297</v>
      </c>
      <c r="DW94">
        <v>1267</v>
      </c>
      <c r="DX94">
        <v>132500</v>
      </c>
      <c r="DY94" s="102">
        <f t="shared" si="25"/>
        <v>58.7</v>
      </c>
    </row>
    <row r="95" spans="1:129" x14ac:dyDescent="0.25">
      <c r="A95" s="1">
        <v>35612</v>
      </c>
      <c r="B95" s="33">
        <v>79.5</v>
      </c>
      <c r="C95" s="88">
        <v>3.09</v>
      </c>
      <c r="D95" s="33">
        <v>2.5</v>
      </c>
      <c r="E95" s="72">
        <v>3.13</v>
      </c>
      <c r="F95" s="33">
        <v>4.3099999999999996</v>
      </c>
      <c r="G95" s="33">
        <v>4.99</v>
      </c>
      <c r="H95" s="33">
        <v>5.56</v>
      </c>
      <c r="I95" s="33">
        <f t="shared" si="17"/>
        <v>2.4699999999999998</v>
      </c>
      <c r="J95" s="33">
        <f t="shared" si="18"/>
        <v>3.0599999999999996</v>
      </c>
      <c r="K95" s="33">
        <f t="shared" si="19"/>
        <v>2.4299999999999997</v>
      </c>
      <c r="L95" s="33">
        <f t="shared" si="20"/>
        <v>-0.58999999999999986</v>
      </c>
      <c r="M95" s="33">
        <v>99.6</v>
      </c>
      <c r="N95" s="33">
        <v>3819.85</v>
      </c>
      <c r="O95" s="33">
        <v>21.27</v>
      </c>
      <c r="P95" s="87">
        <v>615.40000000000009</v>
      </c>
      <c r="Q95" s="34">
        <f t="shared" si="21"/>
        <v>8.0867279894875175</v>
      </c>
      <c r="R95" s="71">
        <v>1066.9675615632241</v>
      </c>
      <c r="S95" s="34">
        <f t="shared" si="22"/>
        <v>1402.0598706481264</v>
      </c>
      <c r="T95" s="71">
        <v>1108.5775343941634</v>
      </c>
      <c r="U95" s="34">
        <f t="shared" si="23"/>
        <v>1456.7378901368772</v>
      </c>
      <c r="V95" s="116">
        <v>601878</v>
      </c>
      <c r="W95" s="116">
        <v>1511944</v>
      </c>
      <c r="X95" s="117">
        <v>3548645</v>
      </c>
      <c r="Y95" s="117">
        <v>594972</v>
      </c>
      <c r="Z95" s="33">
        <v>74.400000000000006</v>
      </c>
      <c r="AA95" s="33">
        <v>57.8</v>
      </c>
      <c r="AB95" s="33">
        <v>77.099999999999994</v>
      </c>
      <c r="AC95" s="33">
        <v>51.7</v>
      </c>
      <c r="AD95" s="33">
        <v>38066</v>
      </c>
      <c r="AE95" s="33">
        <v>11.5</v>
      </c>
      <c r="AF95" s="33">
        <v>273</v>
      </c>
      <c r="AG95" s="33">
        <v>73.400000000000006</v>
      </c>
      <c r="AH95" s="33">
        <v>76.099999999999994</v>
      </c>
      <c r="AI95" s="33">
        <v>80.2</v>
      </c>
      <c r="AJ95" s="33">
        <v>80.8</v>
      </c>
      <c r="AK95" s="33">
        <v>158.96918099999999</v>
      </c>
      <c r="AL95" s="33">
        <v>77.900000000000006</v>
      </c>
      <c r="AM95" s="123">
        <v>11.260184072704728</v>
      </c>
      <c r="AN95" s="123">
        <v>14.036930333770307</v>
      </c>
      <c r="AO95" s="123">
        <v>57.08769273876225</v>
      </c>
      <c r="AP95" s="33">
        <v>16.920000000000002</v>
      </c>
      <c r="AQ95" s="33">
        <f t="shared" si="24"/>
        <v>0.21097256857855362</v>
      </c>
      <c r="AR95" s="33">
        <v>92.3</v>
      </c>
      <c r="AS95" s="33">
        <v>98.8</v>
      </c>
      <c r="AT95" s="33">
        <v>86.2</v>
      </c>
      <c r="AU95" s="33">
        <v>97.1</v>
      </c>
      <c r="AV95" s="65">
        <v>103.3</v>
      </c>
      <c r="AW95" s="33">
        <v>91.3</v>
      </c>
      <c r="AX95" s="33">
        <v>15.1</v>
      </c>
      <c r="AY95" s="33">
        <v>19.5</v>
      </c>
      <c r="AZ95" s="33">
        <v>7.9</v>
      </c>
      <c r="BA95" s="33">
        <v>6.2</v>
      </c>
      <c r="BB95" s="33">
        <v>88.4</v>
      </c>
      <c r="BC95" s="33">
        <v>94.2</v>
      </c>
      <c r="BD95" s="33">
        <v>82.9</v>
      </c>
      <c r="BE95" s="33">
        <v>-42.1</v>
      </c>
      <c r="BF95" s="33">
        <v>66.900000000000006</v>
      </c>
      <c r="BG95" s="33">
        <v>-24</v>
      </c>
      <c r="BH95" s="33">
        <v>155.1</v>
      </c>
      <c r="BI95" s="33">
        <v>2.2000000000000002</v>
      </c>
      <c r="BJ95" s="34">
        <v>55.612414399999999</v>
      </c>
      <c r="BK95" s="45">
        <v>96.549222577854806</v>
      </c>
      <c r="BL95" s="45" t="s">
        <v>243</v>
      </c>
      <c r="BM95" s="33">
        <v>100.7624</v>
      </c>
      <c r="BN95" s="33">
        <v>100.65649999999999</v>
      </c>
      <c r="BO95" s="33">
        <v>-17.399999999999999</v>
      </c>
      <c r="BP95" s="33">
        <v>-22</v>
      </c>
      <c r="BQ95" s="33">
        <v>7.1</v>
      </c>
      <c r="BR95" s="33">
        <v>8.9</v>
      </c>
      <c r="BS95" s="33">
        <v>4.5</v>
      </c>
      <c r="BT95" s="33">
        <v>-9.1</v>
      </c>
      <c r="BU95" s="33">
        <v>-5.2</v>
      </c>
      <c r="BV95" s="33">
        <v>36</v>
      </c>
      <c r="BW95" s="33">
        <v>-16.899999999999999</v>
      </c>
      <c r="BX95" s="33">
        <v>-21.6</v>
      </c>
      <c r="BY95" s="33">
        <v>-51.1</v>
      </c>
      <c r="BZ95" s="33">
        <v>103.3</v>
      </c>
      <c r="CA95" s="33">
        <v>-16.899999999999999</v>
      </c>
      <c r="CB95" s="33">
        <v>-10.4</v>
      </c>
      <c r="CC95" s="33">
        <v>-4.2</v>
      </c>
      <c r="CD95" s="33">
        <v>-52.8</v>
      </c>
      <c r="CE95" s="33">
        <v>-36.799999999999997</v>
      </c>
      <c r="CF95" s="33">
        <v>17.5</v>
      </c>
      <c r="CG95" s="33">
        <v>45.7</v>
      </c>
      <c r="CH95" s="33">
        <v>51.3</v>
      </c>
      <c r="CI95" s="33">
        <v>-21</v>
      </c>
      <c r="CJ95" s="33">
        <v>-16.3</v>
      </c>
      <c r="CK95" s="33">
        <v>6</v>
      </c>
      <c r="CL95" s="33">
        <v>10.1</v>
      </c>
      <c r="CM95" s="33">
        <v>2567.7386959999999</v>
      </c>
      <c r="CN95" s="33">
        <v>7722.32</v>
      </c>
      <c r="CO95" s="33">
        <v>924.92956500000003</v>
      </c>
      <c r="CP95" s="33">
        <v>7.0170000000000003</v>
      </c>
      <c r="CQ95" s="33">
        <v>6.45</v>
      </c>
      <c r="CR95" s="33">
        <v>102.6</v>
      </c>
      <c r="CS95" s="121">
        <f t="shared" si="16"/>
        <v>34.75</v>
      </c>
      <c r="CT95" s="33">
        <v>101.1</v>
      </c>
      <c r="CU95" s="33">
        <v>113</v>
      </c>
      <c r="CV95" s="33">
        <v>140.4</v>
      </c>
      <c r="CW95" s="33">
        <v>88.1</v>
      </c>
      <c r="CX95" s="33">
        <v>102.8</v>
      </c>
      <c r="CY95" s="33">
        <v>3.28</v>
      </c>
      <c r="CZ95" s="33">
        <v>21166.386999999999</v>
      </c>
      <c r="DA95" s="33">
        <v>2.61</v>
      </c>
      <c r="DB95" s="33">
        <v>15.47</v>
      </c>
      <c r="DC95" s="33">
        <v>21.25</v>
      </c>
      <c r="DD95" s="33">
        <v>7.06</v>
      </c>
      <c r="DE95" s="33">
        <v>5082.1670000000004</v>
      </c>
      <c r="DF95" s="33">
        <v>878.13599999999997</v>
      </c>
      <c r="DG95" s="33">
        <v>768.67</v>
      </c>
      <c r="DH95" s="33">
        <v>973.36599999999999</v>
      </c>
      <c r="DI95" s="33">
        <v>500.01</v>
      </c>
      <c r="DJ95" s="33">
        <v>100.1425</v>
      </c>
      <c r="DK95" s="33">
        <v>100.26430000000001</v>
      </c>
      <c r="DL95" s="33">
        <v>98.54</v>
      </c>
      <c r="DM95" s="33">
        <v>98.143000000000001</v>
      </c>
      <c r="DN95" s="33">
        <v>100.65649999999999</v>
      </c>
      <c r="DO95" s="33">
        <v>100.7624</v>
      </c>
      <c r="DP95" s="33">
        <v>100.73390000000001</v>
      </c>
      <c r="DQ95" s="33">
        <v>100.807</v>
      </c>
      <c r="DR95" s="104">
        <v>99736</v>
      </c>
      <c r="DS95" s="104">
        <v>27300.373633421499</v>
      </c>
      <c r="DT95" s="103" t="s">
        <v>243</v>
      </c>
      <c r="DU95">
        <v>80.440635681152344</v>
      </c>
      <c r="DV95">
        <v>69.24737548828125</v>
      </c>
      <c r="DW95">
        <v>1325</v>
      </c>
      <c r="DX95">
        <v>130075</v>
      </c>
      <c r="DY95" s="102">
        <f t="shared" si="25"/>
        <v>61</v>
      </c>
    </row>
    <row r="96" spans="1:129" x14ac:dyDescent="0.25">
      <c r="A96" s="1">
        <v>35643</v>
      </c>
      <c r="B96" s="33">
        <v>76.900000000000006</v>
      </c>
      <c r="C96" s="88">
        <v>3.16</v>
      </c>
      <c r="D96" s="33">
        <v>2.5</v>
      </c>
      <c r="E96" s="72">
        <v>3.24</v>
      </c>
      <c r="F96" s="33">
        <v>4.5999999999999996</v>
      </c>
      <c r="G96" s="33">
        <v>5.16</v>
      </c>
      <c r="H96" s="33">
        <v>5.66</v>
      </c>
      <c r="I96" s="33">
        <f t="shared" si="17"/>
        <v>2.5</v>
      </c>
      <c r="J96" s="33">
        <f t="shared" si="18"/>
        <v>3.16</v>
      </c>
      <c r="K96" s="33">
        <f t="shared" si="19"/>
        <v>2.42</v>
      </c>
      <c r="L96" s="33">
        <f t="shared" si="20"/>
        <v>-0.66000000000000014</v>
      </c>
      <c r="M96" s="33">
        <v>99.4</v>
      </c>
      <c r="N96" s="33">
        <v>4408.79</v>
      </c>
      <c r="O96" s="33">
        <v>26.11</v>
      </c>
      <c r="P96" s="87">
        <v>620.80000000000007</v>
      </c>
      <c r="Q96" s="34">
        <f t="shared" si="21"/>
        <v>8.157687253613668</v>
      </c>
      <c r="R96" s="71">
        <v>1070.7815653579096</v>
      </c>
      <c r="S96" s="34">
        <f t="shared" si="22"/>
        <v>1407.0717021785936</v>
      </c>
      <c r="T96" s="71">
        <v>1112.6734988192322</v>
      </c>
      <c r="U96" s="34">
        <f t="shared" si="23"/>
        <v>1462.1202349792802</v>
      </c>
      <c r="V96" s="116">
        <v>598244</v>
      </c>
      <c r="W96" s="116">
        <v>1519774</v>
      </c>
      <c r="X96" s="117">
        <v>3558109</v>
      </c>
      <c r="Y96" s="117">
        <v>587903</v>
      </c>
      <c r="Z96" s="33">
        <v>73.099999999999994</v>
      </c>
      <c r="AA96" s="33">
        <v>58.4</v>
      </c>
      <c r="AB96" s="33">
        <v>76.400000000000006</v>
      </c>
      <c r="AC96" s="33">
        <v>52.7</v>
      </c>
      <c r="AD96" s="33">
        <v>38118</v>
      </c>
      <c r="AE96" s="33">
        <v>11.6</v>
      </c>
      <c r="AF96" s="33">
        <v>280</v>
      </c>
      <c r="AG96" s="33">
        <v>73.599999999999994</v>
      </c>
      <c r="AH96" s="33">
        <v>76.099999999999994</v>
      </c>
      <c r="AI96" s="33">
        <v>80.900000000000006</v>
      </c>
      <c r="AJ96" s="33">
        <v>81</v>
      </c>
      <c r="AK96" s="33">
        <v>159.32521499999999</v>
      </c>
      <c r="AL96" s="33">
        <v>57.5</v>
      </c>
      <c r="AM96" s="123">
        <v>12.081239161339447</v>
      </c>
      <c r="AN96" s="123">
        <v>14.800167680523778</v>
      </c>
      <c r="AO96" s="123">
        <v>61.687175092122231</v>
      </c>
      <c r="AP96" s="33">
        <v>17.63</v>
      </c>
      <c r="AQ96" s="33">
        <f t="shared" si="24"/>
        <v>0.21792336217552533</v>
      </c>
      <c r="AR96" s="33">
        <v>93</v>
      </c>
      <c r="AS96" s="33">
        <v>99.5</v>
      </c>
      <c r="AT96" s="33">
        <v>86.9</v>
      </c>
      <c r="AU96" s="33">
        <v>98</v>
      </c>
      <c r="AV96" s="65">
        <v>104.2</v>
      </c>
      <c r="AW96" s="33">
        <v>92.2</v>
      </c>
      <c r="AX96" s="33">
        <v>17.600000000000001</v>
      </c>
      <c r="AY96" s="33">
        <v>23</v>
      </c>
      <c r="AZ96" s="33">
        <v>8.5</v>
      </c>
      <c r="BA96" s="33">
        <v>8.8000000000000007</v>
      </c>
      <c r="BB96" s="33">
        <v>88.4</v>
      </c>
      <c r="BC96" s="33">
        <v>93.6</v>
      </c>
      <c r="BD96" s="33">
        <v>83.4</v>
      </c>
      <c r="BE96" s="33">
        <v>-39.1</v>
      </c>
      <c r="BF96" s="33">
        <v>66.3</v>
      </c>
      <c r="BG96" s="33">
        <v>-18.5</v>
      </c>
      <c r="BH96" s="33">
        <v>153.6</v>
      </c>
      <c r="BI96" s="33">
        <v>0.8</v>
      </c>
      <c r="BJ96" s="34">
        <v>55.525197050000003</v>
      </c>
      <c r="BK96" s="45">
        <v>87.459725442586489</v>
      </c>
      <c r="BL96" s="45" t="s">
        <v>243</v>
      </c>
      <c r="BM96" s="33">
        <v>100.85420000000001</v>
      </c>
      <c r="BN96" s="33">
        <v>100.7353</v>
      </c>
      <c r="BO96" s="33">
        <v>-18.600000000000001</v>
      </c>
      <c r="BP96" s="33">
        <v>-21.8</v>
      </c>
      <c r="BQ96" s="33">
        <v>6.6</v>
      </c>
      <c r="BR96" s="33">
        <v>11.2</v>
      </c>
      <c r="BS96" s="33">
        <v>4.7</v>
      </c>
      <c r="BT96" s="33">
        <v>-8.6</v>
      </c>
      <c r="BU96" s="33">
        <v>-4.5999999999999996</v>
      </c>
      <c r="BV96" s="33">
        <v>36.6</v>
      </c>
      <c r="BW96" s="33">
        <v>-15.7</v>
      </c>
      <c r="BX96" s="33">
        <v>-28.8</v>
      </c>
      <c r="BY96" s="33">
        <v>-51.1</v>
      </c>
      <c r="BZ96" s="33">
        <v>103.9</v>
      </c>
      <c r="CA96" s="33">
        <v>-15.7</v>
      </c>
      <c r="CB96" s="33">
        <v>-10.7</v>
      </c>
      <c r="CC96" s="33">
        <v>-2.1</v>
      </c>
      <c r="CD96" s="33">
        <v>-49.5</v>
      </c>
      <c r="CE96" s="33">
        <v>-34.6</v>
      </c>
      <c r="CF96" s="33">
        <v>14.1</v>
      </c>
      <c r="CG96" s="33">
        <v>43.6</v>
      </c>
      <c r="CH96" s="33">
        <v>50</v>
      </c>
      <c r="CI96" s="33">
        <v>-16.8</v>
      </c>
      <c r="CJ96" s="33">
        <v>-15.7</v>
      </c>
      <c r="CK96" s="33">
        <v>5.4</v>
      </c>
      <c r="CL96" s="33">
        <v>9.6</v>
      </c>
      <c r="CM96" s="33">
        <v>2564.7790479999999</v>
      </c>
      <c r="CN96" s="33">
        <v>8194.0400000000009</v>
      </c>
      <c r="CO96" s="33">
        <v>927.73618999999997</v>
      </c>
      <c r="CP96" s="33">
        <v>7.01</v>
      </c>
      <c r="CQ96" s="33">
        <v>6.2</v>
      </c>
      <c r="CR96" s="33">
        <v>100.3</v>
      </c>
      <c r="CS96" s="121">
        <f t="shared" si="16"/>
        <v>35.350000000000009</v>
      </c>
      <c r="CT96" s="33">
        <v>102.9</v>
      </c>
      <c r="CU96" s="33">
        <v>113.3</v>
      </c>
      <c r="CV96" s="33">
        <v>153.30000000000001</v>
      </c>
      <c r="CW96" s="33">
        <v>96.4</v>
      </c>
      <c r="CX96" s="33">
        <v>104</v>
      </c>
      <c r="CY96" s="33">
        <v>3.22</v>
      </c>
      <c r="CZ96" s="33">
        <v>18017.696</v>
      </c>
      <c r="DA96" s="33">
        <v>2.54</v>
      </c>
      <c r="DB96" s="33">
        <v>15.61</v>
      </c>
      <c r="DC96" s="33">
        <v>20.91</v>
      </c>
      <c r="DD96" s="33">
        <v>7.14</v>
      </c>
      <c r="DE96" s="33">
        <v>4238.0730000000003</v>
      </c>
      <c r="DF96" s="33">
        <v>750.57500000000005</v>
      </c>
      <c r="DG96" s="33">
        <v>752.33199999999999</v>
      </c>
      <c r="DH96" s="33">
        <v>742.95399999999995</v>
      </c>
      <c r="DI96" s="33">
        <v>399.36</v>
      </c>
      <c r="DJ96" s="33">
        <v>99.841499999999996</v>
      </c>
      <c r="DK96" s="33">
        <v>99.871899999999997</v>
      </c>
      <c r="DL96" s="33">
        <v>98.23</v>
      </c>
      <c r="DM96" s="33">
        <v>97.751800000000003</v>
      </c>
      <c r="DN96" s="33">
        <v>100.7353</v>
      </c>
      <c r="DO96" s="33">
        <v>100.85420000000001</v>
      </c>
      <c r="DP96" s="33">
        <v>100.8122</v>
      </c>
      <c r="DQ96" s="33">
        <v>100.8931</v>
      </c>
      <c r="DR96" s="104">
        <v>72996</v>
      </c>
      <c r="DS96" s="104">
        <v>27332.924885733413</v>
      </c>
      <c r="DT96" s="103" t="s">
        <v>243</v>
      </c>
      <c r="DU96">
        <v>99.45233154296875</v>
      </c>
      <c r="DV96">
        <v>118.19355773925781</v>
      </c>
      <c r="DW96">
        <v>1279</v>
      </c>
      <c r="DX96">
        <v>237750</v>
      </c>
      <c r="DY96" s="102">
        <f t="shared" si="25"/>
        <v>62</v>
      </c>
    </row>
    <row r="97" spans="1:129" x14ac:dyDescent="0.25">
      <c r="A97" s="1">
        <v>35674</v>
      </c>
      <c r="B97" s="33">
        <v>77.5</v>
      </c>
      <c r="C97" s="88">
        <v>3.1</v>
      </c>
      <c r="D97" s="33">
        <v>2.5</v>
      </c>
      <c r="E97" s="72">
        <v>3.29</v>
      </c>
      <c r="F97" s="33">
        <v>4.63</v>
      </c>
      <c r="G97" s="33">
        <v>5.13</v>
      </c>
      <c r="H97" s="33">
        <v>5.59</v>
      </c>
      <c r="I97" s="33">
        <f t="shared" si="17"/>
        <v>2.4899999999999998</v>
      </c>
      <c r="J97" s="33">
        <f t="shared" si="18"/>
        <v>3.09</v>
      </c>
      <c r="K97" s="33">
        <f t="shared" si="19"/>
        <v>2.2999999999999998</v>
      </c>
      <c r="L97" s="33">
        <f t="shared" si="20"/>
        <v>-0.60000000000000009</v>
      </c>
      <c r="M97" s="33">
        <v>100.5</v>
      </c>
      <c r="N97" s="33">
        <v>3989.96</v>
      </c>
      <c r="O97" s="33">
        <v>29.26</v>
      </c>
      <c r="P97" s="87">
        <v>621.80000000000007</v>
      </c>
      <c r="Q97" s="34">
        <f t="shared" si="21"/>
        <v>8.1708278580814735</v>
      </c>
      <c r="R97" s="71">
        <v>1073.5467181090567</v>
      </c>
      <c r="S97" s="34">
        <f t="shared" si="22"/>
        <v>1410.7052800381823</v>
      </c>
      <c r="T97" s="71">
        <v>1115.2453834582286</v>
      </c>
      <c r="U97" s="34">
        <f t="shared" si="23"/>
        <v>1465.499846857068</v>
      </c>
      <c r="V97" s="116">
        <v>593831</v>
      </c>
      <c r="W97" s="116">
        <v>1529659</v>
      </c>
      <c r="X97" s="117">
        <v>3570962</v>
      </c>
      <c r="Y97" s="117">
        <v>598085</v>
      </c>
      <c r="Z97" s="33">
        <v>73.5</v>
      </c>
      <c r="AA97" s="33">
        <v>59.7</v>
      </c>
      <c r="AB97" s="33">
        <v>77.900000000000006</v>
      </c>
      <c r="AC97" s="33">
        <v>54.4</v>
      </c>
      <c r="AD97" s="33">
        <v>38094</v>
      </c>
      <c r="AE97" s="33">
        <v>11.7</v>
      </c>
      <c r="AF97" s="33">
        <v>281</v>
      </c>
      <c r="AG97" s="33">
        <v>73.7</v>
      </c>
      <c r="AH97" s="33">
        <v>76.099999999999994</v>
      </c>
      <c r="AI97" s="33">
        <v>80.2</v>
      </c>
      <c r="AJ97" s="33">
        <v>81</v>
      </c>
      <c r="AK97" s="33">
        <v>159.503232</v>
      </c>
      <c r="AL97" s="33">
        <v>57.6</v>
      </c>
      <c r="AM97" s="123">
        <v>11.636920383076523</v>
      </c>
      <c r="AN97" s="123">
        <v>14.400993033538699</v>
      </c>
      <c r="AO97" s="123">
        <v>59.345646194646385</v>
      </c>
      <c r="AP97" s="33">
        <v>16.91</v>
      </c>
      <c r="AQ97" s="33">
        <f t="shared" si="24"/>
        <v>0.21084788029925186</v>
      </c>
      <c r="AR97" s="33">
        <v>94.3</v>
      </c>
      <c r="AS97" s="33">
        <v>100.6</v>
      </c>
      <c r="AT97" s="33">
        <v>88.4</v>
      </c>
      <c r="AU97" s="33">
        <v>99.5</v>
      </c>
      <c r="AV97" s="65">
        <v>104.7</v>
      </c>
      <c r="AW97" s="33">
        <v>94.6</v>
      </c>
      <c r="AX97" s="33">
        <v>19</v>
      </c>
      <c r="AY97" s="33">
        <v>18.5</v>
      </c>
      <c r="AZ97" s="33">
        <v>13.5</v>
      </c>
      <c r="BA97" s="33">
        <v>10.9</v>
      </c>
      <c r="BB97" s="33">
        <v>89.9</v>
      </c>
      <c r="BC97" s="33">
        <v>95.4</v>
      </c>
      <c r="BD97" s="33">
        <v>84.8</v>
      </c>
      <c r="BE97" s="33">
        <v>-32.5</v>
      </c>
      <c r="BF97" s="33">
        <v>71.900000000000006</v>
      </c>
      <c r="BG97" s="33">
        <v>-16.100000000000001</v>
      </c>
      <c r="BH97" s="33">
        <v>151.5</v>
      </c>
      <c r="BI97" s="33">
        <v>0.1</v>
      </c>
      <c r="BJ97" s="34">
        <v>56.42197659</v>
      </c>
      <c r="BK97" s="45">
        <v>73.135033825456787</v>
      </c>
      <c r="BL97" s="45" t="s">
        <v>243</v>
      </c>
      <c r="BM97" s="33">
        <v>100.9345</v>
      </c>
      <c r="BN97" s="33">
        <v>100.8044</v>
      </c>
      <c r="BO97" s="33">
        <v>-14.1</v>
      </c>
      <c r="BP97" s="33">
        <v>-20.100000000000001</v>
      </c>
      <c r="BQ97" s="33">
        <v>4.9000000000000004</v>
      </c>
      <c r="BR97" s="33">
        <v>11</v>
      </c>
      <c r="BS97" s="33">
        <v>3.6</v>
      </c>
      <c r="BT97" s="33">
        <v>-7.1</v>
      </c>
      <c r="BU97" s="33">
        <v>-2.7</v>
      </c>
      <c r="BV97" s="33">
        <v>36.6</v>
      </c>
      <c r="BW97" s="33">
        <v>-14.9</v>
      </c>
      <c r="BX97" s="33">
        <v>-25</v>
      </c>
      <c r="BY97" s="33">
        <v>-50.2</v>
      </c>
      <c r="BZ97" s="33">
        <v>105.1</v>
      </c>
      <c r="CA97" s="33">
        <v>-14.9</v>
      </c>
      <c r="CB97" s="33">
        <v>-9.9</v>
      </c>
      <c r="CC97" s="33">
        <v>-1.9</v>
      </c>
      <c r="CD97" s="33">
        <v>-47.3</v>
      </c>
      <c r="CE97" s="33">
        <v>-33</v>
      </c>
      <c r="CF97" s="33">
        <v>19.399999999999999</v>
      </c>
      <c r="CG97" s="33">
        <v>46</v>
      </c>
      <c r="CH97" s="33">
        <v>49.3</v>
      </c>
      <c r="CI97" s="33">
        <v>-19.3</v>
      </c>
      <c r="CJ97" s="33">
        <v>-15</v>
      </c>
      <c r="CK97" s="33">
        <v>5.9</v>
      </c>
      <c r="CL97" s="33">
        <v>9.6999999999999993</v>
      </c>
      <c r="CM97" s="33">
        <v>2511.0313639999999</v>
      </c>
      <c r="CN97" s="33">
        <v>7622.42</v>
      </c>
      <c r="CO97" s="33">
        <v>935.317273</v>
      </c>
      <c r="CP97" s="33">
        <v>7.0339999999999998</v>
      </c>
      <c r="CQ97" s="33">
        <v>6.34</v>
      </c>
      <c r="CR97" s="33">
        <v>100.7</v>
      </c>
      <c r="CS97" s="121">
        <f t="shared" si="16"/>
        <v>33.549999999999997</v>
      </c>
      <c r="CT97" s="33">
        <v>105</v>
      </c>
      <c r="CU97" s="33">
        <v>113.4</v>
      </c>
      <c r="CV97" s="33">
        <v>132.9</v>
      </c>
      <c r="CW97" s="33">
        <v>95.5</v>
      </c>
      <c r="CX97" s="33">
        <v>106.7</v>
      </c>
      <c r="CY97" s="33">
        <v>3.81</v>
      </c>
      <c r="CZ97" s="33">
        <v>21488.129000000001</v>
      </c>
      <c r="DA97" s="33">
        <v>2.64</v>
      </c>
      <c r="DB97" s="33">
        <v>14.96</v>
      </c>
      <c r="DC97" s="33">
        <v>21.85</v>
      </c>
      <c r="DD97" s="33">
        <v>6.99</v>
      </c>
      <c r="DE97" s="33">
        <v>5029.3140000000003</v>
      </c>
      <c r="DF97" s="33">
        <v>867.20299999999997</v>
      </c>
      <c r="DG97" s="33">
        <v>932.35299999999995</v>
      </c>
      <c r="DH97" s="33">
        <v>894.774</v>
      </c>
      <c r="DI97" s="33">
        <v>542.96299999999997</v>
      </c>
      <c r="DJ97" s="33">
        <v>99.509699999999995</v>
      </c>
      <c r="DK97" s="33">
        <v>99.437700000000007</v>
      </c>
      <c r="DL97" s="33">
        <v>97.96</v>
      </c>
      <c r="DM97" s="33">
        <v>97.409800000000004</v>
      </c>
      <c r="DN97" s="33">
        <v>100.8044</v>
      </c>
      <c r="DO97" s="33">
        <v>100.9345</v>
      </c>
      <c r="DP97" s="33">
        <v>100.8644</v>
      </c>
      <c r="DQ97" s="33">
        <v>100.95059999999999</v>
      </c>
      <c r="DR97" s="104">
        <v>88936</v>
      </c>
      <c r="DS97" s="104">
        <v>27302.54371690896</v>
      </c>
      <c r="DT97" s="103" t="s">
        <v>243</v>
      </c>
      <c r="DU97">
        <v>95.818275451660156</v>
      </c>
      <c r="DV97">
        <v>64.0072021484375</v>
      </c>
      <c r="DW97">
        <v>1332</v>
      </c>
      <c r="DX97">
        <v>279625</v>
      </c>
      <c r="DY97" s="102">
        <f t="shared" si="25"/>
        <v>59.400000000000006</v>
      </c>
    </row>
    <row r="98" spans="1:129" x14ac:dyDescent="0.25">
      <c r="A98" s="1">
        <v>35704</v>
      </c>
      <c r="B98" s="33">
        <v>78.7</v>
      </c>
      <c r="C98" s="88">
        <v>3.4</v>
      </c>
      <c r="D98" s="33">
        <v>2.5</v>
      </c>
      <c r="E98" s="72">
        <v>3.5500000000000003</v>
      </c>
      <c r="F98" s="33">
        <v>4.92</v>
      </c>
      <c r="G98" s="33">
        <v>5.28</v>
      </c>
      <c r="H98" s="33">
        <v>5.58</v>
      </c>
      <c r="I98" s="33">
        <f t="shared" si="17"/>
        <v>2.1800000000000002</v>
      </c>
      <c r="J98" s="33">
        <f t="shared" si="18"/>
        <v>3.08</v>
      </c>
      <c r="K98" s="33">
        <f t="shared" si="19"/>
        <v>2.0299999999999998</v>
      </c>
      <c r="L98" s="33">
        <f t="shared" si="20"/>
        <v>-0.89999999999999991</v>
      </c>
      <c r="M98" s="33">
        <v>100.7</v>
      </c>
      <c r="N98" s="33">
        <v>4196.9799999999996</v>
      </c>
      <c r="O98" s="33">
        <v>22.42</v>
      </c>
      <c r="P98" s="87">
        <v>624.1</v>
      </c>
      <c r="Q98" s="34">
        <f t="shared" si="21"/>
        <v>8.179554390563565</v>
      </c>
      <c r="R98" s="71">
        <v>1075.358369911532</v>
      </c>
      <c r="S98" s="34">
        <f t="shared" si="22"/>
        <v>1409.3818740649174</v>
      </c>
      <c r="T98" s="71">
        <v>1116.5789532710417</v>
      </c>
      <c r="U98" s="34">
        <f t="shared" si="23"/>
        <v>1463.4062297130297</v>
      </c>
      <c r="V98" s="116">
        <v>586191</v>
      </c>
      <c r="W98" s="116">
        <v>1553269</v>
      </c>
      <c r="X98" s="117">
        <v>3595263</v>
      </c>
      <c r="Y98" s="117">
        <v>596727</v>
      </c>
      <c r="Z98" s="33">
        <v>74.5</v>
      </c>
      <c r="AA98" s="33">
        <v>59.2</v>
      </c>
      <c r="AB98" s="33">
        <v>77.599999999999994</v>
      </c>
      <c r="AC98" s="33">
        <v>53.2</v>
      </c>
      <c r="AD98" s="33">
        <v>38115</v>
      </c>
      <c r="AE98" s="33">
        <v>11.8</v>
      </c>
      <c r="AF98" s="33">
        <v>281</v>
      </c>
      <c r="AG98" s="33">
        <v>73.8</v>
      </c>
      <c r="AH98" s="33">
        <v>76.3</v>
      </c>
      <c r="AI98" s="33">
        <v>80.2</v>
      </c>
      <c r="AJ98" s="33">
        <v>81.099999999999994</v>
      </c>
      <c r="AK98" s="33">
        <v>159.32521499999999</v>
      </c>
      <c r="AL98" s="33">
        <v>57.7</v>
      </c>
      <c r="AM98" s="123">
        <v>11.838328620475925</v>
      </c>
      <c r="AN98" s="123">
        <v>15.201048202068625</v>
      </c>
      <c r="AO98" s="123">
        <v>57.316041331628384</v>
      </c>
      <c r="AP98" s="33">
        <v>18.010000000000002</v>
      </c>
      <c r="AQ98" s="33">
        <f t="shared" si="24"/>
        <v>0.22456359102244391</v>
      </c>
      <c r="AR98" s="33">
        <v>94.9</v>
      </c>
      <c r="AS98" s="33">
        <v>100.5</v>
      </c>
      <c r="AT98" s="33">
        <v>89.6</v>
      </c>
      <c r="AU98" s="33">
        <v>100</v>
      </c>
      <c r="AV98" s="65">
        <v>104.9</v>
      </c>
      <c r="AW98" s="33">
        <v>95.3</v>
      </c>
      <c r="AX98" s="33">
        <v>19</v>
      </c>
      <c r="AY98" s="33">
        <v>9.6</v>
      </c>
      <c r="AZ98" s="33">
        <v>16.2</v>
      </c>
      <c r="BA98" s="33">
        <v>10.8</v>
      </c>
      <c r="BB98" s="33">
        <v>89.2</v>
      </c>
      <c r="BC98" s="33">
        <v>93.9</v>
      </c>
      <c r="BD98" s="33">
        <v>84.8</v>
      </c>
      <c r="BE98" s="33">
        <v>-24.7</v>
      </c>
      <c r="BF98" s="33">
        <v>78.099999999999994</v>
      </c>
      <c r="BG98" s="33">
        <v>-13.8</v>
      </c>
      <c r="BH98" s="33">
        <v>151.80000000000001</v>
      </c>
      <c r="BI98" s="33">
        <v>2.1</v>
      </c>
      <c r="BJ98" s="34">
        <v>57.149773449999998</v>
      </c>
      <c r="BK98" s="45">
        <v>68.59668922252132</v>
      </c>
      <c r="BL98" s="45" t="s">
        <v>243</v>
      </c>
      <c r="BM98" s="33">
        <v>100.985</v>
      </c>
      <c r="BN98" s="33">
        <v>100.8477</v>
      </c>
      <c r="BO98" s="33">
        <v>-11.5</v>
      </c>
      <c r="BP98" s="33">
        <v>-18.5</v>
      </c>
      <c r="BQ98" s="33">
        <v>4.4000000000000004</v>
      </c>
      <c r="BR98" s="33">
        <v>9.8000000000000007</v>
      </c>
      <c r="BS98" s="33">
        <v>6.6</v>
      </c>
      <c r="BT98" s="33">
        <v>-6.8</v>
      </c>
      <c r="BU98" s="33">
        <v>-2</v>
      </c>
      <c r="BV98" s="33">
        <v>37.5</v>
      </c>
      <c r="BW98" s="33">
        <v>-13.4</v>
      </c>
      <c r="BX98" s="33">
        <v>-21.3</v>
      </c>
      <c r="BY98" s="33">
        <v>-51.8</v>
      </c>
      <c r="BZ98" s="33">
        <v>106.3</v>
      </c>
      <c r="CA98" s="33">
        <v>-13.4</v>
      </c>
      <c r="CB98" s="33">
        <v>-7.6</v>
      </c>
      <c r="CC98" s="33">
        <v>0.5</v>
      </c>
      <c r="CD98" s="33">
        <v>-42.5</v>
      </c>
      <c r="CE98" s="33">
        <v>-31.8</v>
      </c>
      <c r="CF98" s="33">
        <v>21.3</v>
      </c>
      <c r="CG98" s="33">
        <v>46.2</v>
      </c>
      <c r="CH98" s="33">
        <v>49.8</v>
      </c>
      <c r="CI98" s="33">
        <v>-15.5</v>
      </c>
      <c r="CJ98" s="33">
        <v>-14.6</v>
      </c>
      <c r="CK98" s="33">
        <v>14.1</v>
      </c>
      <c r="CL98" s="33">
        <v>11.3</v>
      </c>
      <c r="CM98" s="33">
        <v>2510.6969570000001</v>
      </c>
      <c r="CN98" s="33">
        <v>8015.49</v>
      </c>
      <c r="CO98" s="33">
        <v>951.15869599999996</v>
      </c>
      <c r="CP98" s="33">
        <v>6.3330000000000002</v>
      </c>
      <c r="CQ98" s="33">
        <v>6.04</v>
      </c>
      <c r="CR98" s="33">
        <v>102.8</v>
      </c>
      <c r="CS98" s="121">
        <f t="shared" si="16"/>
        <v>31.450000000000003</v>
      </c>
      <c r="CT98" s="33">
        <v>104.6</v>
      </c>
      <c r="CU98" s="33">
        <v>114.3</v>
      </c>
      <c r="CV98" s="33">
        <v>123</v>
      </c>
      <c r="CW98" s="33">
        <v>91.2</v>
      </c>
      <c r="CX98" s="33">
        <v>107.3</v>
      </c>
      <c r="CY98" s="33">
        <v>3.51</v>
      </c>
      <c r="CZ98" s="33">
        <v>22862.337</v>
      </c>
      <c r="DA98" s="33">
        <v>2.63</v>
      </c>
      <c r="DB98" s="33">
        <v>15.56</v>
      </c>
      <c r="DC98" s="33">
        <v>21.55</v>
      </c>
      <c r="DD98" s="33">
        <v>6.98</v>
      </c>
      <c r="DE98" s="33">
        <v>4840.8649999999998</v>
      </c>
      <c r="DF98" s="33">
        <v>805.37699999999995</v>
      </c>
      <c r="DG98" s="33">
        <v>816.38900000000001</v>
      </c>
      <c r="DH98" s="33">
        <v>936.68200000000002</v>
      </c>
      <c r="DI98" s="33">
        <v>519.45100000000002</v>
      </c>
      <c r="DJ98" s="33">
        <v>99.162400000000005</v>
      </c>
      <c r="DK98" s="33">
        <v>98.981999999999999</v>
      </c>
      <c r="DL98" s="33">
        <v>97.74</v>
      </c>
      <c r="DM98" s="33">
        <v>97.128900000000002</v>
      </c>
      <c r="DN98" s="33">
        <v>100.8477</v>
      </c>
      <c r="DO98" s="33">
        <v>100.985</v>
      </c>
      <c r="DP98" s="33">
        <v>100.89190000000001</v>
      </c>
      <c r="DQ98" s="33">
        <v>100.9808</v>
      </c>
      <c r="DR98" s="104">
        <v>93482</v>
      </c>
      <c r="DS98" s="104">
        <v>27312.670773183781</v>
      </c>
      <c r="DT98" s="103" t="s">
        <v>243</v>
      </c>
      <c r="DU98">
        <v>104.92588806152344</v>
      </c>
      <c r="DV98">
        <v>72.829292297363281</v>
      </c>
      <c r="DW98">
        <v>1281</v>
      </c>
      <c r="DX98">
        <v>334800</v>
      </c>
      <c r="DY98" s="102">
        <f t="shared" si="25"/>
        <v>60</v>
      </c>
    </row>
    <row r="99" spans="1:129" x14ac:dyDescent="0.25">
      <c r="A99" s="1">
        <v>35735</v>
      </c>
      <c r="B99" s="33">
        <v>79</v>
      </c>
      <c r="C99" s="88">
        <v>3.46</v>
      </c>
      <c r="D99" s="33">
        <v>2.5</v>
      </c>
      <c r="E99" s="72">
        <v>3.7</v>
      </c>
      <c r="F99" s="33">
        <v>4.93</v>
      </c>
      <c r="G99" s="33">
        <v>5.29</v>
      </c>
      <c r="H99" s="33">
        <v>5.56</v>
      </c>
      <c r="I99" s="33">
        <f t="shared" si="17"/>
        <v>2.0999999999999996</v>
      </c>
      <c r="J99" s="33">
        <f t="shared" si="18"/>
        <v>3.0599999999999996</v>
      </c>
      <c r="K99" s="33">
        <f t="shared" si="19"/>
        <v>1.8599999999999994</v>
      </c>
      <c r="L99" s="33">
        <f t="shared" si="20"/>
        <v>-0.96</v>
      </c>
      <c r="M99" s="33">
        <v>100.9</v>
      </c>
      <c r="N99" s="33">
        <v>3854.07</v>
      </c>
      <c r="O99" s="33">
        <v>37.799999999999997</v>
      </c>
      <c r="P99" s="87">
        <v>624.90000000000009</v>
      </c>
      <c r="Q99" s="34">
        <f t="shared" si="21"/>
        <v>8.1793193717277486</v>
      </c>
      <c r="R99" s="71">
        <v>1079.553774085686</v>
      </c>
      <c r="S99" s="34">
        <f t="shared" si="22"/>
        <v>1413.0285001121542</v>
      </c>
      <c r="T99" s="71">
        <v>1120.5796627094808</v>
      </c>
      <c r="U99" s="34">
        <f t="shared" si="23"/>
        <v>1466.7273072113621</v>
      </c>
      <c r="V99" s="116">
        <v>578112</v>
      </c>
      <c r="W99" s="116">
        <v>1552044</v>
      </c>
      <c r="X99" s="117">
        <v>3600773</v>
      </c>
      <c r="Y99" s="117">
        <v>600719</v>
      </c>
      <c r="Z99" s="33">
        <v>74.599999999999994</v>
      </c>
      <c r="AA99" s="33">
        <v>58.7</v>
      </c>
      <c r="AB99" s="33">
        <v>75.8</v>
      </c>
      <c r="AC99" s="33">
        <v>52.8</v>
      </c>
      <c r="AD99" s="33">
        <v>38115</v>
      </c>
      <c r="AE99" s="33">
        <v>11.7</v>
      </c>
      <c r="AF99" s="33">
        <v>288</v>
      </c>
      <c r="AG99" s="33">
        <v>73.900000000000006</v>
      </c>
      <c r="AH99" s="33">
        <v>76.400000000000006</v>
      </c>
      <c r="AI99" s="33">
        <v>80.099999999999994</v>
      </c>
      <c r="AJ99" s="33">
        <v>81.2</v>
      </c>
      <c r="AK99" s="33">
        <v>159.32521499999999</v>
      </c>
      <c r="AL99" s="33">
        <v>95.9</v>
      </c>
      <c r="AM99" s="123">
        <v>11.664873256073347</v>
      </c>
      <c r="AN99" s="123">
        <v>14.41996667389909</v>
      </c>
      <c r="AO99" s="123">
        <v>56.080781820170884</v>
      </c>
      <c r="AP99" s="33">
        <v>17.03</v>
      </c>
      <c r="AQ99" s="33">
        <f t="shared" si="24"/>
        <v>0.21260923845193511</v>
      </c>
      <c r="AR99" s="33">
        <v>95.3</v>
      </c>
      <c r="AS99" s="33">
        <v>101.1</v>
      </c>
      <c r="AT99" s="33">
        <v>89.8</v>
      </c>
      <c r="AU99" s="33">
        <v>101</v>
      </c>
      <c r="AV99" s="65">
        <v>105.6</v>
      </c>
      <c r="AW99" s="33">
        <v>96.6</v>
      </c>
      <c r="AX99" s="33">
        <v>21.4</v>
      </c>
      <c r="AY99" s="33">
        <v>11</v>
      </c>
      <c r="AZ99" s="33">
        <v>18.5</v>
      </c>
      <c r="BA99" s="33">
        <v>11.6</v>
      </c>
      <c r="BB99" s="33">
        <v>89.7</v>
      </c>
      <c r="BC99" s="33">
        <v>95</v>
      </c>
      <c r="BD99" s="33">
        <v>84.7</v>
      </c>
      <c r="BE99" s="33">
        <v>-20.8</v>
      </c>
      <c r="BF99" s="33">
        <v>68.3</v>
      </c>
      <c r="BG99" s="33">
        <v>-15.3</v>
      </c>
      <c r="BH99" s="33">
        <v>150.1</v>
      </c>
      <c r="BI99" s="33">
        <v>7</v>
      </c>
      <c r="BJ99" s="34">
        <v>57.421967889999998</v>
      </c>
      <c r="BK99" s="45">
        <v>60.919084951893382</v>
      </c>
      <c r="BL99" s="45" t="s">
        <v>243</v>
      </c>
      <c r="BM99" s="33">
        <v>100.9996</v>
      </c>
      <c r="BN99" s="33">
        <v>100.86020000000001</v>
      </c>
      <c r="BO99" s="33">
        <v>-11.6</v>
      </c>
      <c r="BP99" s="33">
        <v>-18.2</v>
      </c>
      <c r="BQ99" s="33">
        <v>4.4000000000000004</v>
      </c>
      <c r="BR99" s="33">
        <v>9.6</v>
      </c>
      <c r="BS99" s="33">
        <v>5.6</v>
      </c>
      <c r="BT99" s="33">
        <v>-6.9</v>
      </c>
      <c r="BU99" s="33">
        <v>-2.2000000000000002</v>
      </c>
      <c r="BV99" s="33">
        <v>37.6</v>
      </c>
      <c r="BW99" s="33">
        <v>-13.8</v>
      </c>
      <c r="BX99" s="33">
        <v>-25.3</v>
      </c>
      <c r="BY99" s="33">
        <v>-50.3</v>
      </c>
      <c r="BZ99" s="33">
        <v>106.1</v>
      </c>
      <c r="CA99" s="33">
        <v>-13.8</v>
      </c>
      <c r="CB99" s="33">
        <v>-9.3000000000000007</v>
      </c>
      <c r="CC99" s="33">
        <v>-0.7</v>
      </c>
      <c r="CD99" s="33">
        <v>-41.7</v>
      </c>
      <c r="CE99" s="33">
        <v>-30.9</v>
      </c>
      <c r="CF99" s="33">
        <v>20.100000000000001</v>
      </c>
      <c r="CG99" s="33">
        <v>48</v>
      </c>
      <c r="CH99" s="33">
        <v>50.4</v>
      </c>
      <c r="CI99" s="33">
        <v>-15.9</v>
      </c>
      <c r="CJ99" s="33">
        <v>-14.3</v>
      </c>
      <c r="CK99" s="33">
        <v>9.6</v>
      </c>
      <c r="CL99" s="33">
        <v>9.5</v>
      </c>
      <c r="CM99" s="33">
        <v>2367.9425000000001</v>
      </c>
      <c r="CN99" s="33">
        <v>7674.39</v>
      </c>
      <c r="CO99" s="33">
        <v>939.55949999999996</v>
      </c>
      <c r="CP99" s="33">
        <v>6.5730000000000004</v>
      </c>
      <c r="CQ99" s="33">
        <v>5.91</v>
      </c>
      <c r="CR99" s="33">
        <v>102.3</v>
      </c>
      <c r="CS99" s="121">
        <f t="shared" si="16"/>
        <v>31.850000000000009</v>
      </c>
      <c r="CT99" s="33">
        <v>105.3</v>
      </c>
      <c r="CU99" s="33">
        <v>114.8</v>
      </c>
      <c r="CV99" s="33">
        <v>120.9</v>
      </c>
      <c r="CW99" s="33">
        <v>95.4</v>
      </c>
      <c r="CX99" s="33">
        <v>105.3</v>
      </c>
      <c r="CY99" s="33">
        <v>3.39</v>
      </c>
      <c r="CZ99" s="33">
        <v>22448.145</v>
      </c>
      <c r="DA99" s="33">
        <v>2.71</v>
      </c>
      <c r="DB99" s="33">
        <v>15.69</v>
      </c>
      <c r="DC99" s="33">
        <v>21.89</v>
      </c>
      <c r="DD99" s="33">
        <v>7.06</v>
      </c>
      <c r="DE99" s="33">
        <v>4627.2269999999999</v>
      </c>
      <c r="DF99" s="33">
        <v>780.83299999999997</v>
      </c>
      <c r="DG99" s="33">
        <v>798.83600000000001</v>
      </c>
      <c r="DH99" s="33">
        <v>820.81100000000004</v>
      </c>
      <c r="DI99" s="33">
        <v>683.44500000000005</v>
      </c>
      <c r="DJ99" s="33">
        <v>98.819199999999995</v>
      </c>
      <c r="DK99" s="33">
        <v>98.528599999999997</v>
      </c>
      <c r="DL99" s="33">
        <v>97.57</v>
      </c>
      <c r="DM99" s="33">
        <v>96.906599999999997</v>
      </c>
      <c r="DN99" s="33">
        <v>100.86020000000001</v>
      </c>
      <c r="DO99" s="33">
        <v>100.9996</v>
      </c>
      <c r="DP99" s="33">
        <v>100.8896</v>
      </c>
      <c r="DQ99" s="33">
        <v>100.9782</v>
      </c>
      <c r="DR99" s="104">
        <v>92787</v>
      </c>
      <c r="DS99" s="104">
        <v>27313.394134346268</v>
      </c>
      <c r="DT99" s="103" t="s">
        <v>243</v>
      </c>
      <c r="DU99">
        <v>85.718315124511719</v>
      </c>
      <c r="DV99">
        <v>68.688087463378906</v>
      </c>
      <c r="DW99">
        <v>1314</v>
      </c>
      <c r="DX99">
        <v>345200</v>
      </c>
      <c r="DY99" s="102">
        <f t="shared" si="25"/>
        <v>61.2</v>
      </c>
    </row>
    <row r="100" spans="1:129" x14ac:dyDescent="0.25">
      <c r="A100" s="1">
        <v>35765</v>
      </c>
      <c r="B100" s="33">
        <v>79.3</v>
      </c>
      <c r="C100" s="88">
        <v>3.44</v>
      </c>
      <c r="D100" s="33">
        <v>2.5</v>
      </c>
      <c r="E100" s="72">
        <v>3.71</v>
      </c>
      <c r="F100" s="33">
        <v>4.79</v>
      </c>
      <c r="G100" s="33">
        <v>5.0999999999999996</v>
      </c>
      <c r="H100" s="33">
        <v>5.33</v>
      </c>
      <c r="I100" s="33">
        <f t="shared" si="17"/>
        <v>1.8900000000000001</v>
      </c>
      <c r="J100" s="33">
        <f t="shared" si="18"/>
        <v>2.83</v>
      </c>
      <c r="K100" s="33">
        <f t="shared" si="19"/>
        <v>1.62</v>
      </c>
      <c r="L100" s="33">
        <f t="shared" si="20"/>
        <v>-0.94</v>
      </c>
      <c r="M100" s="33">
        <v>100.6</v>
      </c>
      <c r="N100" s="33">
        <v>4068.05</v>
      </c>
      <c r="O100" s="33">
        <v>28.21</v>
      </c>
      <c r="P100" s="87">
        <v>628.1</v>
      </c>
      <c r="Q100" s="34">
        <f t="shared" si="21"/>
        <v>8.2104575163398703</v>
      </c>
      <c r="R100" s="71">
        <v>1086.4189809161196</v>
      </c>
      <c r="S100" s="34">
        <f t="shared" si="22"/>
        <v>1420.1555306093067</v>
      </c>
      <c r="T100" s="71">
        <v>1127.7237867066935</v>
      </c>
      <c r="U100" s="34">
        <f t="shared" si="23"/>
        <v>1474.1487407930636</v>
      </c>
      <c r="V100" s="116">
        <v>576461</v>
      </c>
      <c r="W100" s="116">
        <v>1566011</v>
      </c>
      <c r="X100" s="117">
        <v>3615677</v>
      </c>
      <c r="Y100" s="117">
        <v>606342</v>
      </c>
      <c r="Z100" s="33">
        <v>75.599999999999994</v>
      </c>
      <c r="AA100" s="33">
        <v>59.9</v>
      </c>
      <c r="AB100" s="33">
        <v>81.099999999999994</v>
      </c>
      <c r="AC100" s="33">
        <v>53.7</v>
      </c>
      <c r="AD100" s="33">
        <v>38080</v>
      </c>
      <c r="AE100" s="33">
        <v>11.7</v>
      </c>
      <c r="AF100" s="33">
        <v>299</v>
      </c>
      <c r="AG100" s="33">
        <v>74</v>
      </c>
      <c r="AH100" s="33">
        <v>76.5</v>
      </c>
      <c r="AI100" s="33">
        <v>80</v>
      </c>
      <c r="AJ100" s="33">
        <v>81.2</v>
      </c>
      <c r="AK100" s="33">
        <v>159.147198</v>
      </c>
      <c r="AL100" s="33">
        <v>57.7</v>
      </c>
      <c r="AM100" s="123">
        <v>11.199968887171872</v>
      </c>
      <c r="AN100" s="123">
        <v>13.554171573395831</v>
      </c>
      <c r="AO100" s="123">
        <v>56.762615033789992</v>
      </c>
      <c r="AP100" s="33">
        <v>15.78</v>
      </c>
      <c r="AQ100" s="33">
        <f t="shared" si="24"/>
        <v>0.19724999999999998</v>
      </c>
      <c r="AR100" s="33">
        <v>95.8</v>
      </c>
      <c r="AS100" s="33">
        <v>101</v>
      </c>
      <c r="AT100" s="33">
        <v>90.8</v>
      </c>
      <c r="AU100" s="33">
        <v>101.2</v>
      </c>
      <c r="AV100" s="65">
        <v>105.5</v>
      </c>
      <c r="AW100" s="33">
        <v>97</v>
      </c>
      <c r="AX100" s="33">
        <v>26</v>
      </c>
      <c r="AY100" s="33">
        <v>20</v>
      </c>
      <c r="AZ100" s="33">
        <v>17.600000000000001</v>
      </c>
      <c r="BA100" s="33">
        <v>13.6</v>
      </c>
      <c r="BB100" s="33">
        <v>90.4</v>
      </c>
      <c r="BC100" s="33">
        <v>96.1</v>
      </c>
      <c r="BD100" s="33">
        <v>85</v>
      </c>
      <c r="BE100" s="33">
        <v>-22</v>
      </c>
      <c r="BF100" s="33">
        <v>61.9</v>
      </c>
      <c r="BG100" s="33">
        <v>-16.5</v>
      </c>
      <c r="BH100" s="33">
        <v>148.19999999999999</v>
      </c>
      <c r="BI100" s="33">
        <v>26.6</v>
      </c>
      <c r="BJ100" s="34">
        <v>56.430887839999997</v>
      </c>
      <c r="BK100" s="45">
        <v>47.982933390277509</v>
      </c>
      <c r="BL100" s="45" t="s">
        <v>243</v>
      </c>
      <c r="BM100" s="33">
        <v>100.99209999999999</v>
      </c>
      <c r="BN100" s="33">
        <v>100.85380000000001</v>
      </c>
      <c r="BO100" s="33">
        <v>-10.5</v>
      </c>
      <c r="BP100" s="33">
        <v>-15.3</v>
      </c>
      <c r="BQ100" s="33">
        <v>3.4</v>
      </c>
      <c r="BR100" s="33">
        <v>13</v>
      </c>
      <c r="BS100" s="33">
        <v>4.3</v>
      </c>
      <c r="BT100" s="33">
        <v>-3.2</v>
      </c>
      <c r="BU100" s="33">
        <v>-0.3</v>
      </c>
      <c r="BV100" s="33">
        <v>37.200000000000003</v>
      </c>
      <c r="BW100" s="33">
        <v>-13.5</v>
      </c>
      <c r="BX100" s="33">
        <v>-22.9</v>
      </c>
      <c r="BY100" s="33">
        <v>-48</v>
      </c>
      <c r="BZ100" s="33">
        <v>107</v>
      </c>
      <c r="CA100" s="33">
        <v>-13.5</v>
      </c>
      <c r="CB100" s="33">
        <v>-8.1999999999999993</v>
      </c>
      <c r="CC100" s="33">
        <v>-0.2</v>
      </c>
      <c r="CD100" s="33">
        <v>-44.4</v>
      </c>
      <c r="CE100" s="33">
        <v>-31.2</v>
      </c>
      <c r="CF100" s="33">
        <v>20.100000000000001</v>
      </c>
      <c r="CG100" s="33">
        <v>47.8</v>
      </c>
      <c r="CH100" s="33">
        <v>50.4</v>
      </c>
      <c r="CI100" s="33">
        <v>-17.7</v>
      </c>
      <c r="CJ100" s="33">
        <v>-14.6</v>
      </c>
      <c r="CK100" s="33">
        <v>11.6</v>
      </c>
      <c r="CL100" s="33">
        <v>9.4</v>
      </c>
      <c r="CM100" s="33">
        <v>2474.4478260000001</v>
      </c>
      <c r="CN100" s="33">
        <v>8013.1</v>
      </c>
      <c r="CO100" s="33">
        <v>961.07608700000003</v>
      </c>
      <c r="CP100" s="33">
        <v>6.5110000000000001</v>
      </c>
      <c r="CQ100" s="33">
        <v>5.86</v>
      </c>
      <c r="CR100" s="33">
        <v>96.1</v>
      </c>
      <c r="CS100" s="121">
        <f t="shared" si="16"/>
        <v>31.150000000000006</v>
      </c>
      <c r="CT100" s="33">
        <v>108.8</v>
      </c>
      <c r="CU100" s="33">
        <v>113.9</v>
      </c>
      <c r="CV100" s="33">
        <v>122.8</v>
      </c>
      <c r="CW100" s="33">
        <v>92.8</v>
      </c>
      <c r="CX100" s="33">
        <v>106.7</v>
      </c>
      <c r="CY100" s="33">
        <v>3.67</v>
      </c>
      <c r="CZ100" s="33">
        <v>21613.465</v>
      </c>
      <c r="DA100" s="33">
        <v>2.57</v>
      </c>
      <c r="DB100" s="33">
        <v>15.15</v>
      </c>
      <c r="DC100" s="33">
        <v>22.96</v>
      </c>
      <c r="DD100" s="33">
        <v>7.01</v>
      </c>
      <c r="DE100" s="33">
        <v>4820.692</v>
      </c>
      <c r="DF100" s="33">
        <v>973.69600000000003</v>
      </c>
      <c r="DG100" s="33">
        <v>922.94899999999996</v>
      </c>
      <c r="DH100" s="33">
        <v>796.24599999999998</v>
      </c>
      <c r="DI100" s="33">
        <v>546.56500000000005</v>
      </c>
      <c r="DJ100" s="33">
        <v>98.496300000000005</v>
      </c>
      <c r="DK100" s="33">
        <v>98.095600000000005</v>
      </c>
      <c r="DL100" s="33">
        <v>97.43</v>
      </c>
      <c r="DM100" s="33">
        <v>96.738200000000006</v>
      </c>
      <c r="DN100" s="33">
        <v>100.85380000000001</v>
      </c>
      <c r="DO100" s="33">
        <v>100.99209999999999</v>
      </c>
      <c r="DP100" s="33">
        <v>100.8566</v>
      </c>
      <c r="DQ100" s="33">
        <v>100.9419</v>
      </c>
      <c r="DR100" s="104">
        <v>80690</v>
      </c>
      <c r="DS100" s="104">
        <v>27287.353132496733</v>
      </c>
      <c r="DT100" s="103" t="s">
        <v>243</v>
      </c>
      <c r="DU100">
        <v>91.411575317382813</v>
      </c>
      <c r="DV100">
        <v>88.882820129394531</v>
      </c>
      <c r="DW100">
        <v>1176</v>
      </c>
      <c r="DX100">
        <v>340900</v>
      </c>
      <c r="DY100" s="102">
        <f t="shared" si="25"/>
        <v>61.5</v>
      </c>
    </row>
    <row r="101" spans="1:129" x14ac:dyDescent="0.25">
      <c r="A101" s="1">
        <v>35796</v>
      </c>
      <c r="B101" s="33">
        <v>79.900000000000006</v>
      </c>
      <c r="C101" s="88">
        <v>3.42</v>
      </c>
      <c r="D101" s="33">
        <v>2.5</v>
      </c>
      <c r="E101" s="72">
        <v>3.5500000000000003</v>
      </c>
      <c r="F101" s="33">
        <v>4.51</v>
      </c>
      <c r="G101" s="33">
        <v>4.8499999999999996</v>
      </c>
      <c r="H101" s="33">
        <v>5.1100000000000003</v>
      </c>
      <c r="I101" s="33">
        <f t="shared" si="17"/>
        <v>1.6900000000000004</v>
      </c>
      <c r="J101" s="33">
        <f t="shared" si="18"/>
        <v>2.6100000000000003</v>
      </c>
      <c r="K101" s="33">
        <f t="shared" si="19"/>
        <v>1.56</v>
      </c>
      <c r="L101" s="33">
        <f t="shared" si="20"/>
        <v>-0.91999999999999993</v>
      </c>
      <c r="M101" s="33">
        <v>100</v>
      </c>
      <c r="N101" s="33">
        <v>4249.6899999999996</v>
      </c>
      <c r="O101" s="33">
        <v>26.58</v>
      </c>
      <c r="P101" s="87">
        <v>627</v>
      </c>
      <c r="Q101" s="34">
        <f t="shared" si="21"/>
        <v>8.2175622542595015</v>
      </c>
      <c r="R101" s="71">
        <v>1085.8468803469166</v>
      </c>
      <c r="S101" s="34">
        <f t="shared" si="22"/>
        <v>1423.1282835477282</v>
      </c>
      <c r="T101" s="71">
        <v>1127.3427667601754</v>
      </c>
      <c r="U101" s="34">
        <f t="shared" si="23"/>
        <v>1477.5134557800466</v>
      </c>
      <c r="V101" s="116">
        <v>652402</v>
      </c>
      <c r="W101" s="116">
        <v>1574257</v>
      </c>
      <c r="X101" s="117">
        <v>3638426</v>
      </c>
      <c r="Y101" s="117">
        <v>605953</v>
      </c>
      <c r="Z101" s="33">
        <v>76.099999999999994</v>
      </c>
      <c r="AA101" s="33">
        <v>60.5</v>
      </c>
      <c r="AB101" s="33">
        <v>76.8</v>
      </c>
      <c r="AC101" s="33">
        <v>56</v>
      </c>
      <c r="AD101" s="33">
        <v>38102</v>
      </c>
      <c r="AE101" s="33">
        <v>11.7</v>
      </c>
      <c r="AF101" s="33">
        <v>303</v>
      </c>
      <c r="AG101" s="33">
        <v>73.599999999999994</v>
      </c>
      <c r="AH101" s="33">
        <v>76.3</v>
      </c>
      <c r="AI101" s="33">
        <v>79.8</v>
      </c>
      <c r="AJ101" s="33">
        <v>81.099999999999994</v>
      </c>
      <c r="AK101" s="33">
        <v>158.96918099999999</v>
      </c>
      <c r="AL101" s="33">
        <v>58</v>
      </c>
      <c r="AM101" s="123">
        <v>10.614895885603191</v>
      </c>
      <c r="AN101" s="123">
        <v>12.495711320375767</v>
      </c>
      <c r="AO101" s="123">
        <v>55.526854183997749</v>
      </c>
      <c r="AP101" s="33">
        <v>14.37</v>
      </c>
      <c r="AQ101" s="33">
        <f t="shared" si="24"/>
        <v>0.1800751879699248</v>
      </c>
      <c r="AR101" s="33">
        <v>94.8</v>
      </c>
      <c r="AS101" s="33">
        <v>100.4</v>
      </c>
      <c r="AT101" s="33">
        <v>89.6</v>
      </c>
      <c r="AU101" s="33">
        <v>99.9</v>
      </c>
      <c r="AV101" s="65">
        <v>104.7</v>
      </c>
      <c r="AW101" s="33">
        <v>95.4</v>
      </c>
      <c r="AX101" s="33">
        <v>23.3</v>
      </c>
      <c r="AY101" s="33">
        <v>24.3</v>
      </c>
      <c r="AZ101" s="33">
        <v>13.7</v>
      </c>
      <c r="BA101" s="33">
        <v>12.3</v>
      </c>
      <c r="BB101" s="33">
        <v>87.8</v>
      </c>
      <c r="BC101" s="33">
        <v>94.7</v>
      </c>
      <c r="BD101" s="33">
        <v>81.5</v>
      </c>
      <c r="BE101" s="33">
        <v>-21.8</v>
      </c>
      <c r="BF101" s="33">
        <v>49.9</v>
      </c>
      <c r="BG101" s="33">
        <v>-14.6</v>
      </c>
      <c r="BH101" s="33">
        <v>147.9</v>
      </c>
      <c r="BI101" s="33">
        <v>52</v>
      </c>
      <c r="BJ101" s="34">
        <v>55.616195840000003</v>
      </c>
      <c r="BK101" s="45">
        <v>12.044950674321235</v>
      </c>
      <c r="BL101" s="45" t="s">
        <v>243</v>
      </c>
      <c r="BM101" s="33">
        <v>100.9674</v>
      </c>
      <c r="BN101" s="33">
        <v>100.8326</v>
      </c>
      <c r="BO101" s="33">
        <v>-9.4</v>
      </c>
      <c r="BP101" s="33">
        <v>-16</v>
      </c>
      <c r="BQ101" s="33">
        <v>3.3</v>
      </c>
      <c r="BR101" s="33">
        <v>13.3</v>
      </c>
      <c r="BS101" s="33">
        <v>5.4</v>
      </c>
      <c r="BT101" s="33">
        <v>-4.9000000000000004</v>
      </c>
      <c r="BU101" s="33">
        <v>0.2</v>
      </c>
      <c r="BV101" s="33">
        <v>39.6</v>
      </c>
      <c r="BW101" s="33">
        <v>-13.3</v>
      </c>
      <c r="BX101" s="33">
        <v>-20.8</v>
      </c>
      <c r="BY101" s="33">
        <v>-50.3</v>
      </c>
      <c r="BZ101" s="33">
        <v>107.9</v>
      </c>
      <c r="CA101" s="33">
        <v>-13.3</v>
      </c>
      <c r="CB101" s="33">
        <v>-10.199999999999999</v>
      </c>
      <c r="CC101" s="33">
        <v>0.2</v>
      </c>
      <c r="CD101" s="33">
        <v>-44</v>
      </c>
      <c r="CE101" s="33">
        <v>-29.4</v>
      </c>
      <c r="CF101" s="33">
        <v>20</v>
      </c>
      <c r="CG101" s="33">
        <v>51.9</v>
      </c>
      <c r="CH101" s="33">
        <v>49.1</v>
      </c>
      <c r="CI101" s="33">
        <v>-18</v>
      </c>
      <c r="CJ101" s="33">
        <v>-13.9</v>
      </c>
      <c r="CK101" s="33">
        <v>10.1</v>
      </c>
      <c r="CL101" s="33">
        <v>7.8</v>
      </c>
      <c r="CM101" s="33">
        <v>2572.522273</v>
      </c>
      <c r="CN101" s="33">
        <v>7908.24</v>
      </c>
      <c r="CO101" s="33">
        <v>963.59636399999999</v>
      </c>
      <c r="CP101" s="33">
        <v>6.2930000000000001</v>
      </c>
      <c r="CQ101" s="33">
        <v>5.75</v>
      </c>
      <c r="CR101" s="33">
        <v>102.2</v>
      </c>
      <c r="CS101" s="121">
        <f t="shared" si="16"/>
        <v>27.650000000000006</v>
      </c>
      <c r="CT101" s="33">
        <v>108.3</v>
      </c>
      <c r="CU101" s="33">
        <v>113.3</v>
      </c>
      <c r="CV101" s="33">
        <v>101.9</v>
      </c>
      <c r="CW101" s="33">
        <v>87.4</v>
      </c>
      <c r="CX101" s="33">
        <v>112.5</v>
      </c>
      <c r="CY101" s="33">
        <v>3.67</v>
      </c>
      <c r="CZ101" s="33">
        <v>21661.827000000001</v>
      </c>
      <c r="DA101" s="33">
        <v>2.8</v>
      </c>
      <c r="DB101" s="33">
        <v>17.760000000000002</v>
      </c>
      <c r="DC101" s="33">
        <v>22.43</v>
      </c>
      <c r="DD101" s="33">
        <v>7.83</v>
      </c>
      <c r="DE101" s="33">
        <v>4056.7860000000001</v>
      </c>
      <c r="DF101" s="33">
        <v>711.72500000000002</v>
      </c>
      <c r="DG101" s="33">
        <v>665.96</v>
      </c>
      <c r="DH101" s="33">
        <v>810.27700000000004</v>
      </c>
      <c r="DI101" s="33">
        <v>367.35700000000003</v>
      </c>
      <c r="DJ101" s="33">
        <v>98.197599999999994</v>
      </c>
      <c r="DK101" s="33">
        <v>97.687299999999993</v>
      </c>
      <c r="DL101" s="33">
        <v>97.34</v>
      </c>
      <c r="DM101" s="33">
        <v>96.619100000000003</v>
      </c>
      <c r="DN101" s="33">
        <v>100.8326</v>
      </c>
      <c r="DO101" s="33">
        <v>100.9674</v>
      </c>
      <c r="DP101" s="33">
        <v>100.80929999999999</v>
      </c>
      <c r="DQ101" s="33">
        <v>100.8899</v>
      </c>
      <c r="DR101" s="104">
        <v>84202</v>
      </c>
      <c r="DS101" s="104">
        <v>26960.893692848811</v>
      </c>
      <c r="DT101" s="104">
        <v>95.311057585692566</v>
      </c>
      <c r="DU101">
        <v>75.588829040527344</v>
      </c>
      <c r="DV101">
        <v>49.256679534912109</v>
      </c>
      <c r="DW101">
        <v>1231</v>
      </c>
      <c r="DX101">
        <v>337550</v>
      </c>
      <c r="DY101" s="102">
        <f t="shared" si="25"/>
        <v>61.8</v>
      </c>
    </row>
    <row r="102" spans="1:129" x14ac:dyDescent="0.25">
      <c r="A102" s="1">
        <v>35827</v>
      </c>
      <c r="B102" s="33">
        <v>79.8</v>
      </c>
      <c r="C102" s="88">
        <v>3.49</v>
      </c>
      <c r="D102" s="33">
        <v>2.5</v>
      </c>
      <c r="E102" s="72">
        <v>3.49</v>
      </c>
      <c r="F102" s="33">
        <v>4.3899999999999997</v>
      </c>
      <c r="G102" s="33">
        <v>4.7300000000000004</v>
      </c>
      <c r="H102" s="33">
        <v>4.99</v>
      </c>
      <c r="I102" s="33">
        <f t="shared" si="17"/>
        <v>1.5</v>
      </c>
      <c r="J102" s="33">
        <f t="shared" si="18"/>
        <v>2.4900000000000002</v>
      </c>
      <c r="K102" s="33">
        <f t="shared" si="19"/>
        <v>1.5</v>
      </c>
      <c r="L102" s="33">
        <f t="shared" si="20"/>
        <v>-0.99000000000000021</v>
      </c>
      <c r="M102" s="33">
        <v>99.6</v>
      </c>
      <c r="N102" s="33">
        <v>4522.8100000000004</v>
      </c>
      <c r="O102" s="33">
        <v>26.9</v>
      </c>
      <c r="P102" s="87">
        <v>633.80000000000007</v>
      </c>
      <c r="Q102" s="34">
        <f t="shared" si="21"/>
        <v>8.2849673202614387</v>
      </c>
      <c r="R102" s="71">
        <v>1091.091135564609</v>
      </c>
      <c r="S102" s="34">
        <f t="shared" si="22"/>
        <v>1426.2629223066783</v>
      </c>
      <c r="T102" s="71">
        <v>1135.3441856370539</v>
      </c>
      <c r="U102" s="34">
        <f t="shared" si="23"/>
        <v>1484.1100465843842</v>
      </c>
      <c r="V102" s="116">
        <v>645870</v>
      </c>
      <c r="W102" s="116">
        <v>1586035</v>
      </c>
      <c r="X102" s="117">
        <v>3656642</v>
      </c>
      <c r="Y102" s="117">
        <v>598797</v>
      </c>
      <c r="Z102" s="33">
        <v>75.3</v>
      </c>
      <c r="AA102" s="33">
        <v>60.1</v>
      </c>
      <c r="AB102" s="33">
        <v>77.599999999999994</v>
      </c>
      <c r="AC102" s="33">
        <v>55.5</v>
      </c>
      <c r="AD102" s="33">
        <v>38172</v>
      </c>
      <c r="AE102" s="33">
        <v>11.6</v>
      </c>
      <c r="AF102" s="33">
        <v>311</v>
      </c>
      <c r="AG102" s="33">
        <v>73.599999999999994</v>
      </c>
      <c r="AH102" s="33">
        <v>76.5</v>
      </c>
      <c r="AI102" s="33">
        <v>79.2</v>
      </c>
      <c r="AJ102" s="33">
        <v>81</v>
      </c>
      <c r="AK102" s="33">
        <v>158.96918099999999</v>
      </c>
      <c r="AL102" s="33">
        <v>58</v>
      </c>
      <c r="AM102" s="123">
        <v>10.527169473325479</v>
      </c>
      <c r="AN102" s="123">
        <v>11.826841128044219</v>
      </c>
      <c r="AO102" s="123">
        <v>57.086110619741831</v>
      </c>
      <c r="AP102" s="33">
        <v>13.3</v>
      </c>
      <c r="AQ102" s="33">
        <f t="shared" si="24"/>
        <v>0.16792929292929293</v>
      </c>
      <c r="AR102" s="33">
        <v>95.1</v>
      </c>
      <c r="AS102" s="33">
        <v>99.4</v>
      </c>
      <c r="AT102" s="33">
        <v>90.9</v>
      </c>
      <c r="AU102" s="33">
        <v>100.4</v>
      </c>
      <c r="AV102" s="65">
        <v>103.8</v>
      </c>
      <c r="AW102" s="33">
        <v>97.2</v>
      </c>
      <c r="AX102" s="33">
        <v>22.3</v>
      </c>
      <c r="AY102" s="33">
        <v>15</v>
      </c>
      <c r="AZ102" s="33">
        <v>17.3</v>
      </c>
      <c r="BA102" s="33">
        <v>10</v>
      </c>
      <c r="BB102" s="33">
        <v>88.6</v>
      </c>
      <c r="BC102" s="33">
        <v>93.7</v>
      </c>
      <c r="BD102" s="33">
        <v>83.7</v>
      </c>
      <c r="BE102" s="33">
        <v>-20.6</v>
      </c>
      <c r="BF102" s="33">
        <v>40.700000000000003</v>
      </c>
      <c r="BG102" s="33">
        <v>-19.600000000000001</v>
      </c>
      <c r="BH102" s="33">
        <v>148.30000000000001</v>
      </c>
      <c r="BI102" s="33">
        <v>31</v>
      </c>
      <c r="BJ102" s="34">
        <v>55.918650790000001</v>
      </c>
      <c r="BK102" s="45">
        <v>8.4862458456928955</v>
      </c>
      <c r="BL102" s="45" t="s">
        <v>243</v>
      </c>
      <c r="BM102" s="33">
        <v>100.93340000000001</v>
      </c>
      <c r="BN102" s="33">
        <v>100.8034</v>
      </c>
      <c r="BO102" s="33">
        <v>-10.7</v>
      </c>
      <c r="BP102" s="33">
        <v>-18.100000000000001</v>
      </c>
      <c r="BQ102" s="33">
        <v>3.5</v>
      </c>
      <c r="BR102" s="33">
        <v>9.8000000000000007</v>
      </c>
      <c r="BS102" s="33">
        <v>5.2</v>
      </c>
      <c r="BT102" s="33">
        <v>-4.5999999999999996</v>
      </c>
      <c r="BU102" s="33">
        <v>-1.4</v>
      </c>
      <c r="BV102" s="33">
        <v>40.200000000000003</v>
      </c>
      <c r="BW102" s="33">
        <v>-13.8</v>
      </c>
      <c r="BX102" s="33">
        <v>-21.5</v>
      </c>
      <c r="BY102" s="33">
        <v>-48.5</v>
      </c>
      <c r="BZ102" s="33">
        <v>107.2</v>
      </c>
      <c r="CA102" s="33">
        <v>-13.8</v>
      </c>
      <c r="CB102" s="33">
        <v>-9.5</v>
      </c>
      <c r="CC102" s="33">
        <v>-0.8</v>
      </c>
      <c r="CD102" s="33">
        <v>-43.3</v>
      </c>
      <c r="CE102" s="33">
        <v>-29.7</v>
      </c>
      <c r="CF102" s="33">
        <v>18.100000000000001</v>
      </c>
      <c r="CG102" s="33">
        <v>50.1</v>
      </c>
      <c r="CH102" s="33">
        <v>46.3</v>
      </c>
      <c r="CI102" s="33">
        <v>-12.7</v>
      </c>
      <c r="CJ102" s="33">
        <v>-15.2</v>
      </c>
      <c r="CK102" s="33">
        <v>7.9</v>
      </c>
      <c r="CL102" s="33">
        <v>9.8000000000000007</v>
      </c>
      <c r="CM102" s="33">
        <v>2762.1255000000001</v>
      </c>
      <c r="CN102" s="33">
        <v>8107.78</v>
      </c>
      <c r="CO102" s="33">
        <v>1023.5595</v>
      </c>
      <c r="CP102" s="33">
        <v>6.0759999999999996</v>
      </c>
      <c r="CQ102" s="33">
        <v>5.57</v>
      </c>
      <c r="CR102" s="33">
        <v>104.2</v>
      </c>
      <c r="CS102" s="121">
        <f t="shared" si="16"/>
        <v>28.150000000000006</v>
      </c>
      <c r="CT102" s="33">
        <v>108.8</v>
      </c>
      <c r="CU102" s="33">
        <v>112</v>
      </c>
      <c r="CV102" s="33">
        <v>100.3</v>
      </c>
      <c r="CW102" s="33">
        <v>91.6</v>
      </c>
      <c r="CX102" s="33">
        <v>110.6</v>
      </c>
      <c r="CY102" s="33">
        <v>3.74</v>
      </c>
      <c r="CZ102" s="33">
        <v>22572.826000000001</v>
      </c>
      <c r="DA102" s="33">
        <v>2.91</v>
      </c>
      <c r="DB102" s="33">
        <v>15.87</v>
      </c>
      <c r="DC102" s="33">
        <v>22.62</v>
      </c>
      <c r="DD102" s="33">
        <v>7.64</v>
      </c>
      <c r="DE102" s="33">
        <v>3797.143</v>
      </c>
      <c r="DF102" s="33">
        <v>744.245</v>
      </c>
      <c r="DG102" s="33">
        <v>716.34699999999998</v>
      </c>
      <c r="DH102" s="33">
        <v>805.12199999999996</v>
      </c>
      <c r="DI102" s="33">
        <v>402.24900000000002</v>
      </c>
      <c r="DJ102" s="33">
        <v>97.936300000000003</v>
      </c>
      <c r="DK102" s="33">
        <v>97.322199999999995</v>
      </c>
      <c r="DL102" s="33">
        <v>97.31</v>
      </c>
      <c r="DM102" s="33">
        <v>96.574700000000007</v>
      </c>
      <c r="DN102" s="33">
        <v>100.8034</v>
      </c>
      <c r="DO102" s="33">
        <v>100.93340000000001</v>
      </c>
      <c r="DP102" s="33">
        <v>100.748</v>
      </c>
      <c r="DQ102" s="33">
        <v>100.82250000000001</v>
      </c>
      <c r="DR102" s="104">
        <v>93182</v>
      </c>
      <c r="DS102" s="104">
        <v>26999.410274224349</v>
      </c>
      <c r="DT102" s="104">
        <v>95.496487658816477</v>
      </c>
      <c r="DU102">
        <v>72.00927734375</v>
      </c>
      <c r="DV102">
        <v>32.466571807861328</v>
      </c>
      <c r="DW102">
        <v>1054</v>
      </c>
      <c r="DX102">
        <v>368275</v>
      </c>
      <c r="DY102" s="102">
        <f t="shared" si="25"/>
        <v>62.400000000000006</v>
      </c>
    </row>
    <row r="103" spans="1:129" x14ac:dyDescent="0.25">
      <c r="A103" s="1">
        <v>35855</v>
      </c>
      <c r="B103" s="33">
        <v>80.7</v>
      </c>
      <c r="C103" s="88">
        <v>3.45</v>
      </c>
      <c r="D103" s="33">
        <v>2.5</v>
      </c>
      <c r="E103" s="72">
        <v>3.5</v>
      </c>
      <c r="F103" s="33">
        <v>4.37</v>
      </c>
      <c r="G103" s="33">
        <v>4.67</v>
      </c>
      <c r="H103" s="33">
        <v>4.9000000000000004</v>
      </c>
      <c r="I103" s="33">
        <f t="shared" si="17"/>
        <v>1.4500000000000002</v>
      </c>
      <c r="J103" s="33">
        <f t="shared" si="18"/>
        <v>2.4000000000000004</v>
      </c>
      <c r="K103" s="33">
        <f t="shared" si="19"/>
        <v>1.4000000000000004</v>
      </c>
      <c r="L103" s="33">
        <f t="shared" si="20"/>
        <v>-0.95000000000000018</v>
      </c>
      <c r="M103" s="33">
        <v>99.3</v>
      </c>
      <c r="N103" s="33">
        <v>4736.74</v>
      </c>
      <c r="O103" s="33">
        <v>20.85</v>
      </c>
      <c r="P103" s="87">
        <v>644.30000000000007</v>
      </c>
      <c r="Q103" s="34">
        <f t="shared" si="21"/>
        <v>8.4222222222222225</v>
      </c>
      <c r="R103" s="71">
        <v>1097.3842418258398</v>
      </c>
      <c r="S103" s="34">
        <f t="shared" si="22"/>
        <v>1434.4892050010978</v>
      </c>
      <c r="T103" s="71">
        <v>1142.1072896877486</v>
      </c>
      <c r="U103" s="34">
        <f t="shared" si="23"/>
        <v>1492.9507054741812</v>
      </c>
      <c r="V103" s="116">
        <v>641040</v>
      </c>
      <c r="W103" s="116">
        <v>1606018</v>
      </c>
      <c r="X103" s="117">
        <v>3666674</v>
      </c>
      <c r="Y103" s="117">
        <v>601247</v>
      </c>
      <c r="Z103" s="33">
        <v>75.8</v>
      </c>
      <c r="AA103" s="33">
        <v>61.3</v>
      </c>
      <c r="AB103" s="33">
        <v>79.5</v>
      </c>
      <c r="AC103" s="33">
        <v>57.3</v>
      </c>
      <c r="AD103" s="33">
        <v>38249</v>
      </c>
      <c r="AE103" s="33">
        <v>11.5</v>
      </c>
      <c r="AF103" s="33">
        <v>320</v>
      </c>
      <c r="AG103" s="33">
        <v>73.599999999999994</v>
      </c>
      <c r="AH103" s="33">
        <v>76.5</v>
      </c>
      <c r="AI103" s="33">
        <v>78.8</v>
      </c>
      <c r="AJ103" s="33">
        <v>81</v>
      </c>
      <c r="AK103" s="33">
        <v>158.79116400000001</v>
      </c>
      <c r="AL103" s="33">
        <v>58.1</v>
      </c>
      <c r="AM103" s="123">
        <v>9.8253581751037817</v>
      </c>
      <c r="AN103" s="123">
        <v>11.24469091707831</v>
      </c>
      <c r="AO103" s="123">
        <v>55.210424127950311</v>
      </c>
      <c r="AP103" s="33">
        <v>12.55</v>
      </c>
      <c r="AQ103" s="33">
        <f t="shared" si="24"/>
        <v>0.15926395939086296</v>
      </c>
      <c r="AR103" s="33">
        <v>95.8</v>
      </c>
      <c r="AS103" s="33">
        <v>99.5</v>
      </c>
      <c r="AT103" s="33">
        <v>92.2</v>
      </c>
      <c r="AU103" s="33">
        <v>100.8</v>
      </c>
      <c r="AV103" s="65">
        <v>103.7</v>
      </c>
      <c r="AW103" s="33">
        <v>97.9</v>
      </c>
      <c r="AX103" s="33">
        <v>21.7</v>
      </c>
      <c r="AY103" s="33">
        <v>17.899999999999999</v>
      </c>
      <c r="AZ103" s="33">
        <v>17</v>
      </c>
      <c r="BA103" s="33">
        <v>8</v>
      </c>
      <c r="BB103" s="33">
        <v>91.5</v>
      </c>
      <c r="BC103" s="33">
        <v>95.6</v>
      </c>
      <c r="BD103" s="33">
        <v>87.6</v>
      </c>
      <c r="BE103" s="33">
        <v>-18.899999999999999</v>
      </c>
      <c r="BF103" s="33">
        <v>51</v>
      </c>
      <c r="BG103" s="33">
        <v>-3.7</v>
      </c>
      <c r="BH103" s="33">
        <v>145.4</v>
      </c>
      <c r="BI103" s="33">
        <v>17.100000000000001</v>
      </c>
      <c r="BJ103" s="34">
        <v>56.239447370000001</v>
      </c>
      <c r="BK103" s="45">
        <v>15.821553178882606</v>
      </c>
      <c r="BL103" s="45" t="s">
        <v>243</v>
      </c>
      <c r="BM103" s="33">
        <v>100.88890000000001</v>
      </c>
      <c r="BN103" s="33">
        <v>100.76519999999999</v>
      </c>
      <c r="BO103" s="33">
        <v>-6.3</v>
      </c>
      <c r="BP103" s="33">
        <v>-15.8</v>
      </c>
      <c r="BQ103" s="33">
        <v>1.6</v>
      </c>
      <c r="BR103" s="33">
        <v>9.6</v>
      </c>
      <c r="BS103" s="33">
        <v>4.0999999999999996</v>
      </c>
      <c r="BT103" s="33">
        <v>-2.7</v>
      </c>
      <c r="BU103" s="33">
        <v>0.5</v>
      </c>
      <c r="BV103" s="33">
        <v>40.200000000000003</v>
      </c>
      <c r="BW103" s="33">
        <v>-11.2</v>
      </c>
      <c r="BX103" s="33">
        <v>-20.3</v>
      </c>
      <c r="BY103" s="33">
        <v>-48.6</v>
      </c>
      <c r="BZ103" s="33">
        <v>108.8</v>
      </c>
      <c r="CA103" s="33">
        <v>-11.2</v>
      </c>
      <c r="CB103" s="33">
        <v>-7.6</v>
      </c>
      <c r="CC103" s="33">
        <v>1.1000000000000001</v>
      </c>
      <c r="CD103" s="33">
        <v>-37.200000000000003</v>
      </c>
      <c r="CE103" s="33">
        <v>-24.4</v>
      </c>
      <c r="CF103" s="33">
        <v>14.7</v>
      </c>
      <c r="CG103" s="33">
        <v>47.7</v>
      </c>
      <c r="CH103" s="33">
        <v>42.5</v>
      </c>
      <c r="CI103" s="33">
        <v>-10.9</v>
      </c>
      <c r="CJ103" s="33">
        <v>-13.9</v>
      </c>
      <c r="CK103" s="33">
        <v>10.4</v>
      </c>
      <c r="CL103" s="33">
        <v>10</v>
      </c>
      <c r="CM103" s="33">
        <v>3029.0236359999999</v>
      </c>
      <c r="CN103" s="33">
        <v>8550.44</v>
      </c>
      <c r="CO103" s="33">
        <v>1076.8254549999999</v>
      </c>
      <c r="CP103" s="33">
        <v>6.03</v>
      </c>
      <c r="CQ103" s="33">
        <v>5.72</v>
      </c>
      <c r="CR103" s="33">
        <v>101.9</v>
      </c>
      <c r="CS103" s="121">
        <f t="shared" si="16"/>
        <v>27.650000000000006</v>
      </c>
      <c r="CT103" s="33">
        <v>111.7</v>
      </c>
      <c r="CU103" s="33">
        <v>114</v>
      </c>
      <c r="CV103" s="33">
        <v>99.2</v>
      </c>
      <c r="CW103" s="33">
        <v>88.6</v>
      </c>
      <c r="CX103" s="33">
        <v>105.6</v>
      </c>
      <c r="CY103" s="33">
        <v>3.94</v>
      </c>
      <c r="CZ103" s="33">
        <v>23494.272000000001</v>
      </c>
      <c r="DA103" s="33">
        <v>2.86</v>
      </c>
      <c r="DB103" s="33">
        <v>15.03</v>
      </c>
      <c r="DC103" s="33">
        <v>21.82</v>
      </c>
      <c r="DD103" s="33">
        <v>7.31</v>
      </c>
      <c r="DE103" s="33">
        <v>4435.9769999999999</v>
      </c>
      <c r="DF103" s="33">
        <v>900.37900000000002</v>
      </c>
      <c r="DG103" s="33">
        <v>861.48299999999995</v>
      </c>
      <c r="DH103" s="33">
        <v>903.64700000000005</v>
      </c>
      <c r="DI103" s="33">
        <v>480.72199999999998</v>
      </c>
      <c r="DJ103" s="33">
        <v>97.713899999999995</v>
      </c>
      <c r="DK103" s="33">
        <v>97.002499999999998</v>
      </c>
      <c r="DL103" s="33">
        <v>97.34</v>
      </c>
      <c r="DM103" s="33">
        <v>96.616600000000005</v>
      </c>
      <c r="DN103" s="33">
        <v>100.76519999999999</v>
      </c>
      <c r="DO103" s="33">
        <v>100.88890000000001</v>
      </c>
      <c r="DP103" s="33">
        <v>100.65600000000001</v>
      </c>
      <c r="DQ103" s="33">
        <v>100.7213</v>
      </c>
      <c r="DR103" s="104">
        <v>90128</v>
      </c>
      <c r="DS103" s="104">
        <v>27044.346285829139</v>
      </c>
      <c r="DT103" s="104">
        <v>96.330922987874089</v>
      </c>
      <c r="DU103">
        <v>108.40597534179688</v>
      </c>
      <c r="DV103">
        <v>79.800811767578125</v>
      </c>
      <c r="DW103">
        <v>1088</v>
      </c>
      <c r="DX103">
        <v>371825</v>
      </c>
      <c r="DY103" s="102">
        <f t="shared" si="25"/>
        <v>62.3</v>
      </c>
    </row>
    <row r="104" spans="1:129" x14ac:dyDescent="0.25">
      <c r="A104" s="1">
        <v>35886</v>
      </c>
      <c r="B104" s="33">
        <v>79.900000000000006</v>
      </c>
      <c r="C104" s="88">
        <v>3.41</v>
      </c>
      <c r="D104" s="33">
        <v>2.5</v>
      </c>
      <c r="E104" s="72">
        <v>3.61</v>
      </c>
      <c r="F104" s="33">
        <v>4.4800000000000004</v>
      </c>
      <c r="G104" s="33">
        <v>4.7300000000000004</v>
      </c>
      <c r="H104" s="33">
        <v>4.9000000000000004</v>
      </c>
      <c r="I104" s="33">
        <f t="shared" si="17"/>
        <v>1.4900000000000002</v>
      </c>
      <c r="J104" s="33">
        <f t="shared" si="18"/>
        <v>2.4000000000000004</v>
      </c>
      <c r="K104" s="33">
        <f t="shared" si="19"/>
        <v>1.2900000000000005</v>
      </c>
      <c r="L104" s="33">
        <f t="shared" si="20"/>
        <v>-0.91000000000000014</v>
      </c>
      <c r="M104" s="33">
        <v>99.8</v>
      </c>
      <c r="N104" s="33">
        <v>5154.21</v>
      </c>
      <c r="O104" s="33">
        <v>25.13</v>
      </c>
      <c r="P104" s="87">
        <v>659.1</v>
      </c>
      <c r="Q104" s="34">
        <f t="shared" si="21"/>
        <v>8.6156862745098035</v>
      </c>
      <c r="R104" s="71">
        <v>1106.8239012176859</v>
      </c>
      <c r="S104" s="34">
        <f t="shared" si="22"/>
        <v>1446.8286290427268</v>
      </c>
      <c r="T104" s="71">
        <v>1151.3470233908104</v>
      </c>
      <c r="U104" s="34">
        <f t="shared" si="23"/>
        <v>1505.0287887461573</v>
      </c>
      <c r="V104" s="116">
        <v>641565</v>
      </c>
      <c r="W104" s="116">
        <v>1619997</v>
      </c>
      <c r="X104" s="117">
        <v>3695000</v>
      </c>
      <c r="Y104" s="117">
        <v>603513</v>
      </c>
      <c r="Z104" s="33">
        <v>74.900000000000006</v>
      </c>
      <c r="AA104" s="33">
        <v>61.2</v>
      </c>
      <c r="AB104" s="33">
        <v>76.599999999999994</v>
      </c>
      <c r="AC104" s="33">
        <v>57.3</v>
      </c>
      <c r="AD104" s="33">
        <v>38325</v>
      </c>
      <c r="AE104" s="33">
        <v>11.3</v>
      </c>
      <c r="AF104" s="33">
        <v>328</v>
      </c>
      <c r="AG104" s="33">
        <v>73.7</v>
      </c>
      <c r="AH104" s="33">
        <v>76.5</v>
      </c>
      <c r="AI104" s="33">
        <v>78.5</v>
      </c>
      <c r="AJ104" s="33">
        <v>80.900000000000006</v>
      </c>
      <c r="AK104" s="33">
        <v>158.79116400000001</v>
      </c>
      <c r="AL104" s="33">
        <v>58.5</v>
      </c>
      <c r="AM104" s="123">
        <v>9.9605695261373199</v>
      </c>
      <c r="AN104" s="123">
        <v>11.509271879833095</v>
      </c>
      <c r="AO104" s="123">
        <v>55.126133404090837</v>
      </c>
      <c r="AP104" s="33">
        <v>12.79</v>
      </c>
      <c r="AQ104" s="33">
        <f t="shared" si="24"/>
        <v>0.16292993630573246</v>
      </c>
      <c r="AR104" s="33">
        <v>95.8</v>
      </c>
      <c r="AS104" s="33">
        <v>99.8</v>
      </c>
      <c r="AT104" s="33">
        <v>92</v>
      </c>
      <c r="AU104" s="33">
        <v>100.5</v>
      </c>
      <c r="AV104" s="65">
        <v>103</v>
      </c>
      <c r="AW104" s="33">
        <v>98.1</v>
      </c>
      <c r="AX104" s="33">
        <v>23.5</v>
      </c>
      <c r="AY104" s="33">
        <v>18.899999999999999</v>
      </c>
      <c r="AZ104" s="33">
        <v>17.3</v>
      </c>
      <c r="BA104" s="33">
        <v>6.8</v>
      </c>
      <c r="BB104" s="33">
        <v>90.2</v>
      </c>
      <c r="BC104" s="33">
        <v>95.2</v>
      </c>
      <c r="BD104" s="33">
        <v>85.4</v>
      </c>
      <c r="BE104" s="33">
        <v>-11.8</v>
      </c>
      <c r="BF104" s="33">
        <v>63.6</v>
      </c>
      <c r="BG104" s="33">
        <v>-2.5</v>
      </c>
      <c r="BH104" s="33">
        <v>148.6</v>
      </c>
      <c r="BI104" s="33">
        <v>5.0999999999999996</v>
      </c>
      <c r="BJ104" s="34">
        <v>55.785969649999998</v>
      </c>
      <c r="BK104" s="45">
        <v>4.2808655643575513</v>
      </c>
      <c r="BL104" s="45" t="s">
        <v>243</v>
      </c>
      <c r="BM104" s="33">
        <v>100.8124</v>
      </c>
      <c r="BN104" s="33">
        <v>100.6994</v>
      </c>
      <c r="BO104" s="33">
        <v>-9.1999999999999993</v>
      </c>
      <c r="BP104" s="33">
        <v>-17.100000000000001</v>
      </c>
      <c r="BQ104" s="33">
        <v>4.5</v>
      </c>
      <c r="BR104" s="33">
        <v>9.6</v>
      </c>
      <c r="BS104" s="33">
        <v>3.2</v>
      </c>
      <c r="BT104" s="33">
        <v>-2.4</v>
      </c>
      <c r="BU104" s="33">
        <v>-1.4</v>
      </c>
      <c r="BV104" s="33">
        <v>44.1</v>
      </c>
      <c r="BW104" s="33">
        <v>-11.4</v>
      </c>
      <c r="BX104" s="33">
        <v>-21.1</v>
      </c>
      <c r="BY104" s="33">
        <v>-45</v>
      </c>
      <c r="BZ104" s="33">
        <v>109</v>
      </c>
      <c r="CA104" s="33">
        <v>-11.4</v>
      </c>
      <c r="CB104" s="33">
        <v>-7.7</v>
      </c>
      <c r="CC104" s="33">
        <v>0.8</v>
      </c>
      <c r="CD104" s="33">
        <v>-36.799999999999997</v>
      </c>
      <c r="CE104" s="33">
        <v>-23.6</v>
      </c>
      <c r="CF104" s="33">
        <v>15.6</v>
      </c>
      <c r="CG104" s="33">
        <v>53.5</v>
      </c>
      <c r="CH104" s="33">
        <v>39.4</v>
      </c>
      <c r="CI104" s="33">
        <v>-13.6</v>
      </c>
      <c r="CJ104" s="33">
        <v>-15.2</v>
      </c>
      <c r="CK104" s="33">
        <v>10.3</v>
      </c>
      <c r="CL104" s="33">
        <v>9.5</v>
      </c>
      <c r="CM104" s="33">
        <v>3239.139545</v>
      </c>
      <c r="CN104" s="33">
        <v>8868.31</v>
      </c>
      <c r="CO104" s="33">
        <v>1112.126818</v>
      </c>
      <c r="CP104" s="33">
        <v>5.9080000000000004</v>
      </c>
      <c r="CQ104" s="33">
        <v>5.62</v>
      </c>
      <c r="CR104" s="33">
        <v>104.3</v>
      </c>
      <c r="CS104" s="121">
        <f t="shared" si="16"/>
        <v>24.75</v>
      </c>
      <c r="CT104" s="33">
        <v>110</v>
      </c>
      <c r="CU104" s="33">
        <v>110.4</v>
      </c>
      <c r="CV104" s="33">
        <v>99.5</v>
      </c>
      <c r="CW104" s="33">
        <v>80.8</v>
      </c>
      <c r="CX104" s="33">
        <v>106.8</v>
      </c>
      <c r="CY104" s="33">
        <v>3.95</v>
      </c>
      <c r="CZ104" s="33">
        <v>24616.271000000001</v>
      </c>
      <c r="DA104" s="33">
        <v>2.84</v>
      </c>
      <c r="DB104" s="33">
        <v>17.5</v>
      </c>
      <c r="DC104" s="33">
        <v>23.73</v>
      </c>
      <c r="DD104" s="33">
        <v>7.93</v>
      </c>
      <c r="DE104" s="33">
        <v>4103.9970000000003</v>
      </c>
      <c r="DF104" s="33">
        <v>810.54899999999998</v>
      </c>
      <c r="DG104" s="33">
        <v>737.66700000000003</v>
      </c>
      <c r="DH104" s="33">
        <v>775.92499999999995</v>
      </c>
      <c r="DI104" s="33">
        <v>526.54</v>
      </c>
      <c r="DJ104" s="33">
        <v>97.540599999999998</v>
      </c>
      <c r="DK104" s="33">
        <v>96.744299999999996</v>
      </c>
      <c r="DL104" s="33">
        <v>97.44</v>
      </c>
      <c r="DM104" s="33">
        <v>96.746499999999997</v>
      </c>
      <c r="DN104" s="33">
        <v>100.6994</v>
      </c>
      <c r="DO104" s="33">
        <v>100.8124</v>
      </c>
      <c r="DP104" s="33">
        <v>100.5305</v>
      </c>
      <c r="DQ104" s="33">
        <v>100.58329999999999</v>
      </c>
      <c r="DR104" s="104">
        <v>78956</v>
      </c>
      <c r="DS104" s="104">
        <v>27091.422107510341</v>
      </c>
      <c r="DT104" s="104">
        <v>96.979928243807777</v>
      </c>
      <c r="DU104">
        <v>86.597282409667969</v>
      </c>
      <c r="DV104">
        <v>42.082004547119141</v>
      </c>
      <c r="DW104">
        <v>960</v>
      </c>
      <c r="DX104">
        <v>340275</v>
      </c>
      <c r="DY104" s="102">
        <f t="shared" si="25"/>
        <v>63.2</v>
      </c>
    </row>
    <row r="105" spans="1:129" x14ac:dyDescent="0.25">
      <c r="A105" s="1">
        <v>35916</v>
      </c>
      <c r="B105" s="33">
        <v>80.400000000000006</v>
      </c>
      <c r="C105" s="88">
        <v>3.41</v>
      </c>
      <c r="D105" s="33">
        <v>2.5</v>
      </c>
      <c r="E105" s="72">
        <v>3.6</v>
      </c>
      <c r="F105" s="33">
        <v>4.5199999999999996</v>
      </c>
      <c r="G105" s="33">
        <v>4.78</v>
      </c>
      <c r="H105" s="33">
        <v>4.96</v>
      </c>
      <c r="I105" s="33">
        <f t="shared" si="17"/>
        <v>1.5499999999999998</v>
      </c>
      <c r="J105" s="33">
        <f t="shared" si="18"/>
        <v>2.46</v>
      </c>
      <c r="K105" s="33">
        <f t="shared" si="19"/>
        <v>1.3599999999999999</v>
      </c>
      <c r="L105" s="33">
        <f t="shared" si="20"/>
        <v>-0.91000000000000014</v>
      </c>
      <c r="M105" s="33">
        <v>101.1</v>
      </c>
      <c r="N105" s="33">
        <v>5107.4399999999996</v>
      </c>
      <c r="O105" s="33">
        <v>26.66</v>
      </c>
      <c r="P105" s="87">
        <v>654.40000000000009</v>
      </c>
      <c r="Q105" s="34">
        <f t="shared" si="21"/>
        <v>8.5097529258777644</v>
      </c>
      <c r="R105" s="71">
        <v>1106.4425008382175</v>
      </c>
      <c r="S105" s="34">
        <f t="shared" si="22"/>
        <v>1438.8068931576299</v>
      </c>
      <c r="T105" s="71">
        <v>1151.8232983239579</v>
      </c>
      <c r="U105" s="34">
        <f t="shared" si="23"/>
        <v>1497.8196337112586</v>
      </c>
      <c r="V105" s="116">
        <v>640135</v>
      </c>
      <c r="W105" s="116">
        <v>1633711</v>
      </c>
      <c r="X105" s="117">
        <v>3718207</v>
      </c>
      <c r="Y105" s="117">
        <v>597826</v>
      </c>
      <c r="Z105" s="33">
        <v>75.5</v>
      </c>
      <c r="AA105" s="33">
        <v>60.3</v>
      </c>
      <c r="AB105" s="33">
        <v>77.599999999999994</v>
      </c>
      <c r="AC105" s="33">
        <v>55.9</v>
      </c>
      <c r="AD105" s="33">
        <v>38392</v>
      </c>
      <c r="AE105" s="33">
        <v>11.2</v>
      </c>
      <c r="AF105" s="33">
        <v>338</v>
      </c>
      <c r="AG105" s="33">
        <v>74.099999999999994</v>
      </c>
      <c r="AH105" s="33">
        <v>76.900000000000006</v>
      </c>
      <c r="AI105" s="33">
        <v>77.900000000000006</v>
      </c>
      <c r="AJ105" s="33">
        <v>80.8</v>
      </c>
      <c r="AK105" s="33">
        <v>158.79116400000001</v>
      </c>
      <c r="AL105" s="33">
        <v>58.7</v>
      </c>
      <c r="AM105" s="123">
        <v>9.9828526794396399</v>
      </c>
      <c r="AN105" s="123">
        <v>11.509271879833095</v>
      </c>
      <c r="AO105" s="123">
        <v>53.487912500551722</v>
      </c>
      <c r="AP105" s="33">
        <v>13.15</v>
      </c>
      <c r="AQ105" s="33">
        <f t="shared" si="24"/>
        <v>0.16880616174582797</v>
      </c>
      <c r="AR105" s="33">
        <v>95.1</v>
      </c>
      <c r="AS105" s="33">
        <v>99.3</v>
      </c>
      <c r="AT105" s="33">
        <v>91.1</v>
      </c>
      <c r="AU105" s="33">
        <v>99.9</v>
      </c>
      <c r="AV105" s="65">
        <v>102.3</v>
      </c>
      <c r="AW105" s="33">
        <v>97.6</v>
      </c>
      <c r="AX105" s="33">
        <v>23.1</v>
      </c>
      <c r="AY105" s="33">
        <v>15.7</v>
      </c>
      <c r="AZ105" s="33">
        <v>16.3</v>
      </c>
      <c r="BA105" s="33">
        <v>7.9</v>
      </c>
      <c r="BB105" s="33">
        <v>89.1</v>
      </c>
      <c r="BC105" s="33">
        <v>94.5</v>
      </c>
      <c r="BD105" s="33">
        <v>84</v>
      </c>
      <c r="BE105" s="33">
        <v>-7.7</v>
      </c>
      <c r="BF105" s="33">
        <v>64.2</v>
      </c>
      <c r="BG105" s="33">
        <v>4</v>
      </c>
      <c r="BH105" s="33">
        <v>151.19999999999999</v>
      </c>
      <c r="BI105" s="33">
        <v>1.7</v>
      </c>
      <c r="BJ105" s="34">
        <v>55.584925579999997</v>
      </c>
      <c r="BK105" s="45">
        <v>-14.952990021855051</v>
      </c>
      <c r="BL105" s="45" t="s">
        <v>243</v>
      </c>
      <c r="BM105" s="33">
        <v>100.6926</v>
      </c>
      <c r="BN105" s="33">
        <v>100.59650000000001</v>
      </c>
      <c r="BO105" s="33">
        <v>-10</v>
      </c>
      <c r="BP105" s="33">
        <v>-15.4</v>
      </c>
      <c r="BQ105" s="33">
        <v>6</v>
      </c>
      <c r="BR105" s="33">
        <v>7.2</v>
      </c>
      <c r="BS105" s="33">
        <v>2.6</v>
      </c>
      <c r="BT105" s="33">
        <v>-4</v>
      </c>
      <c r="BU105" s="33">
        <v>-3</v>
      </c>
      <c r="BV105" s="33">
        <v>44.3</v>
      </c>
      <c r="BW105" s="33">
        <v>-10.9</v>
      </c>
      <c r="BX105" s="33">
        <v>-21.5</v>
      </c>
      <c r="BY105" s="33">
        <v>-44.2</v>
      </c>
      <c r="BZ105" s="33">
        <v>108.5</v>
      </c>
      <c r="CA105" s="33">
        <v>-10.9</v>
      </c>
      <c r="CB105" s="33">
        <v>-8.9</v>
      </c>
      <c r="CC105" s="33">
        <v>1.3</v>
      </c>
      <c r="CD105" s="33">
        <v>-34.1</v>
      </c>
      <c r="CE105" s="33">
        <v>-20.5</v>
      </c>
      <c r="CF105" s="33">
        <v>16.8</v>
      </c>
      <c r="CG105" s="33">
        <v>43.2</v>
      </c>
      <c r="CH105" s="33">
        <v>36.200000000000003</v>
      </c>
      <c r="CI105" s="33">
        <v>-16.100000000000001</v>
      </c>
      <c r="CJ105" s="33">
        <v>-15.5</v>
      </c>
      <c r="CK105" s="33">
        <v>9.1</v>
      </c>
      <c r="CL105" s="33">
        <v>8.1999999999999993</v>
      </c>
      <c r="CM105" s="33">
        <v>3312.4485709999999</v>
      </c>
      <c r="CN105" s="33">
        <v>9147.06</v>
      </c>
      <c r="CO105" s="33">
        <v>1108.514762</v>
      </c>
      <c r="CP105" s="33">
        <v>5.7469999999999999</v>
      </c>
      <c r="CQ105" s="33">
        <v>5.67</v>
      </c>
      <c r="CR105" s="33">
        <v>101.7</v>
      </c>
      <c r="CS105" s="121">
        <f t="shared" si="16"/>
        <v>26.450000000000003</v>
      </c>
      <c r="CT105" s="33">
        <v>110.4</v>
      </c>
      <c r="CU105" s="33">
        <v>111.5</v>
      </c>
      <c r="CV105" s="33">
        <v>100.1</v>
      </c>
      <c r="CW105" s="33">
        <v>75.099999999999994</v>
      </c>
      <c r="CX105" s="33">
        <v>103.1</v>
      </c>
      <c r="CY105" s="33">
        <v>3.78</v>
      </c>
      <c r="CZ105" s="33">
        <v>22410.620999999999</v>
      </c>
      <c r="DA105" s="33">
        <v>2.81</v>
      </c>
      <c r="DB105" s="33">
        <v>15.14</v>
      </c>
      <c r="DC105" s="33">
        <v>22.88</v>
      </c>
      <c r="DD105" s="33">
        <v>7.34</v>
      </c>
      <c r="DE105" s="33">
        <v>3982.6239999999998</v>
      </c>
      <c r="DF105" s="33">
        <v>821.52099999999996</v>
      </c>
      <c r="DG105" s="33">
        <v>737.67</v>
      </c>
      <c r="DH105" s="33">
        <v>689.58399999999995</v>
      </c>
      <c r="DI105" s="33">
        <v>498.762</v>
      </c>
      <c r="DJ105" s="33">
        <v>97.428200000000004</v>
      </c>
      <c r="DK105" s="33">
        <v>96.567800000000005</v>
      </c>
      <c r="DL105" s="33">
        <v>97.61</v>
      </c>
      <c r="DM105" s="33">
        <v>96.956900000000005</v>
      </c>
      <c r="DN105" s="33">
        <v>100.59650000000001</v>
      </c>
      <c r="DO105" s="33">
        <v>100.6926</v>
      </c>
      <c r="DP105" s="33">
        <v>100.37269999999999</v>
      </c>
      <c r="DQ105" s="33">
        <v>100.4096</v>
      </c>
      <c r="DR105" s="104">
        <v>72499</v>
      </c>
      <c r="DS105" s="104">
        <v>27144.204089395338</v>
      </c>
      <c r="DT105" s="104">
        <v>97.258073353493671</v>
      </c>
      <c r="DU105">
        <v>100.44387817382813</v>
      </c>
      <c r="DV105">
        <v>103.61316680908203</v>
      </c>
      <c r="DW105">
        <v>1001</v>
      </c>
      <c r="DX105">
        <v>260875</v>
      </c>
      <c r="DY105" s="102">
        <f t="shared" si="25"/>
        <v>62.400000000000006</v>
      </c>
    </row>
    <row r="106" spans="1:129" x14ac:dyDescent="0.25">
      <c r="A106" s="1">
        <v>35947</v>
      </c>
      <c r="B106" s="33">
        <v>80</v>
      </c>
      <c r="C106" s="88">
        <v>3.47</v>
      </c>
      <c r="D106" s="33">
        <v>2.5</v>
      </c>
      <c r="E106" s="72">
        <v>3.54</v>
      </c>
      <c r="F106" s="33">
        <v>4.3899999999999997</v>
      </c>
      <c r="G106" s="33">
        <v>4.63</v>
      </c>
      <c r="H106" s="33">
        <v>4.8</v>
      </c>
      <c r="I106" s="33">
        <f t="shared" si="17"/>
        <v>1.3299999999999996</v>
      </c>
      <c r="J106" s="33">
        <f t="shared" si="18"/>
        <v>2.2999999999999998</v>
      </c>
      <c r="K106" s="33">
        <f t="shared" si="19"/>
        <v>1.2599999999999998</v>
      </c>
      <c r="L106" s="33">
        <f t="shared" si="20"/>
        <v>-0.9700000000000002</v>
      </c>
      <c r="M106" s="33">
        <v>100.9</v>
      </c>
      <c r="N106" s="33">
        <v>5569.08</v>
      </c>
      <c r="O106" s="33">
        <v>23.47</v>
      </c>
      <c r="P106" s="87">
        <v>663.5</v>
      </c>
      <c r="Q106" s="34">
        <f t="shared" si="21"/>
        <v>8.6280884265279578</v>
      </c>
      <c r="R106" s="71">
        <v>1111.9728063405112</v>
      </c>
      <c r="S106" s="34">
        <f t="shared" si="22"/>
        <v>1445.9984477769974</v>
      </c>
      <c r="T106" s="71">
        <v>1158.3006374147642</v>
      </c>
      <c r="U106" s="34">
        <f t="shared" si="23"/>
        <v>1506.2427014496284</v>
      </c>
      <c r="V106" s="116">
        <v>624616</v>
      </c>
      <c r="W106" s="116">
        <v>1657166</v>
      </c>
      <c r="X106" s="117">
        <v>3742800</v>
      </c>
      <c r="Y106" s="117">
        <v>598143</v>
      </c>
      <c r="Z106" s="33">
        <v>75</v>
      </c>
      <c r="AA106" s="33">
        <v>60.4</v>
      </c>
      <c r="AB106" s="33">
        <v>80</v>
      </c>
      <c r="AC106" s="33">
        <v>55.5</v>
      </c>
      <c r="AD106" s="33">
        <v>38460</v>
      </c>
      <c r="AE106" s="33">
        <v>11</v>
      </c>
      <c r="AF106" s="33">
        <v>343</v>
      </c>
      <c r="AG106" s="33">
        <v>74.099999999999994</v>
      </c>
      <c r="AH106" s="33">
        <v>76.900000000000006</v>
      </c>
      <c r="AI106" s="33">
        <v>77.599999999999994</v>
      </c>
      <c r="AJ106" s="33">
        <v>80.7</v>
      </c>
      <c r="AK106" s="33">
        <v>158.613147</v>
      </c>
      <c r="AL106" s="33">
        <v>58.7</v>
      </c>
      <c r="AM106" s="123">
        <v>9.5165623207397019</v>
      </c>
      <c r="AN106" s="123">
        <v>10.897076567076015</v>
      </c>
      <c r="AO106" s="123">
        <v>52.088997865921911</v>
      </c>
      <c r="AP106" s="33">
        <v>11.94</v>
      </c>
      <c r="AQ106" s="33">
        <f t="shared" si="24"/>
        <v>0.15386597938144331</v>
      </c>
      <c r="AR106" s="33">
        <v>94.5</v>
      </c>
      <c r="AS106" s="33">
        <v>98.7</v>
      </c>
      <c r="AT106" s="33">
        <v>90.5</v>
      </c>
      <c r="AU106" s="33">
        <v>99.2</v>
      </c>
      <c r="AV106" s="65">
        <v>101.4</v>
      </c>
      <c r="AW106" s="33">
        <v>97</v>
      </c>
      <c r="AX106" s="33">
        <v>20</v>
      </c>
      <c r="AY106" s="33">
        <v>11.4</v>
      </c>
      <c r="AZ106" s="33">
        <v>11.9</v>
      </c>
      <c r="BA106" s="33">
        <v>5.9</v>
      </c>
      <c r="BB106" s="33">
        <v>87.9</v>
      </c>
      <c r="BC106" s="33">
        <v>92.7</v>
      </c>
      <c r="BD106" s="33">
        <v>83.3</v>
      </c>
      <c r="BE106" s="33">
        <v>-0.7</v>
      </c>
      <c r="BF106" s="33">
        <v>68.7</v>
      </c>
      <c r="BG106" s="33">
        <v>10.5</v>
      </c>
      <c r="BH106" s="33">
        <v>152.19999999999999</v>
      </c>
      <c r="BI106" s="33">
        <v>1.8</v>
      </c>
      <c r="BJ106" s="34">
        <v>56.401617360000003</v>
      </c>
      <c r="BK106" s="45">
        <v>-34.156326531406151</v>
      </c>
      <c r="BL106" s="45" t="s">
        <v>243</v>
      </c>
      <c r="BM106" s="33">
        <v>100.53149999999999</v>
      </c>
      <c r="BN106" s="33">
        <v>100.4581</v>
      </c>
      <c r="BO106" s="33">
        <v>-8.8000000000000007</v>
      </c>
      <c r="BP106" s="33">
        <v>-17.5</v>
      </c>
      <c r="BQ106" s="33">
        <v>6</v>
      </c>
      <c r="BR106" s="33">
        <v>5.2</v>
      </c>
      <c r="BS106" s="33">
        <v>2.6</v>
      </c>
      <c r="BT106" s="33">
        <v>-5.9</v>
      </c>
      <c r="BU106" s="33">
        <v>-3.2</v>
      </c>
      <c r="BV106" s="33">
        <v>44.5</v>
      </c>
      <c r="BW106" s="33">
        <v>-9.4</v>
      </c>
      <c r="BX106" s="33">
        <v>-22</v>
      </c>
      <c r="BY106" s="33">
        <v>-43.6</v>
      </c>
      <c r="BZ106" s="33">
        <v>108.9</v>
      </c>
      <c r="CA106" s="33">
        <v>-9.4</v>
      </c>
      <c r="CB106" s="33">
        <v>-7.8</v>
      </c>
      <c r="CC106" s="33">
        <v>1.4</v>
      </c>
      <c r="CD106" s="33">
        <v>-30.2</v>
      </c>
      <c r="CE106" s="33">
        <v>-19</v>
      </c>
      <c r="CF106" s="33">
        <v>16.600000000000001</v>
      </c>
      <c r="CG106" s="33">
        <v>41.1</v>
      </c>
      <c r="CH106" s="33">
        <v>32.5</v>
      </c>
      <c r="CI106" s="33">
        <v>-12.5</v>
      </c>
      <c r="CJ106" s="33">
        <v>-12.4</v>
      </c>
      <c r="CK106" s="33">
        <v>11.8</v>
      </c>
      <c r="CL106" s="33">
        <v>9.9</v>
      </c>
      <c r="CM106" s="33">
        <v>3355.576818</v>
      </c>
      <c r="CN106" s="33">
        <v>8922.3700000000008</v>
      </c>
      <c r="CO106" s="33">
        <v>1108.389545</v>
      </c>
      <c r="CP106" s="33">
        <v>5.6580000000000004</v>
      </c>
      <c r="CQ106" s="33">
        <v>5.53</v>
      </c>
      <c r="CR106" s="33">
        <v>99.3</v>
      </c>
      <c r="CS106" s="121">
        <f t="shared" si="16"/>
        <v>26.049999999999997</v>
      </c>
      <c r="CT106" s="33">
        <v>114.1</v>
      </c>
      <c r="CU106" s="33">
        <v>115.7</v>
      </c>
      <c r="CV106" s="33">
        <v>100.4</v>
      </c>
      <c r="CW106" s="33">
        <v>83.7</v>
      </c>
      <c r="CX106" s="33">
        <v>104.4</v>
      </c>
      <c r="CY106" s="33">
        <v>3.73</v>
      </c>
      <c r="CZ106" s="33">
        <v>24536.048999999999</v>
      </c>
      <c r="DA106" s="33">
        <v>2.9</v>
      </c>
      <c r="DB106" s="33">
        <v>16.55</v>
      </c>
      <c r="DC106" s="33">
        <v>23.64</v>
      </c>
      <c r="DD106" s="33">
        <v>7.32</v>
      </c>
      <c r="DE106" s="33">
        <v>3758.2579999999998</v>
      </c>
      <c r="DF106" s="33">
        <v>723.78499999999997</v>
      </c>
      <c r="DG106" s="33">
        <v>708.77300000000002</v>
      </c>
      <c r="DH106" s="33">
        <v>697.24900000000002</v>
      </c>
      <c r="DI106" s="33">
        <v>542.55999999999995</v>
      </c>
      <c r="DJ106" s="33">
        <v>97.389600000000002</v>
      </c>
      <c r="DK106" s="33">
        <v>96.496499999999997</v>
      </c>
      <c r="DL106" s="33">
        <v>97.82</v>
      </c>
      <c r="DM106" s="33">
        <v>97.230900000000005</v>
      </c>
      <c r="DN106" s="33">
        <v>100.4581</v>
      </c>
      <c r="DO106" s="33">
        <v>100.53149999999999</v>
      </c>
      <c r="DP106" s="33">
        <v>100.19289999999999</v>
      </c>
      <c r="DQ106" s="33">
        <v>100.2119</v>
      </c>
      <c r="DR106" s="104">
        <v>67604</v>
      </c>
      <c r="DS106" s="104">
        <v>27181.294130719925</v>
      </c>
      <c r="DT106" s="104">
        <v>96.60906809755997</v>
      </c>
      <c r="DU106">
        <v>79.882987976074219</v>
      </c>
      <c r="DV106">
        <v>73.613227844238281</v>
      </c>
      <c r="DW106">
        <v>941</v>
      </c>
      <c r="DX106">
        <v>261250</v>
      </c>
      <c r="DY106" s="102">
        <f t="shared" si="25"/>
        <v>62.900000000000006</v>
      </c>
    </row>
    <row r="107" spans="1:129" x14ac:dyDescent="0.25">
      <c r="A107" s="1">
        <v>35977</v>
      </c>
      <c r="B107" s="33">
        <v>81.599999999999994</v>
      </c>
      <c r="C107" s="88">
        <v>3.39</v>
      </c>
      <c r="D107" s="33">
        <v>2.5</v>
      </c>
      <c r="E107" s="72">
        <v>3.52</v>
      </c>
      <c r="F107" s="33">
        <v>4.29</v>
      </c>
      <c r="G107" s="33">
        <v>4.55</v>
      </c>
      <c r="H107" s="33">
        <v>4.68</v>
      </c>
      <c r="I107" s="33">
        <f t="shared" si="17"/>
        <v>1.2899999999999996</v>
      </c>
      <c r="J107" s="33">
        <f t="shared" si="18"/>
        <v>2.1799999999999997</v>
      </c>
      <c r="K107" s="33">
        <f t="shared" si="19"/>
        <v>1.1599999999999997</v>
      </c>
      <c r="L107" s="33">
        <f t="shared" si="20"/>
        <v>-0.89000000000000012</v>
      </c>
      <c r="M107" s="33">
        <v>100.9</v>
      </c>
      <c r="N107" s="33">
        <v>5906.85</v>
      </c>
      <c r="O107" s="33">
        <v>25.25</v>
      </c>
      <c r="P107" s="87">
        <v>660.80000000000007</v>
      </c>
      <c r="Q107" s="34">
        <f t="shared" si="21"/>
        <v>8.5929778933680101</v>
      </c>
      <c r="R107" s="71">
        <v>1115.2147095659936</v>
      </c>
      <c r="S107" s="34">
        <f t="shared" si="22"/>
        <v>1450.2141866917991</v>
      </c>
      <c r="T107" s="71">
        <v>1163.4444066927574</v>
      </c>
      <c r="U107" s="34">
        <f t="shared" si="23"/>
        <v>1512.9316081830393</v>
      </c>
      <c r="V107" s="116">
        <v>625353</v>
      </c>
      <c r="W107" s="116">
        <v>1652445</v>
      </c>
      <c r="X107" s="117">
        <v>3735036</v>
      </c>
      <c r="Y107" s="117">
        <v>627613</v>
      </c>
      <c r="Z107" s="33">
        <v>75.900000000000006</v>
      </c>
      <c r="AA107" s="33">
        <v>60.4</v>
      </c>
      <c r="AB107" s="33">
        <v>77.5</v>
      </c>
      <c r="AC107" s="33">
        <v>57</v>
      </c>
      <c r="AD107" s="33">
        <v>38537</v>
      </c>
      <c r="AE107" s="33">
        <v>10.9</v>
      </c>
      <c r="AF107" s="33">
        <v>349</v>
      </c>
      <c r="AG107" s="33">
        <v>74.2</v>
      </c>
      <c r="AH107" s="33">
        <v>76.900000000000006</v>
      </c>
      <c r="AI107" s="33">
        <v>77.3</v>
      </c>
      <c r="AJ107" s="33">
        <v>80.599999999999994</v>
      </c>
      <c r="AK107" s="33">
        <v>158.257113</v>
      </c>
      <c r="AL107" s="33">
        <v>79.599999999999994</v>
      </c>
      <c r="AM107" s="123">
        <v>9.256428498760485</v>
      </c>
      <c r="AN107" s="123">
        <v>10.551636099531819</v>
      </c>
      <c r="AO107" s="123">
        <v>50.931464580012538</v>
      </c>
      <c r="AP107" s="33">
        <v>11.49</v>
      </c>
      <c r="AQ107" s="33">
        <f t="shared" si="24"/>
        <v>0.14864165588615783</v>
      </c>
      <c r="AR107" s="33">
        <v>94.7</v>
      </c>
      <c r="AS107" s="33">
        <v>98.8</v>
      </c>
      <c r="AT107" s="33">
        <v>90.8</v>
      </c>
      <c r="AU107" s="33">
        <v>98.8</v>
      </c>
      <c r="AV107" s="65">
        <v>101.4</v>
      </c>
      <c r="AW107" s="33">
        <v>96.3</v>
      </c>
      <c r="AX107" s="33">
        <v>18.600000000000001</v>
      </c>
      <c r="AY107" s="33">
        <v>7.6</v>
      </c>
      <c r="AZ107" s="33">
        <v>10.1</v>
      </c>
      <c r="BA107" s="33">
        <v>1.5</v>
      </c>
      <c r="BB107" s="33">
        <v>88.9</v>
      </c>
      <c r="BC107" s="33">
        <v>94.2</v>
      </c>
      <c r="BD107" s="33">
        <v>83.9</v>
      </c>
      <c r="BE107" s="33">
        <v>6.9</v>
      </c>
      <c r="BF107" s="33">
        <v>68.400000000000006</v>
      </c>
      <c r="BG107" s="33">
        <v>38.700000000000003</v>
      </c>
      <c r="BH107" s="33">
        <v>153.1</v>
      </c>
      <c r="BI107" s="33">
        <v>2.8</v>
      </c>
      <c r="BJ107" s="34">
        <v>55.434027520000001</v>
      </c>
      <c r="BK107" s="45">
        <v>-47.808370851406416</v>
      </c>
      <c r="BL107" s="45" t="s">
        <v>243</v>
      </c>
      <c r="BM107" s="33">
        <v>100.32940000000001</v>
      </c>
      <c r="BN107" s="33">
        <v>100.28449999999999</v>
      </c>
      <c r="BO107" s="33">
        <v>-10.1</v>
      </c>
      <c r="BP107" s="33">
        <v>-18.7</v>
      </c>
      <c r="BQ107" s="33">
        <v>7.9</v>
      </c>
      <c r="BR107" s="33">
        <v>4.9000000000000004</v>
      </c>
      <c r="BS107" s="33">
        <v>1.6</v>
      </c>
      <c r="BT107" s="33">
        <v>-4.0999999999999996</v>
      </c>
      <c r="BU107" s="33">
        <v>-4.4000000000000004</v>
      </c>
      <c r="BV107" s="33">
        <v>46.6</v>
      </c>
      <c r="BW107" s="33">
        <v>-5.8</v>
      </c>
      <c r="BX107" s="33">
        <v>-17.5</v>
      </c>
      <c r="BY107" s="33">
        <v>-40</v>
      </c>
      <c r="BZ107" s="33">
        <v>110.5</v>
      </c>
      <c r="CA107" s="33">
        <v>-5.8</v>
      </c>
      <c r="CB107" s="33">
        <v>-4.2</v>
      </c>
      <c r="CC107" s="33">
        <v>4.5999999999999996</v>
      </c>
      <c r="CD107" s="33">
        <v>-21.7</v>
      </c>
      <c r="CE107" s="33">
        <v>-13.8</v>
      </c>
      <c r="CF107" s="33">
        <v>13</v>
      </c>
      <c r="CG107" s="33">
        <v>37.200000000000003</v>
      </c>
      <c r="CH107" s="33">
        <v>28</v>
      </c>
      <c r="CI107" s="33">
        <v>-9.5</v>
      </c>
      <c r="CJ107" s="33">
        <v>-9.9</v>
      </c>
      <c r="CK107" s="33">
        <v>14</v>
      </c>
      <c r="CL107" s="33">
        <v>10.6</v>
      </c>
      <c r="CM107" s="33">
        <v>3552.03087</v>
      </c>
      <c r="CN107" s="33">
        <v>9048.66</v>
      </c>
      <c r="CO107" s="33">
        <v>1156.1356519999999</v>
      </c>
      <c r="CP107" s="33">
        <v>5.84</v>
      </c>
      <c r="CQ107" s="33">
        <v>5.44</v>
      </c>
      <c r="CR107" s="33">
        <v>100</v>
      </c>
      <c r="CS107" s="121">
        <f t="shared" si="16"/>
        <v>22.350000000000009</v>
      </c>
      <c r="CT107" s="33">
        <v>114.2</v>
      </c>
      <c r="CU107" s="33">
        <v>114.6</v>
      </c>
      <c r="CV107" s="33">
        <v>105.6</v>
      </c>
      <c r="CW107" s="33">
        <v>81.3</v>
      </c>
      <c r="CX107" s="33">
        <v>103.3</v>
      </c>
      <c r="CY107" s="33">
        <v>3.87</v>
      </c>
      <c r="CZ107" s="33">
        <v>24119.315999999999</v>
      </c>
      <c r="DA107" s="33">
        <v>2.95</v>
      </c>
      <c r="DB107" s="33">
        <v>16.670000000000002</v>
      </c>
      <c r="DC107" s="33">
        <v>24.11</v>
      </c>
      <c r="DD107" s="33">
        <v>7.61</v>
      </c>
      <c r="DE107" s="33">
        <v>4294.2290000000003</v>
      </c>
      <c r="DF107" s="33">
        <v>880.74400000000003</v>
      </c>
      <c r="DG107" s="33">
        <v>763.47500000000002</v>
      </c>
      <c r="DH107" s="33">
        <v>881.60900000000004</v>
      </c>
      <c r="DI107" s="33">
        <v>555.96400000000006</v>
      </c>
      <c r="DJ107" s="33">
        <v>97.430599999999998</v>
      </c>
      <c r="DK107" s="33">
        <v>96.542199999999994</v>
      </c>
      <c r="DL107" s="33">
        <v>98.08</v>
      </c>
      <c r="DM107" s="33">
        <v>97.555800000000005</v>
      </c>
      <c r="DN107" s="33">
        <v>100.28449999999999</v>
      </c>
      <c r="DO107" s="33">
        <v>100.32940000000001</v>
      </c>
      <c r="DP107" s="33">
        <v>100.0196</v>
      </c>
      <c r="DQ107" s="33">
        <v>100.02119999999999</v>
      </c>
      <c r="DR107" s="104">
        <v>59422</v>
      </c>
      <c r="DS107" s="104">
        <v>27231.223032503029</v>
      </c>
      <c r="DT107" s="104">
        <v>97.443503426617582</v>
      </c>
      <c r="DU107">
        <v>105.26717376708984</v>
      </c>
      <c r="DV107">
        <v>103.7340087890625</v>
      </c>
      <c r="DW107">
        <v>849</v>
      </c>
      <c r="DX107">
        <v>249475</v>
      </c>
      <c r="DY107" s="102">
        <f t="shared" si="25"/>
        <v>62.5</v>
      </c>
    </row>
    <row r="108" spans="1:129" x14ac:dyDescent="0.25">
      <c r="A108" s="1">
        <v>36008</v>
      </c>
      <c r="B108" s="33">
        <v>80</v>
      </c>
      <c r="C108" s="88">
        <v>3.48</v>
      </c>
      <c r="D108" s="33">
        <v>2.5</v>
      </c>
      <c r="E108" s="72">
        <v>3.48</v>
      </c>
      <c r="F108" s="33">
        <v>4.05</v>
      </c>
      <c r="G108" s="33">
        <v>4.3099999999999996</v>
      </c>
      <c r="H108" s="33">
        <v>4.42</v>
      </c>
      <c r="I108" s="33">
        <f t="shared" si="17"/>
        <v>0.94</v>
      </c>
      <c r="J108" s="33">
        <f t="shared" si="18"/>
        <v>1.92</v>
      </c>
      <c r="K108" s="33">
        <f t="shared" si="19"/>
        <v>0.94</v>
      </c>
      <c r="L108" s="33">
        <f t="shared" si="20"/>
        <v>-0.98</v>
      </c>
      <c r="M108" s="33">
        <v>101.5</v>
      </c>
      <c r="N108" s="33">
        <v>5758.77</v>
      </c>
      <c r="O108" s="33">
        <v>25.53</v>
      </c>
      <c r="P108" s="87">
        <v>679.90000000000009</v>
      </c>
      <c r="Q108" s="34">
        <f t="shared" si="21"/>
        <v>8.818417639429315</v>
      </c>
      <c r="R108" s="71">
        <v>1126.3706706654482</v>
      </c>
      <c r="S108" s="34">
        <f t="shared" si="22"/>
        <v>1460.9217518358603</v>
      </c>
      <c r="T108" s="71">
        <v>1175.5417899947045</v>
      </c>
      <c r="U108" s="34">
        <f t="shared" si="23"/>
        <v>1524.6975226909267</v>
      </c>
      <c r="V108" s="116">
        <v>624687</v>
      </c>
      <c r="W108" s="116">
        <v>1659698</v>
      </c>
      <c r="X108" s="117">
        <v>3747240</v>
      </c>
      <c r="Y108" s="117">
        <v>620923</v>
      </c>
      <c r="Z108" s="33">
        <v>75</v>
      </c>
      <c r="AA108" s="33">
        <v>58.6</v>
      </c>
      <c r="AB108" s="33">
        <v>75.5</v>
      </c>
      <c r="AC108" s="33">
        <v>54.1</v>
      </c>
      <c r="AD108" s="33">
        <v>38643</v>
      </c>
      <c r="AE108" s="33">
        <v>10.8</v>
      </c>
      <c r="AF108" s="33">
        <v>356</v>
      </c>
      <c r="AG108" s="33">
        <v>74.2</v>
      </c>
      <c r="AH108" s="33">
        <v>77.099999999999994</v>
      </c>
      <c r="AI108" s="33">
        <v>76.599999999999994</v>
      </c>
      <c r="AJ108" s="33">
        <v>80.5</v>
      </c>
      <c r="AK108" s="33">
        <v>158.07909599999999</v>
      </c>
      <c r="AL108" s="33">
        <v>58.8</v>
      </c>
      <c r="AM108" s="123">
        <v>8.8511931497364085</v>
      </c>
      <c r="AN108" s="123">
        <v>10.056544669641763</v>
      </c>
      <c r="AO108" s="123">
        <v>49.77393129410315</v>
      </c>
      <c r="AP108" s="33">
        <v>11.1</v>
      </c>
      <c r="AQ108" s="33">
        <f t="shared" si="24"/>
        <v>0.14490861618798956</v>
      </c>
      <c r="AR108" s="33">
        <v>93.9</v>
      </c>
      <c r="AS108" s="33">
        <v>97.6</v>
      </c>
      <c r="AT108" s="33">
        <v>90.5</v>
      </c>
      <c r="AU108" s="33">
        <v>97.1</v>
      </c>
      <c r="AV108" s="65">
        <v>99.8</v>
      </c>
      <c r="AW108" s="33">
        <v>94.4</v>
      </c>
      <c r="AX108" s="33">
        <v>14.4</v>
      </c>
      <c r="AY108" s="33">
        <v>11.1</v>
      </c>
      <c r="AZ108" s="33">
        <v>5.4</v>
      </c>
      <c r="BA108" s="33">
        <v>6.6</v>
      </c>
      <c r="BB108" s="33">
        <v>89.3</v>
      </c>
      <c r="BC108" s="33">
        <v>93.6</v>
      </c>
      <c r="BD108" s="33">
        <v>85.1</v>
      </c>
      <c r="BE108" s="33">
        <v>2.4</v>
      </c>
      <c r="BF108" s="33">
        <v>58.1</v>
      </c>
      <c r="BG108" s="33">
        <v>31.7</v>
      </c>
      <c r="BH108" s="33">
        <v>158.19999999999999</v>
      </c>
      <c r="BI108" s="33">
        <v>2.1</v>
      </c>
      <c r="BJ108" s="34">
        <v>54.621524059999999</v>
      </c>
      <c r="BK108" s="45">
        <v>-50.961493168509925</v>
      </c>
      <c r="BL108" s="45" t="s">
        <v>243</v>
      </c>
      <c r="BM108" s="33">
        <v>100.0981</v>
      </c>
      <c r="BN108" s="33">
        <v>100.0857</v>
      </c>
      <c r="BO108" s="33">
        <v>-13.2</v>
      </c>
      <c r="BP108" s="33">
        <v>-21.6</v>
      </c>
      <c r="BQ108" s="33">
        <v>9.6999999999999993</v>
      </c>
      <c r="BR108" s="33">
        <v>5.6</v>
      </c>
      <c r="BS108" s="33">
        <v>1.8</v>
      </c>
      <c r="BT108" s="33">
        <v>-6</v>
      </c>
      <c r="BU108" s="33">
        <v>-5.8</v>
      </c>
      <c r="BV108" s="33">
        <v>47</v>
      </c>
      <c r="BW108" s="33">
        <v>-6.8</v>
      </c>
      <c r="BX108" s="33">
        <v>-16.600000000000001</v>
      </c>
      <c r="BY108" s="33">
        <v>-41.2</v>
      </c>
      <c r="BZ108" s="33">
        <v>109.6</v>
      </c>
      <c r="CA108" s="33">
        <v>-6.8</v>
      </c>
      <c r="CB108" s="33">
        <v>-4.3</v>
      </c>
      <c r="CC108" s="33">
        <v>4.0999999999999996</v>
      </c>
      <c r="CD108" s="33">
        <v>-23.1</v>
      </c>
      <c r="CE108" s="33">
        <v>-14.4</v>
      </c>
      <c r="CF108" s="33">
        <v>10.9</v>
      </c>
      <c r="CG108" s="33">
        <v>35.5</v>
      </c>
      <c r="CH108" s="33">
        <v>25.5</v>
      </c>
      <c r="CI108" s="33">
        <v>-13</v>
      </c>
      <c r="CJ108" s="33">
        <v>-12.6</v>
      </c>
      <c r="CK108" s="33">
        <v>12.8</v>
      </c>
      <c r="CL108" s="33">
        <v>9.6</v>
      </c>
      <c r="CM108" s="33">
        <v>3257.7152380000002</v>
      </c>
      <c r="CN108" s="33">
        <v>8786.73</v>
      </c>
      <c r="CO108" s="33">
        <v>1074.6204760000001</v>
      </c>
      <c r="CP108" s="33">
        <v>5.7</v>
      </c>
      <c r="CQ108" s="33">
        <v>5.46</v>
      </c>
      <c r="CR108" s="33">
        <v>98.3</v>
      </c>
      <c r="CS108" s="121">
        <f t="shared" si="16"/>
        <v>22.25</v>
      </c>
      <c r="CT108" s="33">
        <v>112.4</v>
      </c>
      <c r="CU108" s="33">
        <v>115.8</v>
      </c>
      <c r="CV108" s="33">
        <v>102.8</v>
      </c>
      <c r="CW108" s="33">
        <v>75.599999999999994</v>
      </c>
      <c r="CX108" s="33">
        <v>102</v>
      </c>
      <c r="CY108" s="33">
        <v>3.72</v>
      </c>
      <c r="CZ108" s="33">
        <v>19088.071</v>
      </c>
      <c r="DA108" s="33">
        <v>2.91</v>
      </c>
      <c r="DB108" s="33">
        <v>16.100000000000001</v>
      </c>
      <c r="DC108" s="33">
        <v>21.98</v>
      </c>
      <c r="DD108" s="33">
        <v>7.35</v>
      </c>
      <c r="DE108" s="33">
        <v>3719.643</v>
      </c>
      <c r="DF108" s="33">
        <v>731.24400000000003</v>
      </c>
      <c r="DG108" s="33">
        <v>619.40300000000002</v>
      </c>
      <c r="DH108" s="33">
        <v>685.97</v>
      </c>
      <c r="DI108" s="33">
        <v>527.505</v>
      </c>
      <c r="DJ108" s="33">
        <v>97.546999999999997</v>
      </c>
      <c r="DK108" s="33">
        <v>96.698400000000007</v>
      </c>
      <c r="DL108" s="33">
        <v>98.36</v>
      </c>
      <c r="DM108" s="33">
        <v>97.915599999999998</v>
      </c>
      <c r="DN108" s="33">
        <v>100.0857</v>
      </c>
      <c r="DO108" s="33">
        <v>100.0981</v>
      </c>
      <c r="DP108" s="33">
        <v>99.874600000000001</v>
      </c>
      <c r="DQ108" s="33">
        <v>99.861800000000002</v>
      </c>
      <c r="DR108" s="104">
        <v>49805</v>
      </c>
      <c r="DS108" s="104">
        <v>27291.850984668225</v>
      </c>
      <c r="DT108" s="104">
        <v>97.536218463179551</v>
      </c>
      <c r="DU108">
        <v>109.72396850585938</v>
      </c>
      <c r="DV108">
        <v>87.883407592773438</v>
      </c>
      <c r="DW108">
        <v>822</v>
      </c>
      <c r="DX108">
        <v>261525</v>
      </c>
      <c r="DY108" s="102">
        <f t="shared" si="25"/>
        <v>64.099999999999994</v>
      </c>
    </row>
    <row r="109" spans="1:129" x14ac:dyDescent="0.25">
      <c r="A109" s="1">
        <v>36039</v>
      </c>
      <c r="B109" s="33">
        <v>79.400000000000006</v>
      </c>
      <c r="C109" s="88">
        <v>3.48</v>
      </c>
      <c r="D109" s="33">
        <v>2.5</v>
      </c>
      <c r="E109" s="72">
        <v>3.46</v>
      </c>
      <c r="F109" s="33">
        <v>3.71</v>
      </c>
      <c r="G109" s="33">
        <v>3.98</v>
      </c>
      <c r="H109" s="33">
        <v>4.0599999999999996</v>
      </c>
      <c r="I109" s="33">
        <f t="shared" si="17"/>
        <v>0.57999999999999963</v>
      </c>
      <c r="J109" s="33">
        <f t="shared" si="18"/>
        <v>1.5599999999999996</v>
      </c>
      <c r="K109" s="33">
        <f t="shared" si="19"/>
        <v>0.59999999999999964</v>
      </c>
      <c r="L109" s="33">
        <f t="shared" si="20"/>
        <v>-0.98</v>
      </c>
      <c r="M109" s="33">
        <v>102.3</v>
      </c>
      <c r="N109" s="33">
        <v>4791.8100000000004</v>
      </c>
      <c r="O109" s="33">
        <v>45.63</v>
      </c>
      <c r="P109" s="87">
        <v>688</v>
      </c>
      <c r="Q109" s="34">
        <f t="shared" si="21"/>
        <v>8.9350649350649345</v>
      </c>
      <c r="R109" s="71">
        <v>1129.7079239857978</v>
      </c>
      <c r="S109" s="34">
        <f t="shared" si="22"/>
        <v>1467.1531480335038</v>
      </c>
      <c r="T109" s="71">
        <v>1178.5899495668486</v>
      </c>
      <c r="U109" s="34">
        <f t="shared" si="23"/>
        <v>1530.6362981387645</v>
      </c>
      <c r="V109" s="116">
        <v>620056</v>
      </c>
      <c r="W109" s="116">
        <v>1668328</v>
      </c>
      <c r="X109" s="117">
        <v>3756213</v>
      </c>
      <c r="Y109" s="117">
        <v>615188</v>
      </c>
      <c r="Z109" s="33">
        <v>74</v>
      </c>
      <c r="AA109" s="33">
        <v>60.4</v>
      </c>
      <c r="AB109" s="33">
        <v>76.5</v>
      </c>
      <c r="AC109" s="33">
        <v>57.3</v>
      </c>
      <c r="AD109" s="33">
        <v>38716</v>
      </c>
      <c r="AE109" s="33">
        <v>10.7</v>
      </c>
      <c r="AF109" s="33">
        <v>354</v>
      </c>
      <c r="AG109" s="33">
        <v>74.2</v>
      </c>
      <c r="AH109" s="33">
        <v>77</v>
      </c>
      <c r="AI109" s="33">
        <v>75.8</v>
      </c>
      <c r="AJ109" s="33">
        <v>80.400000000000006</v>
      </c>
      <c r="AK109" s="33">
        <v>157.90107900000001</v>
      </c>
      <c r="AL109" s="33">
        <v>58.9</v>
      </c>
      <c r="AM109" s="123">
        <v>8.5908639394500419</v>
      </c>
      <c r="AN109" s="123">
        <v>10.462869706799005</v>
      </c>
      <c r="AO109" s="123">
        <v>48.136630922586598</v>
      </c>
      <c r="AP109" s="33">
        <v>11.83</v>
      </c>
      <c r="AQ109" s="33">
        <f t="shared" si="24"/>
        <v>0.15606860158311348</v>
      </c>
      <c r="AR109" s="33">
        <v>92.2</v>
      </c>
      <c r="AS109" s="33">
        <v>94.7</v>
      </c>
      <c r="AT109" s="33">
        <v>89.8</v>
      </c>
      <c r="AU109" s="33">
        <v>95.3</v>
      </c>
      <c r="AV109" s="65">
        <v>96</v>
      </c>
      <c r="AW109" s="33">
        <v>94.6</v>
      </c>
      <c r="AX109" s="33">
        <v>7.5</v>
      </c>
      <c r="AY109" s="33">
        <v>7.2</v>
      </c>
      <c r="AZ109" s="33">
        <v>3.1</v>
      </c>
      <c r="BA109" s="33">
        <v>-0.3</v>
      </c>
      <c r="BB109" s="33">
        <v>88.1</v>
      </c>
      <c r="BC109" s="33">
        <v>92.5</v>
      </c>
      <c r="BD109" s="33">
        <v>83.9</v>
      </c>
      <c r="BE109" s="33">
        <v>3.4</v>
      </c>
      <c r="BF109" s="33">
        <v>22.8</v>
      </c>
      <c r="BG109" s="33">
        <v>24.6</v>
      </c>
      <c r="BH109" s="33">
        <v>164</v>
      </c>
      <c r="BI109" s="33">
        <v>5.9</v>
      </c>
      <c r="BJ109" s="34">
        <v>51.482310380000001</v>
      </c>
      <c r="BK109" s="45">
        <v>-57.818155101544754</v>
      </c>
      <c r="BL109" s="45" t="s">
        <v>243</v>
      </c>
      <c r="BM109" s="33">
        <v>99.871200000000002</v>
      </c>
      <c r="BN109" s="33">
        <v>99.890799999999999</v>
      </c>
      <c r="BO109" s="33">
        <v>-15.2</v>
      </c>
      <c r="BP109" s="33">
        <v>-24</v>
      </c>
      <c r="BQ109" s="33">
        <v>9.1</v>
      </c>
      <c r="BR109" s="33">
        <v>0.7</v>
      </c>
      <c r="BS109" s="33">
        <v>-0.7</v>
      </c>
      <c r="BT109" s="33">
        <v>-8.5</v>
      </c>
      <c r="BU109" s="33">
        <v>-7.8</v>
      </c>
      <c r="BV109" s="33">
        <v>47.1</v>
      </c>
      <c r="BW109" s="33">
        <v>-6</v>
      </c>
      <c r="BX109" s="33">
        <v>-18</v>
      </c>
      <c r="BY109" s="33">
        <v>-40.9</v>
      </c>
      <c r="BZ109" s="33">
        <v>109.2</v>
      </c>
      <c r="CA109" s="33">
        <v>-6</v>
      </c>
      <c r="CB109" s="33">
        <v>-3.4</v>
      </c>
      <c r="CC109" s="33">
        <v>5.2</v>
      </c>
      <c r="CD109" s="33">
        <v>-24.5</v>
      </c>
      <c r="CE109" s="33">
        <v>-14.5</v>
      </c>
      <c r="CF109" s="33">
        <v>8.1999999999999993</v>
      </c>
      <c r="CG109" s="33">
        <v>34.5</v>
      </c>
      <c r="CH109" s="33">
        <v>23.1</v>
      </c>
      <c r="CI109" s="33">
        <v>-9.8000000000000007</v>
      </c>
      <c r="CJ109" s="33">
        <v>-11.5</v>
      </c>
      <c r="CK109" s="33">
        <v>13.5</v>
      </c>
      <c r="CL109" s="33">
        <v>10.199999999999999</v>
      </c>
      <c r="CM109" s="33">
        <v>2881.7959089999999</v>
      </c>
      <c r="CN109" s="33">
        <v>7827.42</v>
      </c>
      <c r="CO109" s="33">
        <v>1018.514545</v>
      </c>
      <c r="CP109" s="33">
        <v>5.3819999999999997</v>
      </c>
      <c r="CQ109" s="33">
        <v>5.05</v>
      </c>
      <c r="CR109" s="33">
        <v>93.9</v>
      </c>
      <c r="CS109" s="121">
        <f t="shared" si="16"/>
        <v>24.049999999999997</v>
      </c>
      <c r="CT109" s="33">
        <v>110.9</v>
      </c>
      <c r="CU109" s="33">
        <v>112.6</v>
      </c>
      <c r="CV109" s="33">
        <v>100.6</v>
      </c>
      <c r="CW109" s="33">
        <v>74.8</v>
      </c>
      <c r="CX109" s="33">
        <v>100.4</v>
      </c>
      <c r="CY109" s="33">
        <v>3.82</v>
      </c>
      <c r="CZ109" s="33">
        <v>22477.101999999999</v>
      </c>
      <c r="DA109" s="33">
        <v>2.98</v>
      </c>
      <c r="DB109" s="33">
        <v>15.36</v>
      </c>
      <c r="DC109" s="33">
        <v>22.85</v>
      </c>
      <c r="DD109" s="33">
        <v>6.3</v>
      </c>
      <c r="DE109" s="33">
        <v>3886.174</v>
      </c>
      <c r="DF109" s="33">
        <v>791.803</v>
      </c>
      <c r="DG109" s="33">
        <v>416.44200000000001</v>
      </c>
      <c r="DH109" s="33">
        <v>729.38800000000003</v>
      </c>
      <c r="DI109" s="33">
        <v>547.721</v>
      </c>
      <c r="DJ109" s="33">
        <v>97.723299999999995</v>
      </c>
      <c r="DK109" s="33">
        <v>96.940600000000003</v>
      </c>
      <c r="DL109" s="33">
        <v>98.64</v>
      </c>
      <c r="DM109" s="33">
        <v>98.274100000000004</v>
      </c>
      <c r="DN109" s="33">
        <v>99.890799999999999</v>
      </c>
      <c r="DO109" s="33">
        <v>99.871200000000002</v>
      </c>
      <c r="DP109" s="33">
        <v>99.787400000000005</v>
      </c>
      <c r="DQ109" s="33">
        <v>99.765799999999999</v>
      </c>
      <c r="DR109" s="104">
        <v>61120</v>
      </c>
      <c r="DS109" s="104">
        <v>27345.346236578684</v>
      </c>
      <c r="DT109" s="104">
        <v>96.979928243807791</v>
      </c>
      <c r="DU109">
        <v>201.66937255859375</v>
      </c>
      <c r="DV109">
        <v>155.45719909667969</v>
      </c>
      <c r="DW109">
        <v>817</v>
      </c>
      <c r="DX109">
        <v>323550</v>
      </c>
      <c r="DY109" s="102">
        <f t="shared" si="25"/>
        <v>62.5</v>
      </c>
    </row>
    <row r="110" spans="1:129" x14ac:dyDescent="0.25">
      <c r="A110" s="1">
        <v>36069</v>
      </c>
      <c r="B110" s="33">
        <v>79.8</v>
      </c>
      <c r="C110" s="88">
        <v>3.41</v>
      </c>
      <c r="D110" s="33">
        <v>2.5</v>
      </c>
      <c r="E110" s="72">
        <v>3.54</v>
      </c>
      <c r="F110" s="33">
        <v>3.65</v>
      </c>
      <c r="G110" s="33">
        <v>3.94</v>
      </c>
      <c r="H110" s="33">
        <v>4.0599999999999996</v>
      </c>
      <c r="I110" s="33">
        <f t="shared" si="17"/>
        <v>0.64999999999999947</v>
      </c>
      <c r="J110" s="33">
        <f t="shared" si="18"/>
        <v>1.5599999999999996</v>
      </c>
      <c r="K110" s="33">
        <f t="shared" si="19"/>
        <v>0.51999999999999957</v>
      </c>
      <c r="L110" s="33">
        <f t="shared" si="20"/>
        <v>-0.91000000000000014</v>
      </c>
      <c r="M110" s="33">
        <v>102.7</v>
      </c>
      <c r="N110" s="33">
        <v>4226.49</v>
      </c>
      <c r="O110" s="33">
        <v>54.01</v>
      </c>
      <c r="P110" s="87">
        <v>701.80000000000007</v>
      </c>
      <c r="Q110" s="34">
        <f t="shared" si="21"/>
        <v>9.090673575129534</v>
      </c>
      <c r="R110" s="71">
        <v>1137.7173319546371</v>
      </c>
      <c r="S110" s="34">
        <f t="shared" si="22"/>
        <v>1473.7271139308771</v>
      </c>
      <c r="T110" s="71">
        <v>1188.4012131896875</v>
      </c>
      <c r="U110" s="34">
        <f t="shared" si="23"/>
        <v>1539.3798098312013</v>
      </c>
      <c r="V110" s="116">
        <v>616004</v>
      </c>
      <c r="W110" s="116">
        <v>1683846</v>
      </c>
      <c r="X110" s="117">
        <v>3776275</v>
      </c>
      <c r="Y110" s="117">
        <v>633761</v>
      </c>
      <c r="Z110" s="33">
        <v>73.900000000000006</v>
      </c>
      <c r="AA110" s="33">
        <v>58.2</v>
      </c>
      <c r="AB110" s="33">
        <v>73.3</v>
      </c>
      <c r="AC110" s="33">
        <v>54.8</v>
      </c>
      <c r="AD110" s="33">
        <v>38776</v>
      </c>
      <c r="AE110" s="33">
        <v>10.6</v>
      </c>
      <c r="AF110" s="33">
        <v>354</v>
      </c>
      <c r="AG110" s="33">
        <v>74.3</v>
      </c>
      <c r="AH110" s="33">
        <v>77.2</v>
      </c>
      <c r="AI110" s="33">
        <v>75.3</v>
      </c>
      <c r="AJ110" s="33">
        <v>80.099999999999994</v>
      </c>
      <c r="AK110" s="33">
        <v>157.01099400000001</v>
      </c>
      <c r="AL110" s="33">
        <v>58.9</v>
      </c>
      <c r="AM110" s="123">
        <v>8.5908639394500419</v>
      </c>
      <c r="AN110" s="123">
        <v>9.8781799290661176</v>
      </c>
      <c r="AO110" s="123">
        <v>44.457896526876731</v>
      </c>
      <c r="AP110" s="33">
        <v>10.8</v>
      </c>
      <c r="AQ110" s="33">
        <f t="shared" si="24"/>
        <v>0.14342629482071714</v>
      </c>
      <c r="AR110" s="33">
        <v>90.6</v>
      </c>
      <c r="AS110" s="33">
        <v>93.7</v>
      </c>
      <c r="AT110" s="33">
        <v>87.7</v>
      </c>
      <c r="AU110" s="33">
        <v>93.4</v>
      </c>
      <c r="AV110" s="65">
        <v>94.7</v>
      </c>
      <c r="AW110" s="33">
        <v>92.2</v>
      </c>
      <c r="AX110" s="33">
        <v>7.5</v>
      </c>
      <c r="AY110" s="33">
        <v>-1.5</v>
      </c>
      <c r="AZ110" s="33">
        <v>-2.2000000000000002</v>
      </c>
      <c r="BA110" s="33">
        <v>-4.0999999999999996</v>
      </c>
      <c r="BB110" s="33">
        <v>86.6</v>
      </c>
      <c r="BC110" s="33">
        <v>91</v>
      </c>
      <c r="BD110" s="33">
        <v>82.4</v>
      </c>
      <c r="BE110" s="33">
        <v>0.7</v>
      </c>
      <c r="BF110" s="33">
        <v>-6.2</v>
      </c>
      <c r="BG110" s="33">
        <v>49.3</v>
      </c>
      <c r="BH110" s="33">
        <v>168.4</v>
      </c>
      <c r="BI110" s="33">
        <v>23</v>
      </c>
      <c r="BJ110" s="34">
        <v>48.523020760000001</v>
      </c>
      <c r="BK110" s="45">
        <v>-60.098556203265403</v>
      </c>
      <c r="BL110" s="45" t="s">
        <v>243</v>
      </c>
      <c r="BM110" s="33">
        <v>99.670500000000004</v>
      </c>
      <c r="BN110" s="33">
        <v>99.718400000000003</v>
      </c>
      <c r="BO110" s="33">
        <v>-18.5</v>
      </c>
      <c r="BP110" s="33">
        <v>-27.7</v>
      </c>
      <c r="BQ110" s="33">
        <v>10.9</v>
      </c>
      <c r="BR110" s="33">
        <v>-4.9000000000000004</v>
      </c>
      <c r="BS110" s="33">
        <v>-2.2999999999999998</v>
      </c>
      <c r="BT110" s="33">
        <v>-11.4</v>
      </c>
      <c r="BU110" s="33">
        <v>-11.4</v>
      </c>
      <c r="BV110" s="33">
        <v>47.1</v>
      </c>
      <c r="BW110" s="33">
        <v>-4.7</v>
      </c>
      <c r="BX110" s="33">
        <v>-23.2</v>
      </c>
      <c r="BY110" s="33">
        <v>-39</v>
      </c>
      <c r="BZ110" s="33">
        <v>107.8</v>
      </c>
      <c r="CA110" s="33">
        <v>-4.7</v>
      </c>
      <c r="CB110" s="33">
        <v>-4.2</v>
      </c>
      <c r="CC110" s="33">
        <v>6.7</v>
      </c>
      <c r="CD110" s="33">
        <v>-24.3</v>
      </c>
      <c r="CE110" s="33">
        <v>-10.8</v>
      </c>
      <c r="CF110" s="33">
        <v>8.1999999999999993</v>
      </c>
      <c r="CG110" s="33">
        <v>34.9</v>
      </c>
      <c r="CH110" s="33">
        <v>19.3</v>
      </c>
      <c r="CI110" s="33">
        <v>-10.3</v>
      </c>
      <c r="CJ110" s="33">
        <v>-10.6</v>
      </c>
      <c r="CK110" s="33">
        <v>12.9</v>
      </c>
      <c r="CL110" s="33">
        <v>8.6999999999999993</v>
      </c>
      <c r="CM110" s="33">
        <v>2701.0209089999998</v>
      </c>
      <c r="CN110" s="33">
        <v>7632.53</v>
      </c>
      <c r="CO110" s="33">
        <v>1032.47</v>
      </c>
      <c r="CP110" s="33">
        <v>4.6230000000000002</v>
      </c>
      <c r="CQ110" s="33">
        <v>4.33</v>
      </c>
      <c r="CR110" s="33">
        <v>87.5</v>
      </c>
      <c r="CS110" s="121">
        <f t="shared" si="16"/>
        <v>25.549999999999997</v>
      </c>
      <c r="CT110" s="33">
        <v>106.6</v>
      </c>
      <c r="CU110" s="33">
        <v>112.1</v>
      </c>
      <c r="CV110" s="33">
        <v>99.1</v>
      </c>
      <c r="CW110" s="33">
        <v>66.599999999999994</v>
      </c>
      <c r="CX110" s="33">
        <v>101.6</v>
      </c>
      <c r="CY110" s="33">
        <v>3.74</v>
      </c>
      <c r="CZ110" s="33">
        <v>25323.064999999999</v>
      </c>
      <c r="DA110" s="33">
        <v>2.8</v>
      </c>
      <c r="DB110" s="33">
        <v>15.89</v>
      </c>
      <c r="DC110" s="33">
        <v>23.84</v>
      </c>
      <c r="DD110" s="33">
        <v>6.34</v>
      </c>
      <c r="DE110" s="33">
        <v>3923.2420000000002</v>
      </c>
      <c r="DF110" s="33">
        <v>820.26</v>
      </c>
      <c r="DG110" s="33">
        <v>302.43299999999999</v>
      </c>
      <c r="DH110" s="33">
        <v>814.63800000000003</v>
      </c>
      <c r="DI110" s="33">
        <v>539.476</v>
      </c>
      <c r="DJ110" s="33">
        <v>97.946200000000005</v>
      </c>
      <c r="DK110" s="33">
        <v>97.245000000000005</v>
      </c>
      <c r="DL110" s="33">
        <v>98.9</v>
      </c>
      <c r="DM110" s="33">
        <v>98.597700000000003</v>
      </c>
      <c r="DN110" s="33">
        <v>99.718400000000003</v>
      </c>
      <c r="DO110" s="33">
        <v>99.670500000000004</v>
      </c>
      <c r="DP110" s="33">
        <v>99.789199999999994</v>
      </c>
      <c r="DQ110" s="33">
        <v>99.767799999999994</v>
      </c>
      <c r="DR110" s="104">
        <v>72987</v>
      </c>
      <c r="DS110" s="104">
        <v>27388.855708132531</v>
      </c>
      <c r="DT110" s="104">
        <v>94.847482402882761</v>
      </c>
      <c r="DU110">
        <v>116.31663513183594</v>
      </c>
      <c r="DV110">
        <v>77.707427978515625</v>
      </c>
      <c r="DW110">
        <v>959</v>
      </c>
      <c r="DX110">
        <v>414575</v>
      </c>
      <c r="DY110" s="102">
        <f t="shared" si="25"/>
        <v>61.900000000000006</v>
      </c>
    </row>
    <row r="111" spans="1:129" x14ac:dyDescent="0.25">
      <c r="A111" s="1">
        <v>36100</v>
      </c>
      <c r="B111" s="33">
        <v>78.7</v>
      </c>
      <c r="C111" s="88">
        <v>3.42</v>
      </c>
      <c r="D111" s="33">
        <v>2.5</v>
      </c>
      <c r="E111" s="72">
        <v>3.61</v>
      </c>
      <c r="F111" s="33">
        <v>3.67</v>
      </c>
      <c r="G111" s="33">
        <v>3.96</v>
      </c>
      <c r="H111" s="33">
        <v>4.12</v>
      </c>
      <c r="I111" s="33">
        <f t="shared" si="17"/>
        <v>0.70000000000000018</v>
      </c>
      <c r="J111" s="33">
        <f t="shared" si="18"/>
        <v>1.62</v>
      </c>
      <c r="K111" s="33">
        <f t="shared" si="19"/>
        <v>0.51000000000000023</v>
      </c>
      <c r="L111" s="33">
        <f t="shared" si="20"/>
        <v>-0.91999999999999993</v>
      </c>
      <c r="M111" s="33">
        <v>102</v>
      </c>
      <c r="N111" s="33">
        <v>4761.1499999999996</v>
      </c>
      <c r="O111" s="33">
        <v>39.9</v>
      </c>
      <c r="P111" s="87">
        <v>709.1</v>
      </c>
      <c r="Q111" s="34">
        <f t="shared" si="21"/>
        <v>9.1852331606217614</v>
      </c>
      <c r="R111" s="71">
        <v>1146.5848907772804</v>
      </c>
      <c r="S111" s="34">
        <f t="shared" si="22"/>
        <v>1485.2135890897414</v>
      </c>
      <c r="T111" s="71">
        <v>1199.2602816654507</v>
      </c>
      <c r="U111" s="34">
        <f t="shared" si="23"/>
        <v>1553.4459607065423</v>
      </c>
      <c r="V111" s="116">
        <v>611730</v>
      </c>
      <c r="W111" s="116">
        <v>1702749</v>
      </c>
      <c r="X111" s="117">
        <v>3805327</v>
      </c>
      <c r="Y111" s="117">
        <v>611876</v>
      </c>
      <c r="Z111" s="33">
        <v>72.599999999999994</v>
      </c>
      <c r="AA111" s="33">
        <v>57.5</v>
      </c>
      <c r="AB111" s="33">
        <v>73.099999999999994</v>
      </c>
      <c r="AC111" s="33">
        <v>53.9</v>
      </c>
      <c r="AD111" s="33">
        <v>38791</v>
      </c>
      <c r="AE111" s="33">
        <v>10.6</v>
      </c>
      <c r="AF111" s="33">
        <v>353</v>
      </c>
      <c r="AG111" s="33">
        <v>74.3</v>
      </c>
      <c r="AH111" s="33">
        <v>77.2</v>
      </c>
      <c r="AI111" s="33">
        <v>75.2</v>
      </c>
      <c r="AJ111" s="33">
        <v>80.099999999999994</v>
      </c>
      <c r="AK111" s="33">
        <v>156.29892599999999</v>
      </c>
      <c r="AL111" s="33">
        <v>97.7</v>
      </c>
      <c r="AM111" s="123">
        <v>8.351624690503332</v>
      </c>
      <c r="AN111" s="123">
        <v>9.1791087340860535</v>
      </c>
      <c r="AO111" s="123">
        <v>45.327914071434009</v>
      </c>
      <c r="AP111" s="33">
        <v>9.84</v>
      </c>
      <c r="AQ111" s="33">
        <f t="shared" si="24"/>
        <v>0.13085106382978723</v>
      </c>
      <c r="AR111" s="33">
        <v>91.3</v>
      </c>
      <c r="AS111" s="33">
        <v>93.7</v>
      </c>
      <c r="AT111" s="33">
        <v>88.9</v>
      </c>
      <c r="AU111" s="33">
        <v>93.3</v>
      </c>
      <c r="AV111" s="65">
        <v>93.5</v>
      </c>
      <c r="AW111" s="33">
        <v>93.1</v>
      </c>
      <c r="AX111" s="33">
        <v>7</v>
      </c>
      <c r="AY111" s="33">
        <v>-1.9</v>
      </c>
      <c r="AZ111" s="33">
        <v>-5.9</v>
      </c>
      <c r="BA111" s="33">
        <v>-6.1</v>
      </c>
      <c r="BB111" s="33">
        <v>87.7</v>
      </c>
      <c r="BC111" s="33">
        <v>92.1</v>
      </c>
      <c r="BD111" s="33">
        <v>83.4</v>
      </c>
      <c r="BE111" s="33">
        <v>-2.2000000000000002</v>
      </c>
      <c r="BF111" s="33">
        <v>-17.899999999999999</v>
      </c>
      <c r="BG111" s="33">
        <v>45.7</v>
      </c>
      <c r="BH111" s="33">
        <v>167.2</v>
      </c>
      <c r="BI111" s="33">
        <v>48.3</v>
      </c>
      <c r="BJ111" s="34">
        <v>47.541125540000003</v>
      </c>
      <c r="BK111" s="45">
        <v>-57.815061080488775</v>
      </c>
      <c r="BL111" s="45" t="s">
        <v>243</v>
      </c>
      <c r="BM111" s="33">
        <v>99.517399999999995</v>
      </c>
      <c r="BN111" s="33">
        <v>99.5869</v>
      </c>
      <c r="BO111" s="33">
        <v>-19.899999999999999</v>
      </c>
      <c r="BP111" s="33">
        <v>-28.2</v>
      </c>
      <c r="BQ111" s="33">
        <v>11</v>
      </c>
      <c r="BR111" s="33">
        <v>-5.4</v>
      </c>
      <c r="BS111" s="33">
        <v>-2.1</v>
      </c>
      <c r="BT111" s="33">
        <v>-14.4</v>
      </c>
      <c r="BU111" s="33">
        <v>-12.1</v>
      </c>
      <c r="BV111" s="33">
        <v>47.3</v>
      </c>
      <c r="BW111" s="33">
        <v>-4.2</v>
      </c>
      <c r="BX111" s="33">
        <v>-21.2</v>
      </c>
      <c r="BY111" s="33">
        <v>-38.799999999999997</v>
      </c>
      <c r="BZ111" s="33">
        <v>107.9</v>
      </c>
      <c r="CA111" s="33">
        <v>-4.2</v>
      </c>
      <c r="CB111" s="33">
        <v>-2.1</v>
      </c>
      <c r="CC111" s="33">
        <v>4.8</v>
      </c>
      <c r="CD111" s="33">
        <v>-16.600000000000001</v>
      </c>
      <c r="CE111" s="33">
        <v>-11.6</v>
      </c>
      <c r="CF111" s="33">
        <v>4.5999999999999996</v>
      </c>
      <c r="CG111" s="33">
        <v>38.200000000000003</v>
      </c>
      <c r="CH111" s="33">
        <v>16.600000000000001</v>
      </c>
      <c r="CI111" s="33">
        <v>-8.3000000000000007</v>
      </c>
      <c r="CJ111" s="33">
        <v>-8</v>
      </c>
      <c r="CK111" s="33">
        <v>14.7</v>
      </c>
      <c r="CL111" s="33">
        <v>11</v>
      </c>
      <c r="CM111" s="33">
        <v>3042.175714</v>
      </c>
      <c r="CN111" s="33">
        <v>8706.15</v>
      </c>
      <c r="CO111" s="33">
        <v>1146.4542859999999</v>
      </c>
      <c r="CP111" s="33">
        <v>5.0970000000000004</v>
      </c>
      <c r="CQ111" s="33">
        <v>4.7699999999999996</v>
      </c>
      <c r="CR111" s="33">
        <v>94.3</v>
      </c>
      <c r="CS111" s="121">
        <f t="shared" si="16"/>
        <v>29.850000000000009</v>
      </c>
      <c r="CT111" s="33">
        <v>104.7</v>
      </c>
      <c r="CU111" s="33">
        <v>112.3</v>
      </c>
      <c r="CV111" s="33">
        <v>94.5</v>
      </c>
      <c r="CW111" s="33">
        <v>66.8</v>
      </c>
      <c r="CX111" s="33">
        <v>95.8</v>
      </c>
      <c r="CY111" s="33">
        <v>3.81</v>
      </c>
      <c r="CZ111" s="33">
        <v>24305.589</v>
      </c>
      <c r="DA111" s="33">
        <v>2.8</v>
      </c>
      <c r="DB111" s="33">
        <v>15.35</v>
      </c>
      <c r="DC111" s="33">
        <v>23.12</v>
      </c>
      <c r="DD111" s="33">
        <v>6.8</v>
      </c>
      <c r="DE111" s="33">
        <v>3951.857</v>
      </c>
      <c r="DF111" s="33">
        <v>873.51400000000001</v>
      </c>
      <c r="DG111" s="33">
        <v>396.1</v>
      </c>
      <c r="DH111" s="33">
        <v>818.06299999999999</v>
      </c>
      <c r="DI111" s="33">
        <v>468.35</v>
      </c>
      <c r="DJ111" s="33">
        <v>98.202500000000001</v>
      </c>
      <c r="DK111" s="33">
        <v>97.588200000000001</v>
      </c>
      <c r="DL111" s="33">
        <v>99.1</v>
      </c>
      <c r="DM111" s="33">
        <v>98.857699999999994</v>
      </c>
      <c r="DN111" s="33">
        <v>99.5869</v>
      </c>
      <c r="DO111" s="33">
        <v>99.517399999999995</v>
      </c>
      <c r="DP111" s="33">
        <v>99.882999999999996</v>
      </c>
      <c r="DQ111" s="33">
        <v>99.870999999999995</v>
      </c>
      <c r="DR111" s="104">
        <v>87805</v>
      </c>
      <c r="DS111" s="104">
        <v>27399.554758514623</v>
      </c>
      <c r="DT111" s="104">
        <v>94.105762110387104</v>
      </c>
      <c r="DU111">
        <v>133.053466796875</v>
      </c>
      <c r="DV111">
        <v>127.06005859375</v>
      </c>
      <c r="DW111">
        <v>954</v>
      </c>
      <c r="DX111">
        <v>460625</v>
      </c>
      <c r="DY111" s="102">
        <f t="shared" si="25"/>
        <v>62.3</v>
      </c>
    </row>
    <row r="112" spans="1:129" x14ac:dyDescent="0.25">
      <c r="A112" s="1">
        <v>36130</v>
      </c>
      <c r="B112" s="33">
        <v>78.8</v>
      </c>
      <c r="C112" s="88">
        <v>3.42</v>
      </c>
      <c r="D112" s="33">
        <v>2.5</v>
      </c>
      <c r="E112" s="72">
        <v>3.61</v>
      </c>
      <c r="F112" s="33">
        <v>3.39</v>
      </c>
      <c r="G112" s="33">
        <v>3.68</v>
      </c>
      <c r="H112" s="33">
        <v>3.86</v>
      </c>
      <c r="I112" s="33">
        <f t="shared" si="17"/>
        <v>0.43999999999999995</v>
      </c>
      <c r="J112" s="33">
        <f t="shared" si="18"/>
        <v>1.3599999999999999</v>
      </c>
      <c r="K112" s="33">
        <f t="shared" si="19"/>
        <v>0.25</v>
      </c>
      <c r="L112" s="33">
        <f t="shared" si="20"/>
        <v>-0.91999999999999993</v>
      </c>
      <c r="M112" s="33">
        <v>101.8</v>
      </c>
      <c r="N112" s="33">
        <v>4781.7299999999996</v>
      </c>
      <c r="O112" s="33">
        <v>41.63</v>
      </c>
      <c r="P112" s="87">
        <v>726.90000000000009</v>
      </c>
      <c r="Q112" s="34">
        <f t="shared" si="21"/>
        <v>9.4158031088082907</v>
      </c>
      <c r="R112" s="71">
        <v>1168.9921630710567</v>
      </c>
      <c r="S112" s="34">
        <f t="shared" si="22"/>
        <v>1514.2385532008507</v>
      </c>
      <c r="T112" s="71">
        <v>1211.5481749406567</v>
      </c>
      <c r="U112" s="34">
        <f t="shared" si="23"/>
        <v>1569.3629209075864</v>
      </c>
      <c r="V112" s="116">
        <v>611940</v>
      </c>
      <c r="W112" s="116">
        <v>1726398</v>
      </c>
      <c r="X112" s="117">
        <v>3848054</v>
      </c>
      <c r="Y112" s="117">
        <v>574928</v>
      </c>
      <c r="Z112" s="33">
        <v>72</v>
      </c>
      <c r="AA112" s="33">
        <v>59.3</v>
      </c>
      <c r="AB112" s="33">
        <v>76</v>
      </c>
      <c r="AC112" s="33">
        <v>56.2</v>
      </c>
      <c r="AD112" s="33">
        <v>38816</v>
      </c>
      <c r="AE112" s="33">
        <v>10.8</v>
      </c>
      <c r="AF112" s="33">
        <v>348</v>
      </c>
      <c r="AG112" s="33">
        <v>74.3</v>
      </c>
      <c r="AH112" s="33">
        <v>77.2</v>
      </c>
      <c r="AI112" s="33">
        <v>74.7</v>
      </c>
      <c r="AJ112" s="33">
        <v>80</v>
      </c>
      <c r="AK112" s="33">
        <v>156.12090900000001</v>
      </c>
      <c r="AL112" s="33">
        <v>59</v>
      </c>
      <c r="AM112" s="123">
        <v>7.5979414867262038</v>
      </c>
      <c r="AN112" s="123">
        <v>8.1559596713694553</v>
      </c>
      <c r="AO112" s="123">
        <v>46.286773792175879</v>
      </c>
      <c r="AP112" s="33">
        <v>8.67</v>
      </c>
      <c r="AQ112" s="33">
        <f t="shared" si="24"/>
        <v>0.11606425702811245</v>
      </c>
      <c r="AR112" s="33">
        <v>91.1</v>
      </c>
      <c r="AS112" s="33">
        <v>93.8</v>
      </c>
      <c r="AT112" s="33">
        <v>88.4</v>
      </c>
      <c r="AU112" s="33">
        <v>92.3</v>
      </c>
      <c r="AV112" s="65">
        <v>93</v>
      </c>
      <c r="AW112" s="33">
        <v>91.7</v>
      </c>
      <c r="AX112" s="33">
        <v>3.1</v>
      </c>
      <c r="AY112" s="33">
        <v>-5.4</v>
      </c>
      <c r="AZ112" s="33">
        <v>-5.5</v>
      </c>
      <c r="BA112" s="33">
        <v>-1.9</v>
      </c>
      <c r="BB112" s="33">
        <v>88.8</v>
      </c>
      <c r="BC112" s="33">
        <v>94.6</v>
      </c>
      <c r="BD112" s="33">
        <v>83.3</v>
      </c>
      <c r="BE112" s="33">
        <v>-4.3</v>
      </c>
      <c r="BF112" s="33">
        <v>-24.9</v>
      </c>
      <c r="BG112" s="33">
        <v>34.4</v>
      </c>
      <c r="BH112" s="33">
        <v>167.9</v>
      </c>
      <c r="BI112" s="33">
        <v>51.4</v>
      </c>
      <c r="BJ112" s="34">
        <v>45.713175509999999</v>
      </c>
      <c r="BK112" s="45">
        <v>-51.84707860042036</v>
      </c>
      <c r="BL112" s="45" t="s">
        <v>243</v>
      </c>
      <c r="BM112" s="33">
        <v>99.414299999999997</v>
      </c>
      <c r="BN112" s="33">
        <v>99.4983</v>
      </c>
      <c r="BO112" s="33">
        <v>-22.1</v>
      </c>
      <c r="BP112" s="33">
        <v>-29.4</v>
      </c>
      <c r="BQ112" s="33">
        <v>12.9</v>
      </c>
      <c r="BR112" s="33">
        <v>-2.9</v>
      </c>
      <c r="BS112" s="33">
        <v>-3.7</v>
      </c>
      <c r="BT112" s="33">
        <v>-13.4</v>
      </c>
      <c r="BU112" s="33">
        <v>-12.6</v>
      </c>
      <c r="BV112" s="33">
        <v>46.6</v>
      </c>
      <c r="BW112" s="33">
        <v>-5.5</v>
      </c>
      <c r="BX112" s="33">
        <v>-18.8</v>
      </c>
      <c r="BY112" s="33">
        <v>-35.700000000000003</v>
      </c>
      <c r="BZ112" s="33">
        <v>107.2</v>
      </c>
      <c r="CA112" s="33">
        <v>-5.5</v>
      </c>
      <c r="CB112" s="33">
        <v>-2.1</v>
      </c>
      <c r="CC112" s="33">
        <v>4.3</v>
      </c>
      <c r="CD112" s="33">
        <v>-19</v>
      </c>
      <c r="CE112" s="33">
        <v>-12.9</v>
      </c>
      <c r="CF112" s="33">
        <v>3.3</v>
      </c>
      <c r="CG112" s="33">
        <v>39.4</v>
      </c>
      <c r="CH112" s="33">
        <v>16</v>
      </c>
      <c r="CI112" s="33">
        <v>-7.6</v>
      </c>
      <c r="CJ112" s="33">
        <v>-11.2</v>
      </c>
      <c r="CK112" s="33">
        <v>13</v>
      </c>
      <c r="CL112" s="33">
        <v>10.9</v>
      </c>
      <c r="CM112" s="33">
        <v>3171.0621740000001</v>
      </c>
      <c r="CN112" s="33">
        <v>9133.5400000000009</v>
      </c>
      <c r="CO112" s="33">
        <v>1191.6256519999999</v>
      </c>
      <c r="CP112" s="33">
        <v>4.6399999999999997</v>
      </c>
      <c r="CQ112" s="33">
        <v>4.67</v>
      </c>
      <c r="CR112" s="33">
        <v>91.9</v>
      </c>
      <c r="CS112" s="121">
        <f t="shared" si="16"/>
        <v>31.75</v>
      </c>
      <c r="CT112" s="33">
        <v>101.9</v>
      </c>
      <c r="CU112" s="33">
        <v>113.5</v>
      </c>
      <c r="CV112" s="33">
        <v>90.9</v>
      </c>
      <c r="CW112" s="33">
        <v>64.5</v>
      </c>
      <c r="CX112" s="33">
        <v>89.2</v>
      </c>
      <c r="CY112" s="33">
        <v>3.92</v>
      </c>
      <c r="CZ112" s="33">
        <v>21440.687000000002</v>
      </c>
      <c r="DA112" s="33">
        <v>3.33</v>
      </c>
      <c r="DB112" s="33">
        <v>15.93</v>
      </c>
      <c r="DC112" s="33">
        <v>22.27</v>
      </c>
      <c r="DD112" s="33">
        <v>6.56</v>
      </c>
      <c r="DE112" s="33">
        <v>3972.77</v>
      </c>
      <c r="DF112" s="33">
        <v>884.76900000000001</v>
      </c>
      <c r="DG112" s="33">
        <v>494.18799999999999</v>
      </c>
      <c r="DH112" s="33">
        <v>750.47500000000002</v>
      </c>
      <c r="DI112" s="33">
        <v>627.346</v>
      </c>
      <c r="DJ112" s="33">
        <v>98.483999999999995</v>
      </c>
      <c r="DK112" s="33">
        <v>97.956800000000001</v>
      </c>
      <c r="DL112" s="33">
        <v>99.25</v>
      </c>
      <c r="DM112" s="33">
        <v>99.052599999999998</v>
      </c>
      <c r="DN112" s="33">
        <v>99.4983</v>
      </c>
      <c r="DO112" s="33">
        <v>99.414299999999997</v>
      </c>
      <c r="DP112" s="33">
        <v>100.0355</v>
      </c>
      <c r="DQ112" s="33">
        <v>100.03870000000001</v>
      </c>
      <c r="DR112" s="104">
        <v>83136</v>
      </c>
      <c r="DS112" s="104">
        <v>27415.246699075029</v>
      </c>
      <c r="DT112" s="104">
        <v>93.456756854453403</v>
      </c>
      <c r="DU112">
        <v>112.01244354248047</v>
      </c>
      <c r="DV112">
        <v>127.40773010253906</v>
      </c>
      <c r="DW112">
        <v>935</v>
      </c>
      <c r="DX112">
        <v>515125</v>
      </c>
      <c r="DY112" s="102">
        <f t="shared" si="25"/>
        <v>61.2</v>
      </c>
    </row>
    <row r="113" spans="1:129" x14ac:dyDescent="0.25">
      <c r="A113" s="1">
        <v>36161</v>
      </c>
      <c r="B113" s="33">
        <v>80.599999999999994</v>
      </c>
      <c r="C113" s="107">
        <v>3.14</v>
      </c>
      <c r="D113" s="33">
        <v>3</v>
      </c>
      <c r="E113" s="72">
        <v>3.61</v>
      </c>
      <c r="F113" s="33">
        <v>3.18</v>
      </c>
      <c r="G113" s="33">
        <v>3.51</v>
      </c>
      <c r="H113" s="33">
        <v>3.7</v>
      </c>
      <c r="I113" s="33">
        <f t="shared" si="17"/>
        <v>0.56000000000000005</v>
      </c>
      <c r="J113" s="33">
        <f t="shared" si="18"/>
        <v>0.70000000000000018</v>
      </c>
      <c r="K113" s="33">
        <f t="shared" si="19"/>
        <v>9.0000000000000302E-2</v>
      </c>
      <c r="L113" s="33">
        <f t="shared" si="20"/>
        <v>-0.14000000000000012</v>
      </c>
      <c r="M113" s="33">
        <v>101</v>
      </c>
      <c r="N113" s="33">
        <v>5002.3900000000003</v>
      </c>
      <c r="O113" s="33">
        <v>32.49</v>
      </c>
      <c r="P113" s="87">
        <v>726.90000000000009</v>
      </c>
      <c r="Q113" s="34">
        <f t="shared" si="21"/>
        <v>9.4771838331160367</v>
      </c>
      <c r="R113" s="71">
        <v>1184.4388784395323</v>
      </c>
      <c r="S113" s="34">
        <f t="shared" si="22"/>
        <v>1544.2488636760527</v>
      </c>
      <c r="T113" s="71">
        <v>1218.4065339779809</v>
      </c>
      <c r="U113" s="34">
        <f t="shared" si="23"/>
        <v>1588.5352463858942</v>
      </c>
      <c r="V113" s="116">
        <v>342604</v>
      </c>
      <c r="W113" s="116">
        <v>1807005</v>
      </c>
      <c r="X113" s="117">
        <v>3930982</v>
      </c>
      <c r="Y113" s="117">
        <v>516215</v>
      </c>
      <c r="Z113" s="33">
        <v>75.900000000000006</v>
      </c>
      <c r="AA113" s="33">
        <v>58.5</v>
      </c>
      <c r="AB113" s="33">
        <v>75.599999999999994</v>
      </c>
      <c r="AC113" s="33">
        <v>54.2</v>
      </c>
      <c r="AD113" s="33">
        <v>38860</v>
      </c>
      <c r="AE113" s="33">
        <v>10.7</v>
      </c>
      <c r="AF113" s="33">
        <v>357</v>
      </c>
      <c r="AG113" s="33">
        <v>73.7</v>
      </c>
      <c r="AH113" s="33">
        <v>76.7</v>
      </c>
      <c r="AI113" s="33">
        <v>74.5</v>
      </c>
      <c r="AJ113" s="33">
        <v>79.7</v>
      </c>
      <c r="AK113" s="33">
        <v>155.23082400000001</v>
      </c>
      <c r="AL113" s="33">
        <v>59.6</v>
      </c>
      <c r="AM113" s="123">
        <v>7.4646442676608311</v>
      </c>
      <c r="AN113" s="123">
        <v>8.8446851547295449</v>
      </c>
      <c r="AO113" s="123">
        <v>44.63955764298813</v>
      </c>
      <c r="AP113" s="33">
        <v>9.64</v>
      </c>
      <c r="AQ113" s="33">
        <f t="shared" si="24"/>
        <v>0.12939597315436244</v>
      </c>
      <c r="AR113" s="33">
        <v>89.7</v>
      </c>
      <c r="AS113" s="33">
        <v>93.1</v>
      </c>
      <c r="AT113" s="33">
        <v>86.4</v>
      </c>
      <c r="AU113" s="33">
        <v>91</v>
      </c>
      <c r="AV113" s="65">
        <v>92.4</v>
      </c>
      <c r="AW113" s="33">
        <v>89.6</v>
      </c>
      <c r="AX113" s="33">
        <v>2</v>
      </c>
      <c r="AY113" s="33">
        <v>-6.4</v>
      </c>
      <c r="AZ113" s="33">
        <v>-10.4</v>
      </c>
      <c r="BA113" s="33">
        <v>-8.5</v>
      </c>
      <c r="BB113" s="33">
        <v>85.4</v>
      </c>
      <c r="BC113" s="33">
        <v>90.8</v>
      </c>
      <c r="BD113" s="33">
        <v>80.400000000000006</v>
      </c>
      <c r="BE113" s="33">
        <v>-6.9</v>
      </c>
      <c r="BF113" s="33">
        <v>-25.1</v>
      </c>
      <c r="BG113" s="33">
        <v>27.7</v>
      </c>
      <c r="BH113" s="33">
        <v>169.5</v>
      </c>
      <c r="BI113" s="33">
        <v>55</v>
      </c>
      <c r="BJ113" s="34">
        <v>46.94586777</v>
      </c>
      <c r="BK113" s="45">
        <v>-28.507921787975079</v>
      </c>
      <c r="BL113" s="45" t="s">
        <v>243</v>
      </c>
      <c r="BM113" s="33">
        <v>99.3583</v>
      </c>
      <c r="BN113" s="33">
        <v>99.450199999999995</v>
      </c>
      <c r="BO113" s="33">
        <v>-24.1</v>
      </c>
      <c r="BP113" s="33">
        <v>-30</v>
      </c>
      <c r="BQ113" s="33">
        <v>12.5</v>
      </c>
      <c r="BR113" s="33">
        <v>-7.4</v>
      </c>
      <c r="BS113" s="33">
        <v>-6.1</v>
      </c>
      <c r="BT113" s="33">
        <v>-14.1</v>
      </c>
      <c r="BU113" s="33">
        <v>-14.7</v>
      </c>
      <c r="BV113" s="33">
        <v>49.1</v>
      </c>
      <c r="BW113" s="33">
        <v>-5.6</v>
      </c>
      <c r="BX113" s="33">
        <v>-20.9</v>
      </c>
      <c r="BY113" s="33">
        <v>-33.700000000000003</v>
      </c>
      <c r="BZ113" s="33">
        <v>107.3</v>
      </c>
      <c r="CA113" s="33">
        <v>-5.6</v>
      </c>
      <c r="CB113" s="33">
        <v>-3.1</v>
      </c>
      <c r="CC113" s="33">
        <v>6</v>
      </c>
      <c r="CD113" s="33">
        <v>-15.3</v>
      </c>
      <c r="CE113" s="33">
        <v>-13.9</v>
      </c>
      <c r="CF113" s="33">
        <v>-1.6</v>
      </c>
      <c r="CG113" s="33">
        <v>33.799999999999997</v>
      </c>
      <c r="CH113" s="33">
        <v>16.3</v>
      </c>
      <c r="CI113" s="33">
        <v>-11.5</v>
      </c>
      <c r="CJ113" s="33">
        <v>-11.5</v>
      </c>
      <c r="CK113" s="33">
        <v>14.7</v>
      </c>
      <c r="CL113" s="33">
        <v>11.8</v>
      </c>
      <c r="CM113" s="33">
        <v>3504.361429</v>
      </c>
      <c r="CN113" s="33">
        <v>9181.43</v>
      </c>
      <c r="CO113" s="33">
        <v>1247.5814290000001</v>
      </c>
      <c r="CP113" s="33">
        <v>4.3540000000000001</v>
      </c>
      <c r="CQ113" s="33">
        <v>4.6500000000000004</v>
      </c>
      <c r="CR113" s="33">
        <v>95.7</v>
      </c>
      <c r="CS113" s="121">
        <f t="shared" si="16"/>
        <v>34.549999999999997</v>
      </c>
      <c r="CT113" s="33">
        <v>100.4</v>
      </c>
      <c r="CU113" s="33">
        <v>111.1</v>
      </c>
      <c r="CV113" s="33">
        <v>72.7</v>
      </c>
      <c r="CW113" s="33">
        <v>60.2</v>
      </c>
      <c r="CX113" s="33">
        <v>102.4</v>
      </c>
      <c r="CY113" s="33">
        <v>3.87</v>
      </c>
      <c r="CZ113" s="33">
        <v>21544.714</v>
      </c>
      <c r="DA113" s="33">
        <v>2.59</v>
      </c>
      <c r="DB113" s="33">
        <v>15.92</v>
      </c>
      <c r="DC113" s="33">
        <v>23.13</v>
      </c>
      <c r="DD113" s="33">
        <v>6.99</v>
      </c>
      <c r="DE113" s="33">
        <v>3198.0329999999999</v>
      </c>
      <c r="DF113" s="33">
        <v>604.74</v>
      </c>
      <c r="DG113" s="33">
        <v>281.00799999999998</v>
      </c>
      <c r="DH113" s="33">
        <v>791.44299999999998</v>
      </c>
      <c r="DI113" s="33">
        <v>428.875</v>
      </c>
      <c r="DJ113" s="33">
        <v>98.785899999999998</v>
      </c>
      <c r="DK113" s="33">
        <v>98.344700000000003</v>
      </c>
      <c r="DL113" s="33">
        <v>99.36</v>
      </c>
      <c r="DM113" s="33">
        <v>99.193100000000001</v>
      </c>
      <c r="DN113" s="33">
        <v>99.450199999999995</v>
      </c>
      <c r="DO113" s="33">
        <v>99.3583</v>
      </c>
      <c r="DP113" s="33">
        <v>100.2236</v>
      </c>
      <c r="DQ113" s="33">
        <v>100.2456</v>
      </c>
      <c r="DR113" s="104">
        <v>109095</v>
      </c>
      <c r="DS113" s="104">
        <v>27326.722992602601</v>
      </c>
      <c r="DT113" s="104">
        <v>94.013047073825149</v>
      </c>
      <c r="DU113">
        <v>113.21341705322266</v>
      </c>
      <c r="DV113">
        <v>111.26028442382813</v>
      </c>
      <c r="DW113">
        <v>794</v>
      </c>
      <c r="DX113">
        <v>592425</v>
      </c>
      <c r="DY113" s="102">
        <f t="shared" si="25"/>
        <v>61.3</v>
      </c>
    </row>
    <row r="114" spans="1:129" x14ac:dyDescent="0.25">
      <c r="A114" s="1">
        <v>36192</v>
      </c>
      <c r="B114" s="33">
        <v>78.7</v>
      </c>
      <c r="C114" s="107">
        <v>3.12</v>
      </c>
      <c r="D114" s="33">
        <v>3</v>
      </c>
      <c r="E114" s="72">
        <v>3.61</v>
      </c>
      <c r="F114" s="33">
        <v>3.28</v>
      </c>
      <c r="G114" s="33">
        <v>3.62</v>
      </c>
      <c r="H114" s="33">
        <v>3.85</v>
      </c>
      <c r="I114" s="33">
        <f t="shared" si="17"/>
        <v>0.73</v>
      </c>
      <c r="J114" s="33">
        <f t="shared" si="18"/>
        <v>0.85000000000000009</v>
      </c>
      <c r="K114" s="33">
        <f t="shared" si="19"/>
        <v>0.24000000000000021</v>
      </c>
      <c r="L114" s="33">
        <f t="shared" si="20"/>
        <v>-0.12000000000000011</v>
      </c>
      <c r="M114" s="33">
        <v>99.8</v>
      </c>
      <c r="N114" s="33">
        <v>5190.82</v>
      </c>
      <c r="O114" s="33">
        <v>37.64</v>
      </c>
      <c r="P114" s="33">
        <v>385.3</v>
      </c>
      <c r="Q114" s="34">
        <f t="shared" si="21"/>
        <v>5.0169270833333339</v>
      </c>
      <c r="R114" s="71">
        <v>1187.5854315701476</v>
      </c>
      <c r="S114" s="34">
        <f t="shared" si="22"/>
        <v>1546.3351973569631</v>
      </c>
      <c r="T114" s="71">
        <v>1223.3597932827151</v>
      </c>
      <c r="U114" s="34">
        <f t="shared" si="23"/>
        <v>1592.9163975035356</v>
      </c>
      <c r="V114" s="116">
        <v>337191</v>
      </c>
      <c r="W114" s="116">
        <v>1785973</v>
      </c>
      <c r="X114" s="117">
        <v>3905442</v>
      </c>
      <c r="Y114" s="117">
        <v>531537</v>
      </c>
      <c r="Z114" s="33">
        <v>73.099999999999994</v>
      </c>
      <c r="AA114" s="33">
        <v>58.6</v>
      </c>
      <c r="AB114" s="33">
        <v>75.099999999999994</v>
      </c>
      <c r="AC114" s="33">
        <v>55</v>
      </c>
      <c r="AD114" s="33">
        <v>38883</v>
      </c>
      <c r="AE114" s="33">
        <v>10.7</v>
      </c>
      <c r="AF114" s="33">
        <v>356</v>
      </c>
      <c r="AG114" s="33">
        <v>73.7</v>
      </c>
      <c r="AH114" s="33">
        <v>76.8</v>
      </c>
      <c r="AI114" s="33">
        <v>74.400000000000006</v>
      </c>
      <c r="AJ114" s="33">
        <v>79.599999999999994</v>
      </c>
      <c r="AK114" s="33">
        <v>155.052807</v>
      </c>
      <c r="AL114" s="33">
        <v>59.7</v>
      </c>
      <c r="AM114" s="123">
        <v>7.8201035185018233</v>
      </c>
      <c r="AN114" s="123">
        <v>8.8111825594464772</v>
      </c>
      <c r="AO114" s="123">
        <v>44.300093326311405</v>
      </c>
      <c r="AP114" s="33">
        <v>9.31</v>
      </c>
      <c r="AQ114" s="33">
        <f t="shared" si="24"/>
        <v>0.12513440860215053</v>
      </c>
      <c r="AR114" s="33">
        <v>87.9</v>
      </c>
      <c r="AS114" s="33">
        <v>91.5</v>
      </c>
      <c r="AT114" s="33">
        <v>84.5</v>
      </c>
      <c r="AU114" s="33">
        <v>88.9</v>
      </c>
      <c r="AV114" s="65">
        <v>90.5</v>
      </c>
      <c r="AW114" s="33">
        <v>87.3</v>
      </c>
      <c r="AX114" s="33">
        <v>-4.5</v>
      </c>
      <c r="AY114" s="33">
        <v>-9.1</v>
      </c>
      <c r="AZ114" s="33">
        <v>-12.8</v>
      </c>
      <c r="BA114" s="33">
        <v>-10.3</v>
      </c>
      <c r="BB114" s="33">
        <v>84</v>
      </c>
      <c r="BC114" s="33">
        <v>89.8</v>
      </c>
      <c r="BD114" s="33">
        <v>78.5</v>
      </c>
      <c r="BE114" s="33">
        <v>-15.9</v>
      </c>
      <c r="BF114" s="33">
        <v>-6.6</v>
      </c>
      <c r="BG114" s="33">
        <v>33</v>
      </c>
      <c r="BH114" s="33">
        <v>170.8</v>
      </c>
      <c r="BI114" s="33">
        <v>68.599999999999994</v>
      </c>
      <c r="BJ114" s="34">
        <v>47.898807609999999</v>
      </c>
      <c r="BK114" s="45">
        <v>-20.552767015615167</v>
      </c>
      <c r="BL114" s="45" t="s">
        <v>243</v>
      </c>
      <c r="BM114" s="33">
        <v>99.341800000000006</v>
      </c>
      <c r="BN114" s="33">
        <v>99.436000000000007</v>
      </c>
      <c r="BO114" s="33">
        <v>-27.2</v>
      </c>
      <c r="BP114" s="33">
        <v>-33.1</v>
      </c>
      <c r="BQ114" s="33">
        <v>15.3</v>
      </c>
      <c r="BR114" s="33">
        <v>-8.9</v>
      </c>
      <c r="BS114" s="33">
        <v>-4.4000000000000004</v>
      </c>
      <c r="BT114" s="33">
        <v>-18.600000000000001</v>
      </c>
      <c r="BU114" s="33">
        <v>-17.100000000000001</v>
      </c>
      <c r="BV114" s="33">
        <v>49.5</v>
      </c>
      <c r="BW114" s="33">
        <v>-5</v>
      </c>
      <c r="BX114" s="33">
        <v>-23.1</v>
      </c>
      <c r="BY114" s="33">
        <v>-31.8</v>
      </c>
      <c r="BZ114" s="33">
        <v>106.5</v>
      </c>
      <c r="CA114" s="33">
        <v>-5</v>
      </c>
      <c r="CB114" s="33">
        <v>-2.5</v>
      </c>
      <c r="CC114" s="33">
        <v>5.0999999999999996</v>
      </c>
      <c r="CD114" s="33">
        <v>-14.5</v>
      </c>
      <c r="CE114" s="33">
        <v>-13.7</v>
      </c>
      <c r="CF114" s="33">
        <v>0</v>
      </c>
      <c r="CG114" s="33">
        <v>33.700000000000003</v>
      </c>
      <c r="CH114" s="33">
        <v>17.2</v>
      </c>
      <c r="CI114" s="33">
        <v>-6.1</v>
      </c>
      <c r="CJ114" s="33">
        <v>-9.1</v>
      </c>
      <c r="CK114" s="33">
        <v>12.1</v>
      </c>
      <c r="CL114" s="33">
        <v>9.5</v>
      </c>
      <c r="CM114" s="33">
        <v>3450.8705</v>
      </c>
      <c r="CN114" s="33">
        <v>9345.69</v>
      </c>
      <c r="CO114" s="33">
        <v>1245.7594999999999</v>
      </c>
      <c r="CP114" s="33">
        <v>4.1840000000000002</v>
      </c>
      <c r="CQ114" s="33">
        <v>4.75</v>
      </c>
      <c r="CR114" s="33">
        <v>103.6</v>
      </c>
      <c r="CS114" s="121">
        <f t="shared" si="16"/>
        <v>36.049999999999997</v>
      </c>
      <c r="CT114" s="33">
        <v>103</v>
      </c>
      <c r="CU114" s="33">
        <v>110.6</v>
      </c>
      <c r="CV114" s="33">
        <v>78</v>
      </c>
      <c r="CW114" s="33">
        <v>67.3</v>
      </c>
      <c r="CX114" s="33">
        <v>96</v>
      </c>
      <c r="CY114" s="33">
        <v>3.67</v>
      </c>
      <c r="CZ114" s="33">
        <v>23263.528999999999</v>
      </c>
      <c r="DA114" s="33">
        <v>3.13</v>
      </c>
      <c r="DB114" s="33">
        <v>16.12</v>
      </c>
      <c r="DC114" s="33">
        <v>23.57</v>
      </c>
      <c r="DD114" s="33">
        <v>7.21</v>
      </c>
      <c r="DE114" s="33">
        <v>3571.1909999999998</v>
      </c>
      <c r="DF114" s="33">
        <v>685.38499999999999</v>
      </c>
      <c r="DG114" s="33">
        <v>280.62099999999998</v>
      </c>
      <c r="DH114" s="33">
        <v>735.59699999999998</v>
      </c>
      <c r="DI114" s="33">
        <v>508.14100000000002</v>
      </c>
      <c r="DJ114" s="33">
        <v>99.112700000000004</v>
      </c>
      <c r="DK114" s="33">
        <v>98.762799999999999</v>
      </c>
      <c r="DL114" s="33">
        <v>99.5</v>
      </c>
      <c r="DM114" s="33">
        <v>99.368700000000004</v>
      </c>
      <c r="DN114" s="33">
        <v>99.436000000000007</v>
      </c>
      <c r="DO114" s="33">
        <v>99.341800000000006</v>
      </c>
      <c r="DP114" s="33">
        <v>100.41500000000001</v>
      </c>
      <c r="DQ114" s="33">
        <v>100.4562</v>
      </c>
      <c r="DR114" s="104">
        <v>114763</v>
      </c>
      <c r="DS114" s="104">
        <v>27330.272009848843</v>
      </c>
      <c r="DT114" s="104">
        <v>93.734901964139269</v>
      </c>
      <c r="DU114">
        <v>89.672096252441406</v>
      </c>
      <c r="DV114">
        <v>104.85598754882813</v>
      </c>
      <c r="DW114">
        <v>816</v>
      </c>
      <c r="DX114">
        <v>650700</v>
      </c>
      <c r="DY114" s="102">
        <f t="shared" ref="DY114:DY145" si="26">DY115-(B114-B113)</f>
        <v>63.099999999999994</v>
      </c>
    </row>
    <row r="115" spans="1:129" x14ac:dyDescent="0.25">
      <c r="A115" s="1">
        <v>36220</v>
      </c>
      <c r="B115" s="33">
        <v>79.599999999999994</v>
      </c>
      <c r="C115" s="107">
        <v>2.93</v>
      </c>
      <c r="D115" s="33">
        <v>3</v>
      </c>
      <c r="E115" s="33">
        <v>3.09</v>
      </c>
      <c r="F115" s="33">
        <v>3.36</v>
      </c>
      <c r="G115" s="33">
        <v>3.76</v>
      </c>
      <c r="H115" s="33">
        <v>4.04</v>
      </c>
      <c r="I115" s="33">
        <f t="shared" si="17"/>
        <v>1.1099999999999999</v>
      </c>
      <c r="J115" s="33">
        <f t="shared" si="18"/>
        <v>1.04</v>
      </c>
      <c r="K115" s="33">
        <f t="shared" si="19"/>
        <v>0.95000000000000018</v>
      </c>
      <c r="L115" s="33">
        <f t="shared" si="20"/>
        <v>6.999999999999984E-2</v>
      </c>
      <c r="M115" s="33">
        <v>99.2</v>
      </c>
      <c r="N115" s="33">
        <v>4784.3100000000004</v>
      </c>
      <c r="O115" s="33">
        <v>35.299999999999997</v>
      </c>
      <c r="P115" s="33">
        <v>386.7</v>
      </c>
      <c r="Q115" s="34">
        <f t="shared" si="21"/>
        <v>5.0220779220779219</v>
      </c>
      <c r="R115" s="71">
        <v>1195.4994894441199</v>
      </c>
      <c r="S115" s="34">
        <f t="shared" si="22"/>
        <v>1552.5967395378182</v>
      </c>
      <c r="T115" s="71">
        <v>1233.93309679859</v>
      </c>
      <c r="U115" s="34">
        <f t="shared" si="23"/>
        <v>1602.5105153228442</v>
      </c>
      <c r="V115" s="116">
        <v>331659</v>
      </c>
      <c r="W115" s="116">
        <v>1806407</v>
      </c>
      <c r="X115" s="117">
        <v>3930847</v>
      </c>
      <c r="Y115" s="117">
        <v>522653</v>
      </c>
      <c r="Z115" s="33">
        <v>73.900000000000006</v>
      </c>
      <c r="AA115" s="33">
        <v>58.9</v>
      </c>
      <c r="AB115" s="33">
        <v>74.7</v>
      </c>
      <c r="AC115" s="33">
        <v>54.5</v>
      </c>
      <c r="AD115" s="33">
        <v>38899</v>
      </c>
      <c r="AE115" s="33">
        <v>10.6</v>
      </c>
      <c r="AF115" s="33">
        <v>364</v>
      </c>
      <c r="AG115" s="33">
        <v>74</v>
      </c>
      <c r="AH115" s="33">
        <v>77</v>
      </c>
      <c r="AI115" s="33">
        <v>74.900000000000006</v>
      </c>
      <c r="AJ115" s="33">
        <v>79.7</v>
      </c>
      <c r="AK115" s="33">
        <v>155.052807</v>
      </c>
      <c r="AL115" s="33">
        <v>59.8</v>
      </c>
      <c r="AM115" s="123">
        <v>7.8201035185018233</v>
      </c>
      <c r="AN115" s="123">
        <v>11.485223037686451</v>
      </c>
      <c r="AO115" s="123">
        <v>44.129708351979446</v>
      </c>
      <c r="AP115" s="33">
        <v>11.84</v>
      </c>
      <c r="AQ115" s="33">
        <f t="shared" si="24"/>
        <v>0.15807743658210946</v>
      </c>
      <c r="AR115" s="33">
        <v>88.8</v>
      </c>
      <c r="AS115" s="33">
        <v>92.6</v>
      </c>
      <c r="AT115" s="33">
        <v>85.2</v>
      </c>
      <c r="AU115" s="33">
        <v>89.3</v>
      </c>
      <c r="AV115" s="65">
        <v>91.9</v>
      </c>
      <c r="AW115" s="33">
        <v>86.8</v>
      </c>
      <c r="AX115" s="33">
        <v>-7</v>
      </c>
      <c r="AY115" s="33">
        <v>-9.3000000000000007</v>
      </c>
      <c r="AZ115" s="33">
        <v>-11.5</v>
      </c>
      <c r="BA115" s="33">
        <v>-8.4</v>
      </c>
      <c r="BB115" s="33">
        <v>85.1</v>
      </c>
      <c r="BC115" s="33">
        <v>90.8</v>
      </c>
      <c r="BD115" s="33">
        <v>79.8</v>
      </c>
      <c r="BE115" s="33">
        <v>-27.3</v>
      </c>
      <c r="BF115" s="33">
        <v>9.1999999999999993</v>
      </c>
      <c r="BG115" s="33">
        <v>18.5</v>
      </c>
      <c r="BH115" s="33">
        <v>171.5</v>
      </c>
      <c r="BI115" s="33">
        <v>21.7</v>
      </c>
      <c r="BJ115" s="34">
        <v>48.482938820000001</v>
      </c>
      <c r="BK115" s="45">
        <v>-16.422409695487659</v>
      </c>
      <c r="BL115" s="45" t="s">
        <v>243</v>
      </c>
      <c r="BM115" s="33">
        <v>99.369200000000006</v>
      </c>
      <c r="BN115" s="33">
        <v>99.459500000000006</v>
      </c>
      <c r="BO115" s="33">
        <v>-28.4</v>
      </c>
      <c r="BP115" s="33">
        <v>-35.799999999999997</v>
      </c>
      <c r="BQ115" s="33">
        <v>15.7</v>
      </c>
      <c r="BR115" s="33">
        <v>-7.8</v>
      </c>
      <c r="BS115" s="33">
        <v>-4.2</v>
      </c>
      <c r="BT115" s="33">
        <v>-16.399999999999999</v>
      </c>
      <c r="BU115" s="33">
        <v>-17.3</v>
      </c>
      <c r="BV115" s="33">
        <v>49.4</v>
      </c>
      <c r="BW115" s="33">
        <v>-6.6</v>
      </c>
      <c r="BX115" s="33">
        <v>-15</v>
      </c>
      <c r="BY115" s="33">
        <v>-30.7</v>
      </c>
      <c r="BZ115" s="33">
        <v>106.2</v>
      </c>
      <c r="CA115" s="33">
        <v>-6.6</v>
      </c>
      <c r="CB115" s="33">
        <v>-2.7</v>
      </c>
      <c r="CC115" s="33">
        <v>5.2</v>
      </c>
      <c r="CD115" s="33">
        <v>-16.600000000000001</v>
      </c>
      <c r="CE115" s="33">
        <v>-16.100000000000001</v>
      </c>
      <c r="CF115" s="33">
        <v>-1.9</v>
      </c>
      <c r="CG115" s="33">
        <v>37.200000000000003</v>
      </c>
      <c r="CH115" s="33">
        <v>20.100000000000001</v>
      </c>
      <c r="CI115" s="33">
        <v>-6.9</v>
      </c>
      <c r="CJ115" s="33">
        <v>-12.8</v>
      </c>
      <c r="CK115" s="33">
        <v>14.3</v>
      </c>
      <c r="CL115" s="33">
        <v>10</v>
      </c>
      <c r="CM115" s="33">
        <v>3524.1934780000001</v>
      </c>
      <c r="CN115" s="33">
        <v>9324.7800000000007</v>
      </c>
      <c r="CO115" s="33">
        <v>1281.6639130000001</v>
      </c>
      <c r="CP115" s="33">
        <v>4.7249999999999996</v>
      </c>
      <c r="CQ115" s="33">
        <v>5.4</v>
      </c>
      <c r="CR115" s="33">
        <v>99</v>
      </c>
      <c r="CS115" s="121">
        <f t="shared" si="16"/>
        <v>33.450000000000003</v>
      </c>
      <c r="CT115" s="33">
        <v>101.2</v>
      </c>
      <c r="CU115" s="33">
        <v>111.7</v>
      </c>
      <c r="CV115" s="33">
        <v>81.099999999999994</v>
      </c>
      <c r="CW115" s="33">
        <v>57.5</v>
      </c>
      <c r="CX115" s="33">
        <v>95.9</v>
      </c>
      <c r="CY115" s="33">
        <v>3.88</v>
      </c>
      <c r="CZ115" s="33">
        <v>24377.197</v>
      </c>
      <c r="DA115" s="33">
        <v>3</v>
      </c>
      <c r="DB115" s="33">
        <v>16.11</v>
      </c>
      <c r="DC115" s="33">
        <v>22.49</v>
      </c>
      <c r="DD115" s="33">
        <v>6.84</v>
      </c>
      <c r="DE115" s="33">
        <v>4648.7190000000001</v>
      </c>
      <c r="DF115" s="33">
        <v>1120.1279999999999</v>
      </c>
      <c r="DG115" s="33">
        <v>368.36399999999998</v>
      </c>
      <c r="DH115" s="33">
        <v>939.86099999999999</v>
      </c>
      <c r="DI115" s="33">
        <v>592.63900000000001</v>
      </c>
      <c r="DJ115" s="33">
        <v>99.445800000000006</v>
      </c>
      <c r="DK115" s="33">
        <v>99.191400000000002</v>
      </c>
      <c r="DL115" s="33">
        <v>99.63</v>
      </c>
      <c r="DM115" s="33">
        <v>99.536600000000007</v>
      </c>
      <c r="DN115" s="33">
        <v>99.459500000000006</v>
      </c>
      <c r="DO115" s="33">
        <v>99.369200000000006</v>
      </c>
      <c r="DP115" s="33">
        <v>100.5874</v>
      </c>
      <c r="DQ115" s="33">
        <v>100.64579999999999</v>
      </c>
      <c r="DR115" s="104">
        <v>120602</v>
      </c>
      <c r="DS115" s="104">
        <v>27345.177882283049</v>
      </c>
      <c r="DT115" s="104">
        <v>93.642186927577299</v>
      </c>
      <c r="DU115">
        <v>92.029945373535156</v>
      </c>
      <c r="DV115">
        <v>65.630912780761719</v>
      </c>
      <c r="DW115">
        <v>978</v>
      </c>
      <c r="DX115">
        <v>695525</v>
      </c>
      <c r="DY115" s="102">
        <f t="shared" si="26"/>
        <v>61.2</v>
      </c>
    </row>
    <row r="116" spans="1:129" x14ac:dyDescent="0.25">
      <c r="A116" s="1">
        <v>36251</v>
      </c>
      <c r="B116" s="33">
        <v>79.900000000000006</v>
      </c>
      <c r="C116" s="107">
        <v>2.71</v>
      </c>
      <c r="D116" s="33">
        <v>2.5</v>
      </c>
      <c r="E116" s="33">
        <v>2.95</v>
      </c>
      <c r="F116" s="33">
        <v>3.09</v>
      </c>
      <c r="G116" s="33">
        <v>3.52</v>
      </c>
      <c r="H116" s="33">
        <v>3.85</v>
      </c>
      <c r="I116" s="33">
        <f t="shared" si="17"/>
        <v>1.1400000000000001</v>
      </c>
      <c r="J116" s="33">
        <f t="shared" si="18"/>
        <v>1.35</v>
      </c>
      <c r="K116" s="33">
        <f t="shared" si="19"/>
        <v>0.89999999999999991</v>
      </c>
      <c r="L116" s="33">
        <f t="shared" si="20"/>
        <v>-0.20999999999999996</v>
      </c>
      <c r="M116" s="33">
        <v>99.1</v>
      </c>
      <c r="N116" s="33">
        <v>4914.59</v>
      </c>
      <c r="O116" s="33">
        <v>26.31</v>
      </c>
      <c r="P116" s="33">
        <v>393.7</v>
      </c>
      <c r="Q116" s="34">
        <f t="shared" si="21"/>
        <v>5.1129870129870127</v>
      </c>
      <c r="R116" s="71">
        <v>1201.220495136148</v>
      </c>
      <c r="S116" s="34">
        <f t="shared" si="22"/>
        <v>1560.0266170599325</v>
      </c>
      <c r="T116" s="71">
        <v>1246.6020100203139</v>
      </c>
      <c r="U116" s="34">
        <f t="shared" si="23"/>
        <v>1618.9636493770308</v>
      </c>
      <c r="V116" s="116">
        <v>326160</v>
      </c>
      <c r="W116" s="116">
        <v>1823152</v>
      </c>
      <c r="X116" s="117">
        <v>3952443</v>
      </c>
      <c r="Y116" s="117">
        <v>535943</v>
      </c>
      <c r="Z116" s="33">
        <v>74.3</v>
      </c>
      <c r="AA116" s="33">
        <v>59.3</v>
      </c>
      <c r="AB116" s="33">
        <v>77.2</v>
      </c>
      <c r="AC116" s="33">
        <v>55.4</v>
      </c>
      <c r="AD116" s="33">
        <v>38752</v>
      </c>
      <c r="AE116" s="33">
        <v>10.6</v>
      </c>
      <c r="AF116" s="33">
        <v>369</v>
      </c>
      <c r="AG116" s="33">
        <v>74.5</v>
      </c>
      <c r="AH116" s="33">
        <v>77</v>
      </c>
      <c r="AI116" s="33">
        <v>75.400000000000006</v>
      </c>
      <c r="AJ116" s="33">
        <v>79.7</v>
      </c>
      <c r="AK116" s="33">
        <v>156.12090900000001</v>
      </c>
      <c r="AL116" s="33">
        <v>60.1</v>
      </c>
      <c r="AM116" s="123">
        <v>9.9554823390521374</v>
      </c>
      <c r="AN116" s="123">
        <v>14.32327042923832</v>
      </c>
      <c r="AO116" s="123">
        <v>45.816759576702999</v>
      </c>
      <c r="AP116" s="33">
        <v>14.48</v>
      </c>
      <c r="AQ116" s="33">
        <f t="shared" si="24"/>
        <v>0.19204244031830237</v>
      </c>
      <c r="AR116" s="33">
        <v>88.8</v>
      </c>
      <c r="AS116" s="33">
        <v>92.8</v>
      </c>
      <c r="AT116" s="33">
        <v>85.1</v>
      </c>
      <c r="AU116" s="33">
        <v>89.7</v>
      </c>
      <c r="AV116" s="65">
        <v>93.1</v>
      </c>
      <c r="AW116" s="33">
        <v>86.5</v>
      </c>
      <c r="AX116" s="33">
        <v>-5.6</v>
      </c>
      <c r="AY116" s="33">
        <v>-10.8</v>
      </c>
      <c r="AZ116" s="33">
        <v>-10.8</v>
      </c>
      <c r="BA116" s="33">
        <v>-5.5</v>
      </c>
      <c r="BB116" s="33">
        <v>87.1</v>
      </c>
      <c r="BC116" s="33">
        <v>91.8</v>
      </c>
      <c r="BD116" s="33">
        <v>82.6</v>
      </c>
      <c r="BE116" s="33">
        <v>-31.9</v>
      </c>
      <c r="BF116" s="33">
        <v>30.3</v>
      </c>
      <c r="BG116" s="33">
        <v>0.4</v>
      </c>
      <c r="BH116" s="33">
        <v>172.5</v>
      </c>
      <c r="BI116" s="33">
        <v>3.9</v>
      </c>
      <c r="BJ116" s="34">
        <v>49.270175870000003</v>
      </c>
      <c r="BK116" s="45">
        <v>4.8979268831026515</v>
      </c>
      <c r="BL116" s="45" t="s">
        <v>243</v>
      </c>
      <c r="BM116" s="33">
        <v>99.442300000000003</v>
      </c>
      <c r="BN116" s="33">
        <v>99.522300000000001</v>
      </c>
      <c r="BO116" s="33">
        <v>-29.6</v>
      </c>
      <c r="BP116" s="33">
        <v>-34.6</v>
      </c>
      <c r="BQ116" s="33">
        <v>15.9</v>
      </c>
      <c r="BR116" s="33">
        <v>-7.2</v>
      </c>
      <c r="BS116" s="33">
        <v>-2.6</v>
      </c>
      <c r="BT116" s="33">
        <v>-18.100000000000001</v>
      </c>
      <c r="BU116" s="33">
        <v>-17.600000000000001</v>
      </c>
      <c r="BV116" s="33">
        <v>43.8</v>
      </c>
      <c r="BW116" s="33">
        <v>-7.4</v>
      </c>
      <c r="BX116" s="33">
        <v>-22.4</v>
      </c>
      <c r="BY116" s="33">
        <v>-31.4</v>
      </c>
      <c r="BZ116" s="33">
        <v>103.9</v>
      </c>
      <c r="CA116" s="33">
        <v>-7.4</v>
      </c>
      <c r="CB116" s="33">
        <v>-3.2</v>
      </c>
      <c r="CC116" s="33">
        <v>3.5</v>
      </c>
      <c r="CD116" s="33">
        <v>-23</v>
      </c>
      <c r="CE116" s="33">
        <v>-19.5</v>
      </c>
      <c r="CF116" s="33">
        <v>10</v>
      </c>
      <c r="CG116" s="33">
        <v>52.8</v>
      </c>
      <c r="CH116" s="33">
        <v>23.1</v>
      </c>
      <c r="CI116" s="33">
        <v>-5.8</v>
      </c>
      <c r="CJ116" s="33">
        <v>-10.3</v>
      </c>
      <c r="CK116" s="33">
        <v>15</v>
      </c>
      <c r="CL116" s="33">
        <v>11.3</v>
      </c>
      <c r="CM116" s="33">
        <v>3671.7954549999999</v>
      </c>
      <c r="CN116" s="33">
        <v>9832.5</v>
      </c>
      <c r="CO116" s="33">
        <v>1332.8922729999999</v>
      </c>
      <c r="CP116" s="33">
        <v>4.5220000000000002</v>
      </c>
      <c r="CQ116" s="33">
        <v>5.27</v>
      </c>
      <c r="CR116" s="33">
        <v>97.4</v>
      </c>
      <c r="CS116" s="121">
        <f t="shared" si="16"/>
        <v>35.25</v>
      </c>
      <c r="CT116" s="33">
        <v>102.3</v>
      </c>
      <c r="CU116" s="33">
        <v>109.1</v>
      </c>
      <c r="CV116" s="33">
        <v>83.7</v>
      </c>
      <c r="CW116" s="33">
        <v>66.2</v>
      </c>
      <c r="CX116" s="33">
        <v>89.1</v>
      </c>
      <c r="CY116" s="33">
        <v>4.4400000000000004</v>
      </c>
      <c r="CZ116" s="33">
        <v>24201.954000000002</v>
      </c>
      <c r="DA116" s="33">
        <v>3.12</v>
      </c>
      <c r="DB116" s="33">
        <v>15.96</v>
      </c>
      <c r="DC116" s="33">
        <v>23.58</v>
      </c>
      <c r="DD116" s="33">
        <v>7.02</v>
      </c>
      <c r="DE116" s="33">
        <v>3752.739</v>
      </c>
      <c r="DF116" s="33">
        <v>717.98199999999997</v>
      </c>
      <c r="DG116" s="33">
        <v>396.71199999999999</v>
      </c>
      <c r="DH116" s="33">
        <v>777.27200000000005</v>
      </c>
      <c r="DI116" s="33">
        <v>500.06299999999999</v>
      </c>
      <c r="DJ116" s="33">
        <v>99.779300000000006</v>
      </c>
      <c r="DK116" s="33">
        <v>99.624899999999997</v>
      </c>
      <c r="DL116" s="33">
        <v>99.77</v>
      </c>
      <c r="DM116" s="33">
        <v>99.706999999999994</v>
      </c>
      <c r="DN116" s="33">
        <v>99.522300000000001</v>
      </c>
      <c r="DO116" s="33">
        <v>99.442300000000003</v>
      </c>
      <c r="DP116" s="33">
        <v>100.7383</v>
      </c>
      <c r="DQ116" s="33">
        <v>100.81180000000001</v>
      </c>
      <c r="DR116" s="104">
        <v>106032</v>
      </c>
      <c r="DS116" s="104">
        <v>27235.158347649602</v>
      </c>
      <c r="DT116" s="104">
        <v>93.271326781329478</v>
      </c>
      <c r="DU116">
        <v>83.044052124023438</v>
      </c>
      <c r="DV116">
        <v>95.329208374023438</v>
      </c>
      <c r="DW116">
        <v>891</v>
      </c>
      <c r="DX116">
        <v>722425</v>
      </c>
      <c r="DY116" s="102">
        <f t="shared" si="26"/>
        <v>62.099999999999994</v>
      </c>
    </row>
    <row r="117" spans="1:129" x14ac:dyDescent="0.25">
      <c r="A117" s="1">
        <v>36281</v>
      </c>
      <c r="B117" s="33">
        <v>80.2</v>
      </c>
      <c r="C117" s="107">
        <v>2.5499999999999998</v>
      </c>
      <c r="D117" s="33">
        <v>2.5</v>
      </c>
      <c r="E117" s="33">
        <v>2.77</v>
      </c>
      <c r="F117" s="33">
        <v>3.16</v>
      </c>
      <c r="G117" s="33">
        <v>3.61</v>
      </c>
      <c r="H117" s="33">
        <v>4.01</v>
      </c>
      <c r="I117" s="33">
        <f t="shared" si="17"/>
        <v>1.46</v>
      </c>
      <c r="J117" s="33">
        <f t="shared" si="18"/>
        <v>1.5099999999999998</v>
      </c>
      <c r="K117" s="33">
        <f t="shared" si="19"/>
        <v>1.2399999999999998</v>
      </c>
      <c r="L117" s="33">
        <f t="shared" si="20"/>
        <v>-4.9999999999999822E-2</v>
      </c>
      <c r="M117" s="33">
        <v>98.7</v>
      </c>
      <c r="N117" s="33">
        <v>5377.56</v>
      </c>
      <c r="O117" s="33">
        <v>24.85</v>
      </c>
      <c r="P117" s="33">
        <v>400.8</v>
      </c>
      <c r="Q117" s="34">
        <f t="shared" si="21"/>
        <v>5.2051948051948056</v>
      </c>
      <c r="R117" s="71">
        <v>1209.897353769057</v>
      </c>
      <c r="S117" s="34">
        <f t="shared" si="22"/>
        <v>1571.2952646351389</v>
      </c>
      <c r="T117" s="71">
        <v>1261.8428078810343</v>
      </c>
      <c r="U117" s="34">
        <f t="shared" si="23"/>
        <v>1638.7568933519926</v>
      </c>
      <c r="V117" s="116">
        <v>322185</v>
      </c>
      <c r="W117" s="116">
        <v>1836913</v>
      </c>
      <c r="X117" s="117">
        <v>3968746</v>
      </c>
      <c r="Y117" s="117">
        <v>536533</v>
      </c>
      <c r="Z117" s="33">
        <v>74.400000000000006</v>
      </c>
      <c r="AA117" s="33">
        <v>59.7</v>
      </c>
      <c r="AB117" s="33">
        <v>78</v>
      </c>
      <c r="AC117" s="33">
        <v>54.7</v>
      </c>
      <c r="AD117" s="33">
        <v>38876</v>
      </c>
      <c r="AE117" s="33">
        <v>10.5</v>
      </c>
      <c r="AF117" s="33">
        <v>375</v>
      </c>
      <c r="AG117" s="33">
        <v>74.400000000000006</v>
      </c>
      <c r="AH117" s="33">
        <v>77</v>
      </c>
      <c r="AI117" s="33">
        <v>75.5</v>
      </c>
      <c r="AJ117" s="33">
        <v>79.8</v>
      </c>
      <c r="AK117" s="33">
        <v>156.12090900000001</v>
      </c>
      <c r="AL117" s="33">
        <v>60.4</v>
      </c>
      <c r="AM117" s="123">
        <v>10.806598704826026</v>
      </c>
      <c r="AN117" s="123">
        <v>14.664300677553522</v>
      </c>
      <c r="AO117" s="123">
        <v>47.50381080142656</v>
      </c>
      <c r="AP117" s="33">
        <v>14.75</v>
      </c>
      <c r="AQ117" s="33">
        <f t="shared" si="24"/>
        <v>0.19536423841059603</v>
      </c>
      <c r="AR117" s="33">
        <v>89.1</v>
      </c>
      <c r="AS117" s="33">
        <v>93.8</v>
      </c>
      <c r="AT117" s="33">
        <v>84.6</v>
      </c>
      <c r="AU117" s="33">
        <v>89.6</v>
      </c>
      <c r="AV117" s="65">
        <v>93.9</v>
      </c>
      <c r="AW117" s="33">
        <v>85.5</v>
      </c>
      <c r="AX117" s="33">
        <v>-3</v>
      </c>
      <c r="AY117" s="33">
        <v>-6.3</v>
      </c>
      <c r="AZ117" s="33">
        <v>-12.5</v>
      </c>
      <c r="BA117" s="33">
        <v>-7.2</v>
      </c>
      <c r="BB117" s="33">
        <v>86.5</v>
      </c>
      <c r="BC117" s="33">
        <v>91.6</v>
      </c>
      <c r="BD117" s="33">
        <v>81.599999999999994</v>
      </c>
      <c r="BE117" s="33">
        <v>-28.3</v>
      </c>
      <c r="BF117" s="33">
        <v>45.1</v>
      </c>
      <c r="BG117" s="33">
        <v>2</v>
      </c>
      <c r="BH117" s="33">
        <v>171.5</v>
      </c>
      <c r="BI117" s="33">
        <v>2.2000000000000002</v>
      </c>
      <c r="BJ117" s="34">
        <v>49.551152350000002</v>
      </c>
      <c r="BK117" s="45">
        <v>31.724200551158368</v>
      </c>
      <c r="BL117" s="45" t="s">
        <v>243</v>
      </c>
      <c r="BM117" s="33">
        <v>99.574100000000001</v>
      </c>
      <c r="BN117" s="33">
        <v>99.635599999999997</v>
      </c>
      <c r="BO117" s="33">
        <v>-31.6</v>
      </c>
      <c r="BP117" s="33">
        <v>-37.9</v>
      </c>
      <c r="BQ117" s="33">
        <v>16.399999999999999</v>
      </c>
      <c r="BR117" s="33">
        <v>-5.7</v>
      </c>
      <c r="BS117" s="33">
        <v>-0.2</v>
      </c>
      <c r="BT117" s="33">
        <v>-17.7</v>
      </c>
      <c r="BU117" s="33">
        <v>-17.899999999999999</v>
      </c>
      <c r="BV117" s="33">
        <v>44</v>
      </c>
      <c r="BW117" s="33">
        <v>-8.1</v>
      </c>
      <c r="BX117" s="33">
        <v>-23.3</v>
      </c>
      <c r="BY117" s="33">
        <v>-30.9</v>
      </c>
      <c r="BZ117" s="33">
        <v>103.5</v>
      </c>
      <c r="CA117" s="33">
        <v>-8.1</v>
      </c>
      <c r="CB117" s="33">
        <v>-3.9</v>
      </c>
      <c r="CC117" s="33">
        <v>3.5</v>
      </c>
      <c r="CD117" s="33">
        <v>-24.3</v>
      </c>
      <c r="CE117" s="33">
        <v>-19.399999999999999</v>
      </c>
      <c r="CF117" s="33">
        <v>11.5</v>
      </c>
      <c r="CG117" s="33">
        <v>45.4</v>
      </c>
      <c r="CH117" s="33">
        <v>24.7</v>
      </c>
      <c r="CI117" s="33">
        <v>-10.4</v>
      </c>
      <c r="CJ117" s="33">
        <v>-12.8</v>
      </c>
      <c r="CK117" s="33">
        <v>11.1</v>
      </c>
      <c r="CL117" s="33">
        <v>11</v>
      </c>
      <c r="CM117" s="33">
        <v>3669.7304760000002</v>
      </c>
      <c r="CN117" s="33">
        <v>11014.69</v>
      </c>
      <c r="CO117" s="33">
        <v>1330.634286</v>
      </c>
      <c r="CP117" s="33">
        <v>4.6020000000000003</v>
      </c>
      <c r="CQ117" s="33">
        <v>5.38</v>
      </c>
      <c r="CR117" s="33">
        <v>97.6</v>
      </c>
      <c r="CS117" s="121">
        <f t="shared" si="16"/>
        <v>34.150000000000006</v>
      </c>
      <c r="CT117" s="33">
        <v>103.5</v>
      </c>
      <c r="CU117" s="33">
        <v>110.3</v>
      </c>
      <c r="CV117" s="33">
        <v>85.8</v>
      </c>
      <c r="CW117" s="33">
        <v>67.3</v>
      </c>
      <c r="CX117" s="33">
        <v>83.6</v>
      </c>
      <c r="CY117" s="33">
        <v>4.0199999999999996</v>
      </c>
      <c r="CZ117" s="33">
        <v>23368.106</v>
      </c>
      <c r="DA117" s="33">
        <v>3.1</v>
      </c>
      <c r="DB117" s="33">
        <v>17.21</v>
      </c>
      <c r="DC117" s="33">
        <v>23.7</v>
      </c>
      <c r="DD117" s="33">
        <v>6.58</v>
      </c>
      <c r="DE117" s="33">
        <v>3841.2910000000002</v>
      </c>
      <c r="DF117" s="33">
        <v>745.20500000000004</v>
      </c>
      <c r="DG117" s="33">
        <v>346.601</v>
      </c>
      <c r="DH117" s="33">
        <v>806.98599999999999</v>
      </c>
      <c r="DI117" s="33">
        <v>623.41700000000003</v>
      </c>
      <c r="DJ117" s="33">
        <v>100.0818</v>
      </c>
      <c r="DK117" s="33">
        <v>100.0227</v>
      </c>
      <c r="DL117" s="33">
        <v>99.9</v>
      </c>
      <c r="DM117" s="33">
        <v>99.878299999999996</v>
      </c>
      <c r="DN117" s="33">
        <v>99.635599999999997</v>
      </c>
      <c r="DO117" s="33">
        <v>99.574100000000001</v>
      </c>
      <c r="DP117" s="33">
        <v>100.8677</v>
      </c>
      <c r="DQ117" s="33">
        <v>100.9541</v>
      </c>
      <c r="DR117" s="104">
        <v>115256</v>
      </c>
      <c r="DS117" s="104">
        <v>27318.205351211625</v>
      </c>
      <c r="DT117" s="104">
        <v>93.178611744767522</v>
      </c>
      <c r="DU117">
        <v>82.165367126464844</v>
      </c>
      <c r="DV117">
        <v>87.841438293457031</v>
      </c>
      <c r="DW117">
        <v>1091</v>
      </c>
      <c r="DX117">
        <v>747975</v>
      </c>
      <c r="DY117" s="102">
        <f t="shared" si="26"/>
        <v>62.400000000000006</v>
      </c>
    </row>
    <row r="118" spans="1:129" x14ac:dyDescent="0.25">
      <c r="A118" s="1">
        <v>36312</v>
      </c>
      <c r="B118" s="33">
        <v>80.599999999999994</v>
      </c>
      <c r="C118" s="107">
        <v>2.56</v>
      </c>
      <c r="D118" s="33">
        <v>2.5</v>
      </c>
      <c r="E118" s="33">
        <v>2.63</v>
      </c>
      <c r="F118" s="33">
        <v>3.55</v>
      </c>
      <c r="G118" s="33">
        <v>4</v>
      </c>
      <c r="H118" s="33">
        <v>4.3600000000000003</v>
      </c>
      <c r="I118" s="33">
        <f t="shared" si="17"/>
        <v>1.8000000000000003</v>
      </c>
      <c r="J118" s="33">
        <f t="shared" si="18"/>
        <v>1.8600000000000003</v>
      </c>
      <c r="K118" s="33">
        <f t="shared" si="19"/>
        <v>1.7300000000000004</v>
      </c>
      <c r="L118" s="33">
        <f t="shared" si="20"/>
        <v>-6.0000000000000053E-2</v>
      </c>
      <c r="M118" s="33">
        <v>97.9</v>
      </c>
      <c r="N118" s="33">
        <v>5021.24</v>
      </c>
      <c r="O118" s="33">
        <v>26.17</v>
      </c>
      <c r="P118" s="33">
        <v>411.1</v>
      </c>
      <c r="Q118" s="34">
        <f t="shared" si="21"/>
        <v>5.3389610389610391</v>
      </c>
      <c r="R118" s="71">
        <v>1220.0998139198405</v>
      </c>
      <c r="S118" s="34">
        <f t="shared" si="22"/>
        <v>1584.5452128829097</v>
      </c>
      <c r="T118" s="71">
        <v>1270.8920316108372</v>
      </c>
      <c r="U118" s="34">
        <f t="shared" si="23"/>
        <v>1650.509131962126</v>
      </c>
      <c r="V118" s="116">
        <v>324896</v>
      </c>
      <c r="W118" s="116">
        <v>1858495</v>
      </c>
      <c r="X118" s="117">
        <v>3988595</v>
      </c>
      <c r="Y118" s="117">
        <v>548459</v>
      </c>
      <c r="Z118" s="33">
        <v>74.900000000000006</v>
      </c>
      <c r="AA118" s="33">
        <v>61.5</v>
      </c>
      <c r="AB118" s="33">
        <v>75.8</v>
      </c>
      <c r="AC118" s="33">
        <v>58.1</v>
      </c>
      <c r="AD118" s="33">
        <v>39074</v>
      </c>
      <c r="AE118" s="33">
        <v>10.5</v>
      </c>
      <c r="AF118" s="33">
        <v>379</v>
      </c>
      <c r="AG118" s="33">
        <v>74.400000000000006</v>
      </c>
      <c r="AH118" s="33">
        <v>77</v>
      </c>
      <c r="AI118" s="33">
        <v>76.2</v>
      </c>
      <c r="AJ118" s="33">
        <v>79.900000000000006</v>
      </c>
      <c r="AK118" s="33">
        <v>156.29892599999999</v>
      </c>
      <c r="AL118" s="33">
        <v>60.4</v>
      </c>
      <c r="AM118" s="123">
        <v>10.240215124908518</v>
      </c>
      <c r="AN118" s="123">
        <v>15.444316671040415</v>
      </c>
      <c r="AO118" s="123">
        <v>46.827599971513024</v>
      </c>
      <c r="AP118" s="33">
        <v>15.55</v>
      </c>
      <c r="AQ118" s="33">
        <f t="shared" si="24"/>
        <v>0.20406824146981628</v>
      </c>
      <c r="AR118" s="33">
        <v>90.9</v>
      </c>
      <c r="AS118" s="33">
        <v>96.2</v>
      </c>
      <c r="AT118" s="33">
        <v>85.8</v>
      </c>
      <c r="AU118" s="33">
        <v>92</v>
      </c>
      <c r="AV118" s="65">
        <v>97</v>
      </c>
      <c r="AW118" s="33">
        <v>87.2</v>
      </c>
      <c r="AX118" s="33">
        <v>2.5</v>
      </c>
      <c r="AY118" s="33">
        <v>-5.6</v>
      </c>
      <c r="AZ118" s="33">
        <v>-5.4</v>
      </c>
      <c r="BA118" s="33">
        <v>-3.1</v>
      </c>
      <c r="BB118" s="33">
        <v>88.6</v>
      </c>
      <c r="BC118" s="33">
        <v>94.7</v>
      </c>
      <c r="BD118" s="33">
        <v>83</v>
      </c>
      <c r="BE118" s="33">
        <v>-27.1</v>
      </c>
      <c r="BF118" s="33">
        <v>56.4</v>
      </c>
      <c r="BG118" s="33">
        <v>-2</v>
      </c>
      <c r="BH118" s="33">
        <v>167.7</v>
      </c>
      <c r="BI118" s="33">
        <v>1.6</v>
      </c>
      <c r="BJ118" s="34">
        <v>50.303261800000001</v>
      </c>
      <c r="BK118" s="45">
        <v>45.270759086703748</v>
      </c>
      <c r="BL118" s="45" t="s">
        <v>243</v>
      </c>
      <c r="BM118" s="33">
        <v>99.755200000000002</v>
      </c>
      <c r="BN118" s="33">
        <v>99.791200000000003</v>
      </c>
      <c r="BO118" s="33">
        <v>-29</v>
      </c>
      <c r="BP118" s="33">
        <v>-33.799999999999997</v>
      </c>
      <c r="BQ118" s="33">
        <v>15.3</v>
      </c>
      <c r="BR118" s="33">
        <v>-2.8</v>
      </c>
      <c r="BS118" s="33">
        <v>3.5</v>
      </c>
      <c r="BT118" s="33">
        <v>-15.4</v>
      </c>
      <c r="BU118" s="33">
        <v>-15.7</v>
      </c>
      <c r="BV118" s="33">
        <v>44.3</v>
      </c>
      <c r="BW118" s="33">
        <v>-8.6</v>
      </c>
      <c r="BX118" s="33">
        <v>-19.3</v>
      </c>
      <c r="BY118" s="33">
        <v>-29.3</v>
      </c>
      <c r="BZ118" s="33">
        <v>104.7</v>
      </c>
      <c r="CA118" s="33">
        <v>-8.6</v>
      </c>
      <c r="CB118" s="33">
        <v>-4.7</v>
      </c>
      <c r="CC118" s="33">
        <v>2.9</v>
      </c>
      <c r="CD118" s="33">
        <v>-26.4</v>
      </c>
      <c r="CE118" s="33">
        <v>-20.2</v>
      </c>
      <c r="CF118" s="33">
        <v>13.9</v>
      </c>
      <c r="CG118" s="33">
        <v>46.9</v>
      </c>
      <c r="CH118" s="33">
        <v>25.7</v>
      </c>
      <c r="CI118" s="33">
        <v>-11</v>
      </c>
      <c r="CJ118" s="33">
        <v>-12.6</v>
      </c>
      <c r="CK118" s="33">
        <v>12.5</v>
      </c>
      <c r="CL118" s="33">
        <v>9.6999999999999993</v>
      </c>
      <c r="CM118" s="33">
        <v>3749.4504550000001</v>
      </c>
      <c r="CN118" s="33">
        <v>10596.26</v>
      </c>
      <c r="CO118" s="33">
        <v>1322.552727</v>
      </c>
      <c r="CP118" s="33">
        <v>4.8949999999999996</v>
      </c>
      <c r="CQ118" s="33">
        <v>5.78</v>
      </c>
      <c r="CR118" s="33">
        <v>99.8</v>
      </c>
      <c r="CS118" s="121">
        <f t="shared" si="16"/>
        <v>32.950000000000003</v>
      </c>
      <c r="CT118" s="33">
        <v>106.4</v>
      </c>
      <c r="CU118" s="33">
        <v>107.1</v>
      </c>
      <c r="CV118" s="33">
        <v>85.7</v>
      </c>
      <c r="CW118" s="33">
        <v>75.099999999999994</v>
      </c>
      <c r="CX118" s="33">
        <v>88</v>
      </c>
      <c r="CY118" s="33">
        <v>4.21</v>
      </c>
      <c r="CZ118" s="33">
        <v>26241.415000000001</v>
      </c>
      <c r="DA118" s="33">
        <v>3</v>
      </c>
      <c r="DB118" s="33">
        <v>16.7</v>
      </c>
      <c r="DC118" s="33">
        <v>24.67</v>
      </c>
      <c r="DD118" s="33">
        <v>6.62</v>
      </c>
      <c r="DE118" s="33">
        <v>4367.2259999999997</v>
      </c>
      <c r="DF118" s="33">
        <v>1022.0119999999999</v>
      </c>
      <c r="DG118" s="33">
        <v>386.745</v>
      </c>
      <c r="DH118" s="33">
        <v>830.58699999999999</v>
      </c>
      <c r="DI118" s="33">
        <v>619.04700000000003</v>
      </c>
      <c r="DJ118" s="33">
        <v>100.3597</v>
      </c>
      <c r="DK118" s="33">
        <v>100.38890000000001</v>
      </c>
      <c r="DL118" s="33">
        <v>100.02</v>
      </c>
      <c r="DM118" s="33">
        <v>100.03319999999999</v>
      </c>
      <c r="DN118" s="33">
        <v>99.791200000000003</v>
      </c>
      <c r="DO118" s="33">
        <v>99.755200000000002</v>
      </c>
      <c r="DP118" s="33">
        <v>100.96599999999999</v>
      </c>
      <c r="DQ118" s="33">
        <v>101.0622</v>
      </c>
      <c r="DR118" s="104">
        <v>114658</v>
      </c>
      <c r="DS118" s="103">
        <v>27476</v>
      </c>
      <c r="DT118" s="104">
        <v>94.10576211038709</v>
      </c>
      <c r="DU118">
        <v>106.78118133544922</v>
      </c>
      <c r="DV118">
        <v>131.98173522949219</v>
      </c>
      <c r="DW118">
        <v>975</v>
      </c>
      <c r="DX118">
        <v>773800</v>
      </c>
      <c r="DY118" s="102">
        <f t="shared" si="26"/>
        <v>62.7</v>
      </c>
    </row>
    <row r="119" spans="1:129" x14ac:dyDescent="0.25">
      <c r="A119" s="1">
        <v>36342</v>
      </c>
      <c r="B119" s="33">
        <v>81</v>
      </c>
      <c r="C119" s="107">
        <v>2.52</v>
      </c>
      <c r="D119" s="33">
        <v>2.5</v>
      </c>
      <c r="E119" s="33">
        <v>2.63</v>
      </c>
      <c r="F119" s="33">
        <v>3.92</v>
      </c>
      <c r="G119" s="33">
        <v>4.4000000000000004</v>
      </c>
      <c r="H119" s="33">
        <v>4.68</v>
      </c>
      <c r="I119" s="33">
        <f t="shared" si="17"/>
        <v>2.1599999999999997</v>
      </c>
      <c r="J119" s="33">
        <f t="shared" si="18"/>
        <v>2.1799999999999997</v>
      </c>
      <c r="K119" s="33">
        <f t="shared" si="19"/>
        <v>2.0499999999999998</v>
      </c>
      <c r="L119" s="33">
        <f t="shared" si="20"/>
        <v>-2.0000000000000018E-2</v>
      </c>
      <c r="M119" s="33">
        <v>98.1</v>
      </c>
      <c r="N119" s="33">
        <v>5480.22</v>
      </c>
      <c r="O119" s="33">
        <v>21.59</v>
      </c>
      <c r="P119" s="33">
        <v>410.6</v>
      </c>
      <c r="Q119" s="34">
        <f t="shared" si="21"/>
        <v>5.3255512321660188</v>
      </c>
      <c r="R119" s="71">
        <v>1221.5300653428476</v>
      </c>
      <c r="S119" s="34">
        <f t="shared" si="22"/>
        <v>1584.3450912358594</v>
      </c>
      <c r="T119" s="71">
        <v>1271.8445814771321</v>
      </c>
      <c r="U119" s="34">
        <f t="shared" si="23"/>
        <v>1649.6038670261119</v>
      </c>
      <c r="V119" s="116">
        <v>321070</v>
      </c>
      <c r="W119" s="116">
        <v>1882493</v>
      </c>
      <c r="X119" s="117">
        <v>4023726</v>
      </c>
      <c r="Y119" s="117">
        <v>542244</v>
      </c>
      <c r="Z119" s="33">
        <v>75.7</v>
      </c>
      <c r="AA119" s="33">
        <v>61.8</v>
      </c>
      <c r="AB119" s="33">
        <v>78</v>
      </c>
      <c r="AC119" s="33">
        <v>57.2</v>
      </c>
      <c r="AD119" s="33">
        <v>39154</v>
      </c>
      <c r="AE119" s="33">
        <v>10.5</v>
      </c>
      <c r="AF119" s="33">
        <v>386</v>
      </c>
      <c r="AG119" s="33">
        <v>74.5</v>
      </c>
      <c r="AH119" s="33">
        <v>77.099999999999994</v>
      </c>
      <c r="AI119" s="33">
        <v>76.8</v>
      </c>
      <c r="AJ119" s="33">
        <v>80.099999999999994</v>
      </c>
      <c r="AK119" s="33">
        <v>156.65495999999999</v>
      </c>
      <c r="AL119" s="33">
        <v>81.7</v>
      </c>
      <c r="AM119" s="123">
        <v>11.785907973951312</v>
      </c>
      <c r="AN119" s="123">
        <v>18.047291390878687</v>
      </c>
      <c r="AO119" s="123">
        <v>47.879905588850391</v>
      </c>
      <c r="AP119" s="33">
        <v>18.37</v>
      </c>
      <c r="AQ119" s="33">
        <f t="shared" si="24"/>
        <v>0.23919270833333336</v>
      </c>
      <c r="AR119" s="33">
        <v>90.9</v>
      </c>
      <c r="AS119" s="33">
        <v>96.4</v>
      </c>
      <c r="AT119" s="33">
        <v>85.8</v>
      </c>
      <c r="AU119" s="33">
        <v>91.8</v>
      </c>
      <c r="AV119" s="65">
        <v>97</v>
      </c>
      <c r="AW119" s="33">
        <v>86.8</v>
      </c>
      <c r="AX119" s="33">
        <v>0.4</v>
      </c>
      <c r="AY119" s="33">
        <v>-4.3</v>
      </c>
      <c r="AZ119" s="33">
        <v>-4.5999999999999996</v>
      </c>
      <c r="BA119" s="33">
        <v>-1.2</v>
      </c>
      <c r="BB119" s="33">
        <v>89.8</v>
      </c>
      <c r="BC119" s="33">
        <v>95.7</v>
      </c>
      <c r="BD119" s="33">
        <v>84.2</v>
      </c>
      <c r="BE119" s="33">
        <v>-16.899999999999999</v>
      </c>
      <c r="BF119" s="33">
        <v>74.3</v>
      </c>
      <c r="BG119" s="33">
        <v>8.4</v>
      </c>
      <c r="BH119" s="33">
        <v>169.2</v>
      </c>
      <c r="BI119" s="33">
        <v>0.5</v>
      </c>
      <c r="BJ119" s="34">
        <v>51.90695736</v>
      </c>
      <c r="BK119" s="45">
        <v>36.198152448536121</v>
      </c>
      <c r="BL119" s="45" t="s">
        <v>243</v>
      </c>
      <c r="BM119" s="33">
        <v>99.960499999999996</v>
      </c>
      <c r="BN119" s="33">
        <v>99.967500000000001</v>
      </c>
      <c r="BO119" s="33">
        <v>-27</v>
      </c>
      <c r="BP119" s="33">
        <v>-32.200000000000003</v>
      </c>
      <c r="BQ119" s="33">
        <v>15</v>
      </c>
      <c r="BR119" s="33">
        <v>-2.2999999999999998</v>
      </c>
      <c r="BS119" s="33">
        <v>3.4</v>
      </c>
      <c r="BT119" s="33">
        <v>-14.7</v>
      </c>
      <c r="BU119" s="33">
        <v>-14.8</v>
      </c>
      <c r="BV119" s="33">
        <v>27.7</v>
      </c>
      <c r="BW119" s="33">
        <v>-7.8</v>
      </c>
      <c r="BX119" s="33">
        <v>-17.8</v>
      </c>
      <c r="BY119" s="33">
        <v>-28.8</v>
      </c>
      <c r="BZ119" s="33">
        <v>101</v>
      </c>
      <c r="CA119" s="33">
        <v>-7.8</v>
      </c>
      <c r="CB119" s="33">
        <v>-3.5</v>
      </c>
      <c r="CC119" s="33">
        <v>3.4</v>
      </c>
      <c r="CD119" s="33">
        <v>-25.2</v>
      </c>
      <c r="CE119" s="33">
        <v>-18.7</v>
      </c>
      <c r="CF119" s="33">
        <v>12</v>
      </c>
      <c r="CG119" s="33">
        <v>44.2</v>
      </c>
      <c r="CH119" s="33">
        <v>25.4</v>
      </c>
      <c r="CI119" s="33">
        <v>-9.4</v>
      </c>
      <c r="CJ119" s="33">
        <v>-12.4</v>
      </c>
      <c r="CK119" s="33">
        <v>10.8</v>
      </c>
      <c r="CL119" s="33">
        <v>9.4</v>
      </c>
      <c r="CM119" s="33">
        <v>3846.235909</v>
      </c>
      <c r="CN119" s="33">
        <v>11066.43</v>
      </c>
      <c r="CO119" s="33">
        <v>1381.4549999999999</v>
      </c>
      <c r="CP119" s="33">
        <v>5.1390000000000002</v>
      </c>
      <c r="CQ119" s="33">
        <v>5.85</v>
      </c>
      <c r="CR119" s="33">
        <v>99.2</v>
      </c>
      <c r="CS119" s="121">
        <f t="shared" si="16"/>
        <v>30.049999999999997</v>
      </c>
      <c r="CT119" s="33">
        <v>110.7</v>
      </c>
      <c r="CU119" s="33">
        <v>110.7</v>
      </c>
      <c r="CV119" s="33">
        <v>92</v>
      </c>
      <c r="CW119" s="33">
        <v>80.5</v>
      </c>
      <c r="CX119" s="33">
        <v>91.4</v>
      </c>
      <c r="CY119" s="33">
        <v>4.67</v>
      </c>
      <c r="CZ119" s="33">
        <v>24181.667000000001</v>
      </c>
      <c r="DA119" s="33">
        <v>3.08</v>
      </c>
      <c r="DB119" s="33">
        <v>16.66</v>
      </c>
      <c r="DC119" s="33">
        <v>24.43</v>
      </c>
      <c r="DD119" s="33">
        <v>7.26</v>
      </c>
      <c r="DE119" s="33">
        <v>4606.0420000000004</v>
      </c>
      <c r="DF119" s="33">
        <v>898.529</v>
      </c>
      <c r="DG119" s="33">
        <v>519.79700000000003</v>
      </c>
      <c r="DH119" s="33">
        <v>948.72699999999998</v>
      </c>
      <c r="DI119" s="33">
        <v>694.029</v>
      </c>
      <c r="DJ119" s="33">
        <v>100.5994</v>
      </c>
      <c r="DK119" s="33">
        <v>100.70310000000001</v>
      </c>
      <c r="DL119" s="33">
        <v>100.12</v>
      </c>
      <c r="DM119" s="33">
        <v>100.1516</v>
      </c>
      <c r="DN119" s="33">
        <v>99.967500000000001</v>
      </c>
      <c r="DO119" s="33">
        <v>99.960499999999996</v>
      </c>
      <c r="DP119" s="33">
        <v>101.0363</v>
      </c>
      <c r="DQ119" s="33">
        <v>101.1396</v>
      </c>
      <c r="DR119" s="104">
        <v>96426</v>
      </c>
      <c r="DS119" s="103">
        <v>27445</v>
      </c>
      <c r="DT119" s="104">
        <v>95.403772622254507</v>
      </c>
      <c r="DU119">
        <v>103.57102203369141</v>
      </c>
      <c r="DV119">
        <v>102.22409057617188</v>
      </c>
      <c r="DW119">
        <v>960</v>
      </c>
      <c r="DX119">
        <v>754425</v>
      </c>
      <c r="DY119" s="102">
        <f t="shared" si="26"/>
        <v>63.099999999999994</v>
      </c>
    </row>
    <row r="120" spans="1:129" x14ac:dyDescent="0.25">
      <c r="A120" s="1">
        <v>36373</v>
      </c>
      <c r="B120" s="33">
        <v>81.599999999999994</v>
      </c>
      <c r="C120" s="107">
        <v>2.44</v>
      </c>
      <c r="D120" s="33">
        <v>2.5</v>
      </c>
      <c r="E120" s="33">
        <v>2.67</v>
      </c>
      <c r="F120" s="33">
        <v>4.2</v>
      </c>
      <c r="G120" s="33">
        <v>4.6500000000000004</v>
      </c>
      <c r="H120" s="33">
        <v>4.88</v>
      </c>
      <c r="I120" s="33">
        <f t="shared" si="17"/>
        <v>2.44</v>
      </c>
      <c r="J120" s="33">
        <f t="shared" si="18"/>
        <v>2.38</v>
      </c>
      <c r="K120" s="33">
        <f t="shared" si="19"/>
        <v>2.21</v>
      </c>
      <c r="L120" s="33">
        <f t="shared" si="20"/>
        <v>6.0000000000000053E-2</v>
      </c>
      <c r="M120" s="33">
        <v>98.2</v>
      </c>
      <c r="N120" s="33">
        <v>5129.5</v>
      </c>
      <c r="O120" s="33">
        <v>26.52</v>
      </c>
      <c r="P120" s="33">
        <v>413</v>
      </c>
      <c r="Q120" s="34">
        <f t="shared" si="21"/>
        <v>5.3566796368352794</v>
      </c>
      <c r="R120" s="71">
        <v>1224.5812683785957</v>
      </c>
      <c r="S120" s="34">
        <f t="shared" si="22"/>
        <v>1588.3025530202281</v>
      </c>
      <c r="T120" s="71">
        <v>1276.3215658487188</v>
      </c>
      <c r="U120" s="34">
        <f t="shared" si="23"/>
        <v>1655.4105912434745</v>
      </c>
      <c r="V120" s="116">
        <v>316628</v>
      </c>
      <c r="W120" s="116">
        <v>1879218</v>
      </c>
      <c r="X120" s="117">
        <v>4024225</v>
      </c>
      <c r="Y120" s="117">
        <v>547825</v>
      </c>
      <c r="Z120" s="33">
        <v>76</v>
      </c>
      <c r="AA120" s="33">
        <v>64.599999999999994</v>
      </c>
      <c r="AB120" s="33">
        <v>77.599999999999994</v>
      </c>
      <c r="AC120" s="33">
        <v>61.1</v>
      </c>
      <c r="AD120" s="33">
        <v>39270</v>
      </c>
      <c r="AE120" s="33">
        <v>10.5</v>
      </c>
      <c r="AF120" s="33">
        <v>390</v>
      </c>
      <c r="AG120" s="33">
        <v>74.599999999999994</v>
      </c>
      <c r="AH120" s="33">
        <v>77.099999999999994</v>
      </c>
      <c r="AI120" s="33">
        <v>77.2</v>
      </c>
      <c r="AJ120" s="33">
        <v>80.2</v>
      </c>
      <c r="AK120" s="33">
        <v>156.832977</v>
      </c>
      <c r="AL120" s="33">
        <v>60.5</v>
      </c>
      <c r="AM120" s="123">
        <v>12.060579558090007</v>
      </c>
      <c r="AN120" s="123">
        <v>19.132540539105243</v>
      </c>
      <c r="AO120" s="123">
        <v>46.143328702208152</v>
      </c>
      <c r="AP120" s="33">
        <v>19.43</v>
      </c>
      <c r="AQ120" s="33">
        <f t="shared" si="24"/>
        <v>0.25168393782383419</v>
      </c>
      <c r="AR120" s="33">
        <v>91.8</v>
      </c>
      <c r="AS120" s="33">
        <v>97.1</v>
      </c>
      <c r="AT120" s="33">
        <v>86.7</v>
      </c>
      <c r="AU120" s="33">
        <v>93.1</v>
      </c>
      <c r="AV120" s="65">
        <v>98.4</v>
      </c>
      <c r="AW120" s="33">
        <v>88.2</v>
      </c>
      <c r="AX120" s="33">
        <v>0.9</v>
      </c>
      <c r="AY120" s="33">
        <v>-4.5999999999999996</v>
      </c>
      <c r="AZ120" s="33">
        <v>0.7</v>
      </c>
      <c r="BA120" s="33">
        <v>2.5</v>
      </c>
      <c r="BB120" s="33">
        <v>90.5</v>
      </c>
      <c r="BC120" s="33">
        <v>96</v>
      </c>
      <c r="BD120" s="33">
        <v>85.3</v>
      </c>
      <c r="BE120" s="33">
        <v>-9.6999999999999993</v>
      </c>
      <c r="BF120" s="33">
        <v>74</v>
      </c>
      <c r="BG120" s="33">
        <v>5.9</v>
      </c>
      <c r="BH120" s="33">
        <v>165.7</v>
      </c>
      <c r="BI120" s="33">
        <v>0.5</v>
      </c>
      <c r="BJ120" s="34">
        <v>53.65638113</v>
      </c>
      <c r="BK120" s="45">
        <v>42.436562136901046</v>
      </c>
      <c r="BL120" s="45" t="s">
        <v>243</v>
      </c>
      <c r="BM120" s="33">
        <v>100.19540000000001</v>
      </c>
      <c r="BN120" s="33">
        <v>100.16930000000001</v>
      </c>
      <c r="BO120" s="33">
        <v>-25.1</v>
      </c>
      <c r="BP120" s="33">
        <v>-29.8</v>
      </c>
      <c r="BQ120" s="33">
        <v>13.2</v>
      </c>
      <c r="BR120" s="33">
        <v>0.8</v>
      </c>
      <c r="BS120" s="33">
        <v>2.8</v>
      </c>
      <c r="BT120" s="33">
        <v>-15.3</v>
      </c>
      <c r="BU120" s="33">
        <v>-12.5</v>
      </c>
      <c r="BV120" s="33">
        <v>28.1</v>
      </c>
      <c r="BW120" s="33">
        <v>-8.1999999999999993</v>
      </c>
      <c r="BX120" s="33">
        <v>-17.8</v>
      </c>
      <c r="BY120" s="33">
        <v>-30.2</v>
      </c>
      <c r="BZ120" s="33">
        <v>101.9</v>
      </c>
      <c r="CA120" s="33">
        <v>-8.1999999999999993</v>
      </c>
      <c r="CB120" s="33">
        <v>-3.5</v>
      </c>
      <c r="CC120" s="33">
        <v>3.9</v>
      </c>
      <c r="CD120" s="33">
        <v>-21.5</v>
      </c>
      <c r="CE120" s="33">
        <v>-19.2</v>
      </c>
      <c r="CF120" s="33">
        <v>11</v>
      </c>
      <c r="CG120" s="33">
        <v>39.4</v>
      </c>
      <c r="CH120" s="33">
        <v>25.1</v>
      </c>
      <c r="CI120" s="33">
        <v>-10</v>
      </c>
      <c r="CJ120" s="33">
        <v>-13.9</v>
      </c>
      <c r="CK120" s="33">
        <v>12.7</v>
      </c>
      <c r="CL120" s="33">
        <v>11.2</v>
      </c>
      <c r="CM120" s="33">
        <v>3691.3259090000001</v>
      </c>
      <c r="CN120" s="33">
        <v>10645.97</v>
      </c>
      <c r="CO120" s="33">
        <v>1327.488636</v>
      </c>
      <c r="CP120" s="33">
        <v>5.2709999999999999</v>
      </c>
      <c r="CQ120" s="33">
        <v>5.92</v>
      </c>
      <c r="CR120" s="33">
        <v>98.4</v>
      </c>
      <c r="CS120" s="121">
        <f t="shared" si="16"/>
        <v>25.75</v>
      </c>
      <c r="CT120" s="33">
        <v>113.8</v>
      </c>
      <c r="CU120" s="33">
        <v>111.1</v>
      </c>
      <c r="CV120" s="33">
        <v>96.1</v>
      </c>
      <c r="CW120" s="33">
        <v>70.7</v>
      </c>
      <c r="CX120" s="33">
        <v>93.9</v>
      </c>
      <c r="CY120" s="33">
        <v>4.2699999999999996</v>
      </c>
      <c r="CZ120" s="33">
        <v>21955.919999999998</v>
      </c>
      <c r="DA120" s="33">
        <v>3.09</v>
      </c>
      <c r="DB120" s="33">
        <v>18.600000000000001</v>
      </c>
      <c r="DC120" s="33">
        <v>24.94</v>
      </c>
      <c r="DD120" s="33">
        <v>6.81</v>
      </c>
      <c r="DE120" s="33">
        <v>3722.4929999999999</v>
      </c>
      <c r="DF120" s="33">
        <v>764.56299999999999</v>
      </c>
      <c r="DG120" s="33">
        <v>385.459</v>
      </c>
      <c r="DH120" s="33">
        <v>674.79600000000005</v>
      </c>
      <c r="DI120" s="33">
        <v>540.70399999999995</v>
      </c>
      <c r="DJ120" s="33">
        <v>100.79259999999999</v>
      </c>
      <c r="DK120" s="33">
        <v>100.9537</v>
      </c>
      <c r="DL120" s="33">
        <v>100.16</v>
      </c>
      <c r="DM120" s="33">
        <v>100.2118</v>
      </c>
      <c r="DN120" s="33">
        <v>100.16930000000001</v>
      </c>
      <c r="DO120" s="33">
        <v>100.19540000000001</v>
      </c>
      <c r="DP120" s="33">
        <v>101.0874</v>
      </c>
      <c r="DQ120" s="33">
        <v>101.19580000000001</v>
      </c>
      <c r="DR120" s="104">
        <v>80921</v>
      </c>
      <c r="DS120" s="103">
        <v>27477</v>
      </c>
      <c r="DT120" s="104">
        <v>94.847482402882747</v>
      </c>
      <c r="DU120">
        <v>77.463821411132813</v>
      </c>
      <c r="DV120">
        <v>118.17872619628906</v>
      </c>
      <c r="DW120">
        <v>1013</v>
      </c>
      <c r="DX120">
        <v>771375</v>
      </c>
      <c r="DY120" s="102">
        <f t="shared" si="26"/>
        <v>63.5</v>
      </c>
    </row>
    <row r="121" spans="1:129" x14ac:dyDescent="0.25">
      <c r="A121" s="1">
        <v>36404</v>
      </c>
      <c r="B121" s="33">
        <v>81.3</v>
      </c>
      <c r="C121" s="107">
        <v>2.4300000000000002</v>
      </c>
      <c r="D121" s="33">
        <v>2.5</v>
      </c>
      <c r="E121" s="33">
        <v>2.7</v>
      </c>
      <c r="F121" s="33">
        <v>4.3099999999999996</v>
      </c>
      <c r="G121" s="33">
        <v>4.82</v>
      </c>
      <c r="H121" s="33">
        <v>5.04</v>
      </c>
      <c r="I121" s="33">
        <f t="shared" si="17"/>
        <v>2.61</v>
      </c>
      <c r="J121" s="33">
        <f t="shared" si="18"/>
        <v>2.54</v>
      </c>
      <c r="K121" s="33">
        <f t="shared" si="19"/>
        <v>2.34</v>
      </c>
      <c r="L121" s="33">
        <f t="shared" si="20"/>
        <v>6.999999999999984E-2</v>
      </c>
      <c r="M121" s="33">
        <v>97.3</v>
      </c>
      <c r="N121" s="33">
        <v>5317.12</v>
      </c>
      <c r="O121" s="33">
        <v>25</v>
      </c>
      <c r="P121" s="33">
        <v>416.7</v>
      </c>
      <c r="Q121" s="34">
        <f t="shared" si="21"/>
        <v>5.4187256176853049</v>
      </c>
      <c r="R121" s="71">
        <v>1227.1557209400082</v>
      </c>
      <c r="S121" s="34">
        <f t="shared" si="22"/>
        <v>1595.7811715734827</v>
      </c>
      <c r="T121" s="71">
        <v>1284.1324747523381</v>
      </c>
      <c r="U121" s="34">
        <f t="shared" si="23"/>
        <v>1669.8731791317791</v>
      </c>
      <c r="V121" s="116">
        <v>312154</v>
      </c>
      <c r="W121" s="116">
        <v>1886642</v>
      </c>
      <c r="X121" s="117">
        <v>4029253</v>
      </c>
      <c r="Y121" s="117">
        <v>565491</v>
      </c>
      <c r="Z121" s="33">
        <v>76.900000000000006</v>
      </c>
      <c r="AA121" s="33">
        <v>63.6</v>
      </c>
      <c r="AB121" s="33">
        <v>76.599999999999994</v>
      </c>
      <c r="AC121" s="33">
        <v>59.8</v>
      </c>
      <c r="AD121" s="33">
        <v>39311</v>
      </c>
      <c r="AE121" s="33">
        <v>10.5</v>
      </c>
      <c r="AF121" s="33">
        <v>398</v>
      </c>
      <c r="AG121" s="33">
        <v>74.5</v>
      </c>
      <c r="AH121" s="33">
        <v>76.900000000000006</v>
      </c>
      <c r="AI121" s="33">
        <v>77.8</v>
      </c>
      <c r="AJ121" s="33">
        <v>80.5</v>
      </c>
      <c r="AK121" s="33">
        <v>157.01099400000001</v>
      </c>
      <c r="AL121" s="33">
        <v>60.5</v>
      </c>
      <c r="AM121" s="123">
        <v>13.12318568655609</v>
      </c>
      <c r="AN121" s="123">
        <v>21.871972479931681</v>
      </c>
      <c r="AO121" s="123">
        <v>47.835844619856722</v>
      </c>
      <c r="AP121" s="33">
        <v>22.03</v>
      </c>
      <c r="AQ121" s="33">
        <f t="shared" si="24"/>
        <v>0.28316195372750647</v>
      </c>
      <c r="AR121" s="33">
        <v>93.4</v>
      </c>
      <c r="AS121" s="33">
        <v>99.1</v>
      </c>
      <c r="AT121" s="33">
        <v>88</v>
      </c>
      <c r="AU121" s="33">
        <v>95.3</v>
      </c>
      <c r="AV121" s="65">
        <v>100.4</v>
      </c>
      <c r="AW121" s="33">
        <v>90.5</v>
      </c>
      <c r="AX121" s="33">
        <v>3.9</v>
      </c>
      <c r="AY121" s="33">
        <v>-2.1</v>
      </c>
      <c r="AZ121" s="33">
        <v>6.3</v>
      </c>
      <c r="BA121" s="33">
        <v>4.4000000000000004</v>
      </c>
      <c r="BB121" s="33">
        <v>93.5</v>
      </c>
      <c r="BC121" s="33">
        <v>98.8</v>
      </c>
      <c r="BD121" s="33">
        <v>88.5</v>
      </c>
      <c r="BE121" s="33">
        <v>-8.8000000000000007</v>
      </c>
      <c r="BF121" s="33">
        <v>80.7</v>
      </c>
      <c r="BG121" s="33">
        <v>2.2000000000000002</v>
      </c>
      <c r="BH121" s="33">
        <v>164.7</v>
      </c>
      <c r="BI121" s="33">
        <v>1.3</v>
      </c>
      <c r="BJ121" s="34">
        <v>54.158397309999998</v>
      </c>
      <c r="BK121" s="45">
        <v>58.825980742454142</v>
      </c>
      <c r="BL121" s="45" t="s">
        <v>243</v>
      </c>
      <c r="BM121" s="33">
        <v>100.45180000000001</v>
      </c>
      <c r="BN121" s="33">
        <v>100.3896</v>
      </c>
      <c r="BO121" s="33">
        <v>-22.5</v>
      </c>
      <c r="BP121" s="33">
        <v>-29.1</v>
      </c>
      <c r="BQ121" s="33">
        <v>11.7</v>
      </c>
      <c r="BR121" s="33">
        <v>0.4</v>
      </c>
      <c r="BS121" s="33">
        <v>4.2</v>
      </c>
      <c r="BT121" s="33">
        <v>-13.8</v>
      </c>
      <c r="BU121" s="33">
        <v>-11.3</v>
      </c>
      <c r="BV121" s="33">
        <v>28</v>
      </c>
      <c r="BW121" s="33">
        <v>-7.8</v>
      </c>
      <c r="BX121" s="33">
        <v>-21.6</v>
      </c>
      <c r="BY121" s="33">
        <v>-33.6</v>
      </c>
      <c r="BZ121" s="33">
        <v>102.3</v>
      </c>
      <c r="CA121" s="33">
        <v>-7.8</v>
      </c>
      <c r="CB121" s="33">
        <v>-5.7</v>
      </c>
      <c r="CC121" s="33">
        <v>4.5</v>
      </c>
      <c r="CD121" s="33">
        <v>-26.4</v>
      </c>
      <c r="CE121" s="33">
        <v>-18.7</v>
      </c>
      <c r="CF121" s="33">
        <v>12.1</v>
      </c>
      <c r="CG121" s="33">
        <v>43.2</v>
      </c>
      <c r="CH121" s="33">
        <v>24.7</v>
      </c>
      <c r="CI121" s="33">
        <v>-12.1</v>
      </c>
      <c r="CJ121" s="33">
        <v>-11.2</v>
      </c>
      <c r="CK121" s="33">
        <v>12.4</v>
      </c>
      <c r="CL121" s="33">
        <v>10.5</v>
      </c>
      <c r="CM121" s="33">
        <v>3772.792273</v>
      </c>
      <c r="CN121" s="33">
        <v>10937.88</v>
      </c>
      <c r="CO121" s="33">
        <v>1319.947727</v>
      </c>
      <c r="CP121" s="33">
        <v>5.2480000000000002</v>
      </c>
      <c r="CQ121" s="33">
        <v>5.99</v>
      </c>
      <c r="CR121" s="33">
        <v>101.5</v>
      </c>
      <c r="CS121" s="121">
        <f t="shared" si="16"/>
        <v>22.650000000000006</v>
      </c>
      <c r="CT121" s="33">
        <v>117.3</v>
      </c>
      <c r="CU121" s="33">
        <v>113.9</v>
      </c>
      <c r="CV121" s="33">
        <v>97.9</v>
      </c>
      <c r="CW121" s="33">
        <v>91.5</v>
      </c>
      <c r="CX121" s="33">
        <v>98.5</v>
      </c>
      <c r="CY121" s="33">
        <v>4.16</v>
      </c>
      <c r="CZ121" s="33">
        <v>24550.582999999999</v>
      </c>
      <c r="DA121" s="33">
        <v>3.19</v>
      </c>
      <c r="DB121" s="33">
        <v>16.329999999999998</v>
      </c>
      <c r="DC121" s="33">
        <v>24.75</v>
      </c>
      <c r="DD121" s="33">
        <v>6.93</v>
      </c>
      <c r="DE121" s="33">
        <v>4285.527</v>
      </c>
      <c r="DF121" s="33">
        <v>797.97500000000002</v>
      </c>
      <c r="DG121" s="33">
        <v>470.38</v>
      </c>
      <c r="DH121" s="33">
        <v>960.41899999999998</v>
      </c>
      <c r="DI121" s="33">
        <v>596.077</v>
      </c>
      <c r="DJ121" s="33">
        <v>100.94029999999999</v>
      </c>
      <c r="DK121" s="33">
        <v>101.14490000000001</v>
      </c>
      <c r="DL121" s="33">
        <v>100.15</v>
      </c>
      <c r="DM121" s="33">
        <v>100.1996</v>
      </c>
      <c r="DN121" s="33">
        <v>100.3896</v>
      </c>
      <c r="DO121" s="33">
        <v>100.45180000000001</v>
      </c>
      <c r="DP121" s="33">
        <v>101.13209999999999</v>
      </c>
      <c r="DQ121" s="33">
        <v>101.245</v>
      </c>
      <c r="DR121" s="104">
        <v>78847</v>
      </c>
      <c r="DS121" s="103">
        <v>27537</v>
      </c>
      <c r="DT121" s="104">
        <v>95.496487658816449</v>
      </c>
      <c r="DU121">
        <v>81.288131713867188</v>
      </c>
      <c r="DV121">
        <v>106.54348754882813</v>
      </c>
      <c r="DW121">
        <v>1039</v>
      </c>
      <c r="DX121">
        <v>788125</v>
      </c>
      <c r="DY121" s="102">
        <f t="shared" si="26"/>
        <v>64.099999999999994</v>
      </c>
    </row>
    <row r="122" spans="1:129" x14ac:dyDescent="0.25">
      <c r="A122" s="1">
        <v>36434</v>
      </c>
      <c r="B122" s="33">
        <v>82</v>
      </c>
      <c r="C122" s="107">
        <v>2.5</v>
      </c>
      <c r="D122" s="33">
        <v>2.5</v>
      </c>
      <c r="E122" s="33">
        <v>2.93</v>
      </c>
      <c r="F122" s="33">
        <v>4.67</v>
      </c>
      <c r="G122" s="33">
        <v>5.1100000000000003</v>
      </c>
      <c r="H122" s="33">
        <v>5.29</v>
      </c>
      <c r="I122" s="33">
        <f t="shared" si="17"/>
        <v>2.79</v>
      </c>
      <c r="J122" s="33">
        <f t="shared" si="18"/>
        <v>2.79</v>
      </c>
      <c r="K122" s="33">
        <f t="shared" si="19"/>
        <v>2.36</v>
      </c>
      <c r="L122" s="33">
        <f t="shared" si="20"/>
        <v>0</v>
      </c>
      <c r="M122" s="33">
        <v>97.6</v>
      </c>
      <c r="N122" s="33">
        <v>5124.55</v>
      </c>
      <c r="O122" s="33">
        <v>27.67</v>
      </c>
      <c r="P122" s="33">
        <v>416.8</v>
      </c>
      <c r="Q122" s="34">
        <f t="shared" si="21"/>
        <v>5.4059662775616086</v>
      </c>
      <c r="R122" s="71">
        <v>1231.255775019295</v>
      </c>
      <c r="S122" s="34">
        <f t="shared" si="22"/>
        <v>1596.9595006735344</v>
      </c>
      <c r="T122" s="71">
        <v>1290.6098138431444</v>
      </c>
      <c r="U122" s="34">
        <f t="shared" si="23"/>
        <v>1673.942689809526</v>
      </c>
      <c r="V122" s="116">
        <v>310554</v>
      </c>
      <c r="W122" s="116">
        <v>1900478</v>
      </c>
      <c r="X122" s="117">
        <v>4052935</v>
      </c>
      <c r="Y122" s="117">
        <v>563612</v>
      </c>
      <c r="Z122" s="33">
        <v>76.400000000000006</v>
      </c>
      <c r="AA122" s="33">
        <v>64.099999999999994</v>
      </c>
      <c r="AB122" s="33">
        <v>77.099999999999994</v>
      </c>
      <c r="AC122" s="33">
        <v>60</v>
      </c>
      <c r="AD122" s="33">
        <v>39356</v>
      </c>
      <c r="AE122" s="33">
        <v>10.5</v>
      </c>
      <c r="AF122" s="33">
        <v>408</v>
      </c>
      <c r="AG122" s="33">
        <v>74.7</v>
      </c>
      <c r="AH122" s="33">
        <v>77.099999999999994</v>
      </c>
      <c r="AI122" s="33">
        <v>78.400000000000006</v>
      </c>
      <c r="AJ122" s="33">
        <v>80.8</v>
      </c>
      <c r="AK122" s="33">
        <v>157.367028</v>
      </c>
      <c r="AL122" s="33">
        <v>60.6</v>
      </c>
      <c r="AM122" s="123">
        <v>14.157133649739299</v>
      </c>
      <c r="AN122" s="123">
        <v>20.876115385567172</v>
      </c>
      <c r="AO122" s="123">
        <v>47.749963390736696</v>
      </c>
      <c r="AP122" s="33">
        <v>20.73</v>
      </c>
      <c r="AQ122" s="33">
        <f t="shared" si="24"/>
        <v>0.26441326530612241</v>
      </c>
      <c r="AR122" s="33">
        <v>94.7</v>
      </c>
      <c r="AS122" s="33">
        <v>100.7</v>
      </c>
      <c r="AT122" s="33">
        <v>89.1</v>
      </c>
      <c r="AU122" s="33">
        <v>97</v>
      </c>
      <c r="AV122" s="65">
        <v>103.1</v>
      </c>
      <c r="AW122" s="33">
        <v>91.2</v>
      </c>
      <c r="AX122" s="33">
        <v>6.2</v>
      </c>
      <c r="AY122" s="33">
        <v>4.4000000000000004</v>
      </c>
      <c r="AZ122" s="33">
        <v>9.8000000000000007</v>
      </c>
      <c r="BA122" s="33">
        <v>5.9</v>
      </c>
      <c r="BB122" s="33">
        <v>94.3</v>
      </c>
      <c r="BC122" s="33">
        <v>100.2</v>
      </c>
      <c r="BD122" s="33">
        <v>88.8</v>
      </c>
      <c r="BE122" s="33">
        <v>-4.8</v>
      </c>
      <c r="BF122" s="33">
        <v>82.4</v>
      </c>
      <c r="BG122" s="33">
        <v>9.5</v>
      </c>
      <c r="BH122" s="33">
        <v>161.5</v>
      </c>
      <c r="BI122" s="33">
        <v>1.6</v>
      </c>
      <c r="BJ122" s="34">
        <v>55.582145240000003</v>
      </c>
      <c r="BK122" s="45">
        <v>38.047953401079639</v>
      </c>
      <c r="BL122" s="45" t="s">
        <v>243</v>
      </c>
      <c r="BM122" s="33">
        <v>100.7178</v>
      </c>
      <c r="BN122" s="33">
        <v>100.6182</v>
      </c>
      <c r="BO122" s="33">
        <v>-21.9</v>
      </c>
      <c r="BP122" s="33">
        <v>-28.1</v>
      </c>
      <c r="BQ122" s="33">
        <v>10.9</v>
      </c>
      <c r="BR122" s="33">
        <v>3.6</v>
      </c>
      <c r="BS122" s="33">
        <v>4.3</v>
      </c>
      <c r="BT122" s="33">
        <v>-14.3</v>
      </c>
      <c r="BU122" s="33">
        <v>-9.6999999999999993</v>
      </c>
      <c r="BV122" s="33">
        <v>48.5</v>
      </c>
      <c r="BW122" s="33">
        <v>-6.7</v>
      </c>
      <c r="BX122" s="33">
        <v>-17</v>
      </c>
      <c r="BY122" s="33">
        <v>-34.700000000000003</v>
      </c>
      <c r="BZ122" s="33">
        <v>109</v>
      </c>
      <c r="CA122" s="33">
        <v>-6.7</v>
      </c>
      <c r="CB122" s="33">
        <v>-3</v>
      </c>
      <c r="CC122" s="33">
        <v>4.8</v>
      </c>
      <c r="CD122" s="33">
        <v>-23.8</v>
      </c>
      <c r="CE122" s="33">
        <v>-18</v>
      </c>
      <c r="CF122" s="33">
        <v>13.9</v>
      </c>
      <c r="CG122" s="33">
        <v>45.1</v>
      </c>
      <c r="CH122" s="33">
        <v>23.5</v>
      </c>
      <c r="CI122" s="33">
        <v>-11</v>
      </c>
      <c r="CJ122" s="33">
        <v>-10.8</v>
      </c>
      <c r="CK122" s="33">
        <v>12.9</v>
      </c>
      <c r="CL122" s="33">
        <v>9.3000000000000007</v>
      </c>
      <c r="CM122" s="33">
        <v>3742.6171429999999</v>
      </c>
      <c r="CN122" s="33">
        <v>10273</v>
      </c>
      <c r="CO122" s="33">
        <v>1300.01</v>
      </c>
      <c r="CP122" s="33">
        <v>5.7409999999999997</v>
      </c>
      <c r="CQ122" s="33">
        <v>6</v>
      </c>
      <c r="CR122" s="33">
        <v>97.1</v>
      </c>
      <c r="CS122" s="121">
        <f t="shared" si="16"/>
        <v>19.150000000000006</v>
      </c>
      <c r="CT122" s="33">
        <v>116.9</v>
      </c>
      <c r="CU122" s="33">
        <v>115.2</v>
      </c>
      <c r="CV122" s="33">
        <v>98.2</v>
      </c>
      <c r="CW122" s="33">
        <v>87.4</v>
      </c>
      <c r="CX122" s="33">
        <v>104.1</v>
      </c>
      <c r="CY122" s="33">
        <v>4.38</v>
      </c>
      <c r="CZ122" s="33">
        <v>25542.081999999999</v>
      </c>
      <c r="DA122" s="33">
        <v>3.12</v>
      </c>
      <c r="DB122" s="33">
        <v>16.64</v>
      </c>
      <c r="DC122" s="33">
        <v>24.18</v>
      </c>
      <c r="DD122" s="33">
        <v>6.99</v>
      </c>
      <c r="DE122" s="33">
        <v>4188.4120000000003</v>
      </c>
      <c r="DF122" s="33">
        <v>812.33900000000006</v>
      </c>
      <c r="DG122" s="33">
        <v>512.47</v>
      </c>
      <c r="DH122" s="33">
        <v>917.19799999999998</v>
      </c>
      <c r="DI122" s="33">
        <v>511.47800000000001</v>
      </c>
      <c r="DJ122" s="33">
        <v>101.05370000000001</v>
      </c>
      <c r="DK122" s="33">
        <v>101.29300000000001</v>
      </c>
      <c r="DL122" s="33">
        <v>100.1</v>
      </c>
      <c r="DM122" s="33">
        <v>100.1251</v>
      </c>
      <c r="DN122" s="33">
        <v>100.6182</v>
      </c>
      <c r="DO122" s="33">
        <v>100.7178</v>
      </c>
      <c r="DP122" s="33">
        <v>101.17789999999999</v>
      </c>
      <c r="DQ122" s="33">
        <v>101.2954</v>
      </c>
      <c r="DR122" s="104">
        <v>81506</v>
      </c>
      <c r="DS122" s="103">
        <v>27557</v>
      </c>
      <c r="DT122" s="104">
        <v>94.198477146949031</v>
      </c>
      <c r="DU122">
        <v>89.545738220214844</v>
      </c>
      <c r="DV122">
        <v>104.13790130615234</v>
      </c>
      <c r="DW122">
        <v>1257</v>
      </c>
      <c r="DX122">
        <v>775075</v>
      </c>
      <c r="DY122" s="102">
        <f t="shared" si="26"/>
        <v>63.8</v>
      </c>
    </row>
    <row r="123" spans="1:129" x14ac:dyDescent="0.25">
      <c r="A123" s="1">
        <v>36465</v>
      </c>
      <c r="B123" s="33">
        <v>81.8</v>
      </c>
      <c r="C123" s="107">
        <v>2.94</v>
      </c>
      <c r="D123" s="33">
        <v>3</v>
      </c>
      <c r="E123" s="33">
        <v>3.19</v>
      </c>
      <c r="F123" s="33">
        <v>4.51</v>
      </c>
      <c r="G123" s="33">
        <v>4.87</v>
      </c>
      <c r="H123" s="33">
        <v>5.04</v>
      </c>
      <c r="I123" s="33">
        <f t="shared" si="17"/>
        <v>2.1</v>
      </c>
      <c r="J123" s="33">
        <f t="shared" si="18"/>
        <v>2.04</v>
      </c>
      <c r="K123" s="33">
        <f t="shared" si="19"/>
        <v>1.85</v>
      </c>
      <c r="L123" s="33">
        <f t="shared" si="20"/>
        <v>6.0000000000000053E-2</v>
      </c>
      <c r="M123" s="33">
        <v>96.7</v>
      </c>
      <c r="N123" s="33">
        <v>5524.92</v>
      </c>
      <c r="O123" s="33">
        <v>22.17</v>
      </c>
      <c r="P123" s="33">
        <v>422.5</v>
      </c>
      <c r="Q123" s="34">
        <f t="shared" si="21"/>
        <v>5.4657179818887451</v>
      </c>
      <c r="R123" s="71">
        <v>1239.6465833676027</v>
      </c>
      <c r="S123" s="34">
        <f t="shared" si="22"/>
        <v>1603.6825140589945</v>
      </c>
      <c r="T123" s="71">
        <v>1308.7082613027501</v>
      </c>
      <c r="U123" s="34">
        <f t="shared" si="23"/>
        <v>1693.0249175973483</v>
      </c>
      <c r="V123" s="116">
        <v>310423</v>
      </c>
      <c r="W123" s="116">
        <v>1912382</v>
      </c>
      <c r="X123" s="117">
        <v>4066747</v>
      </c>
      <c r="Y123" s="117">
        <v>579363</v>
      </c>
      <c r="Z123" s="33">
        <v>76.900000000000006</v>
      </c>
      <c r="AA123" s="33">
        <v>64.900000000000006</v>
      </c>
      <c r="AB123" s="33">
        <v>80.5</v>
      </c>
      <c r="AC123" s="33">
        <v>60.3</v>
      </c>
      <c r="AD123" s="33">
        <v>39444</v>
      </c>
      <c r="AE123" s="33">
        <v>10.4</v>
      </c>
      <c r="AF123" s="33">
        <v>417</v>
      </c>
      <c r="AG123" s="33">
        <v>74.900000000000006</v>
      </c>
      <c r="AH123" s="33">
        <v>77.3</v>
      </c>
      <c r="AI123" s="33">
        <v>79.599999999999994</v>
      </c>
      <c r="AJ123" s="33">
        <v>80.900000000000006</v>
      </c>
      <c r="AK123" s="33">
        <v>157.54504499999999</v>
      </c>
      <c r="AL123" s="33">
        <v>99.5</v>
      </c>
      <c r="AM123" s="123">
        <v>13.542633691653787</v>
      </c>
      <c r="AN123" s="123">
        <v>23.890076842506804</v>
      </c>
      <c r="AO123" s="123">
        <v>48.89525771560676</v>
      </c>
      <c r="AP123" s="33">
        <v>24.07</v>
      </c>
      <c r="AQ123" s="33">
        <f t="shared" si="24"/>
        <v>0.30238693467336686</v>
      </c>
      <c r="AR123" s="33">
        <v>95.7</v>
      </c>
      <c r="AS123" s="33">
        <v>101.7</v>
      </c>
      <c r="AT123" s="33">
        <v>90.1</v>
      </c>
      <c r="AU123" s="33">
        <v>97.8</v>
      </c>
      <c r="AV123" s="65">
        <v>103.9</v>
      </c>
      <c r="AW123" s="33">
        <v>92</v>
      </c>
      <c r="AX123" s="33">
        <v>10</v>
      </c>
      <c r="AY123" s="33">
        <v>9.1999999999999993</v>
      </c>
      <c r="AZ123" s="33">
        <v>13.5</v>
      </c>
      <c r="BA123" s="33">
        <v>7.2</v>
      </c>
      <c r="BB123" s="33">
        <v>95.2</v>
      </c>
      <c r="BC123" s="33">
        <v>99.4</v>
      </c>
      <c r="BD123" s="33">
        <v>91.1</v>
      </c>
      <c r="BE123" s="33">
        <v>0.1</v>
      </c>
      <c r="BF123" s="33">
        <v>84.5</v>
      </c>
      <c r="BG123" s="33">
        <v>20</v>
      </c>
      <c r="BH123" s="33">
        <v>158.69999999999999</v>
      </c>
      <c r="BI123" s="33">
        <v>23.7</v>
      </c>
      <c r="BJ123" s="34">
        <v>55.775127490000003</v>
      </c>
      <c r="BK123" s="45">
        <v>36.607515944755818</v>
      </c>
      <c r="BL123" s="45" t="s">
        <v>243</v>
      </c>
      <c r="BM123" s="33">
        <v>100.9696</v>
      </c>
      <c r="BN123" s="33">
        <v>100.8344</v>
      </c>
      <c r="BO123" s="33">
        <v>-19.3</v>
      </c>
      <c r="BP123" s="33">
        <v>-24.5</v>
      </c>
      <c r="BQ123" s="33">
        <v>9.1</v>
      </c>
      <c r="BR123" s="33">
        <v>4.7</v>
      </c>
      <c r="BS123" s="33">
        <v>6</v>
      </c>
      <c r="BT123" s="33">
        <v>-13</v>
      </c>
      <c r="BU123" s="33">
        <v>-7.9</v>
      </c>
      <c r="BV123" s="33">
        <v>48.6</v>
      </c>
      <c r="BW123" s="33">
        <v>-6.8</v>
      </c>
      <c r="BX123" s="33">
        <v>-14.7</v>
      </c>
      <c r="BY123" s="33">
        <v>-36.799999999999997</v>
      </c>
      <c r="BZ123" s="33">
        <v>109.8</v>
      </c>
      <c r="CA123" s="33">
        <v>-6.8</v>
      </c>
      <c r="CB123" s="33">
        <v>-3.8</v>
      </c>
      <c r="CC123" s="33">
        <v>4.4000000000000004</v>
      </c>
      <c r="CD123" s="33">
        <v>-24.1</v>
      </c>
      <c r="CE123" s="33">
        <v>-16</v>
      </c>
      <c r="CF123" s="33">
        <v>10.9</v>
      </c>
      <c r="CG123" s="33">
        <v>39.799999999999997</v>
      </c>
      <c r="CH123" s="33">
        <v>21.7</v>
      </c>
      <c r="CI123" s="33">
        <v>-10.3</v>
      </c>
      <c r="CJ123" s="33">
        <v>-11.7</v>
      </c>
      <c r="CK123" s="33">
        <v>10.5</v>
      </c>
      <c r="CL123" s="33">
        <v>8.1999999999999993</v>
      </c>
      <c r="CM123" s="33">
        <v>4159.9730909999998</v>
      </c>
      <c r="CN123" s="33">
        <v>10648.52</v>
      </c>
      <c r="CO123" s="33">
        <v>1392.1881820000001</v>
      </c>
      <c r="CP123" s="33">
        <v>5.3680000000000003</v>
      </c>
      <c r="CQ123" s="33">
        <v>6.06</v>
      </c>
      <c r="CR123" s="33">
        <v>101</v>
      </c>
      <c r="CS123" s="121">
        <f t="shared" si="16"/>
        <v>19.549999999999997</v>
      </c>
      <c r="CT123" s="33">
        <v>120.2</v>
      </c>
      <c r="CU123" s="33">
        <v>115.4</v>
      </c>
      <c r="CV123" s="33">
        <v>99.8</v>
      </c>
      <c r="CW123" s="33">
        <v>93.2</v>
      </c>
      <c r="CX123" s="33">
        <v>103.6</v>
      </c>
      <c r="CY123" s="33">
        <v>4.67</v>
      </c>
      <c r="CZ123" s="33">
        <v>28209.64</v>
      </c>
      <c r="DA123" s="33">
        <v>3</v>
      </c>
      <c r="DB123" s="33">
        <v>17.38</v>
      </c>
      <c r="DC123" s="33">
        <v>26.41</v>
      </c>
      <c r="DD123" s="33">
        <v>7.42</v>
      </c>
      <c r="DE123" s="33">
        <v>4806.5150000000003</v>
      </c>
      <c r="DF123" s="33">
        <v>994.80399999999997</v>
      </c>
      <c r="DG123" s="33">
        <v>525.95600000000002</v>
      </c>
      <c r="DH123" s="33">
        <v>1018.006</v>
      </c>
      <c r="DI123" s="33">
        <v>650.57399999999996</v>
      </c>
      <c r="DJ123" s="33">
        <v>101.14190000000001</v>
      </c>
      <c r="DK123" s="33">
        <v>101.40949999999999</v>
      </c>
      <c r="DL123" s="33">
        <v>100.01</v>
      </c>
      <c r="DM123" s="33">
        <v>100.0141</v>
      </c>
      <c r="DN123" s="33">
        <v>100.8344</v>
      </c>
      <c r="DO123" s="33">
        <v>100.9696</v>
      </c>
      <c r="DP123" s="33">
        <v>101.2253</v>
      </c>
      <c r="DQ123" s="33">
        <v>101.3475</v>
      </c>
      <c r="DR123" s="104">
        <v>79066</v>
      </c>
      <c r="DS123" s="103">
        <v>27651</v>
      </c>
      <c r="DT123" s="104">
        <v>95.218342549130568</v>
      </c>
      <c r="DU123">
        <v>102.92409515380859</v>
      </c>
      <c r="DV123">
        <v>139.88606262207031</v>
      </c>
      <c r="DW123">
        <v>1334</v>
      </c>
      <c r="DX123">
        <v>794775</v>
      </c>
      <c r="DY123" s="102">
        <f t="shared" si="26"/>
        <v>64.5</v>
      </c>
    </row>
    <row r="124" spans="1:129" x14ac:dyDescent="0.25">
      <c r="A124" s="1">
        <v>36495</v>
      </c>
      <c r="B124" s="33">
        <v>82</v>
      </c>
      <c r="C124" s="107">
        <v>3.04</v>
      </c>
      <c r="D124" s="33">
        <v>3</v>
      </c>
      <c r="E124" s="33">
        <v>3.43</v>
      </c>
      <c r="F124" s="33">
        <v>4.6100000000000003</v>
      </c>
      <c r="G124" s="33">
        <v>4.93</v>
      </c>
      <c r="H124" s="33">
        <v>5.15</v>
      </c>
      <c r="I124" s="33">
        <f t="shared" si="17"/>
        <v>2.1100000000000003</v>
      </c>
      <c r="J124" s="33">
        <f t="shared" si="18"/>
        <v>2.1500000000000004</v>
      </c>
      <c r="K124" s="33">
        <f t="shared" si="19"/>
        <v>1.7200000000000002</v>
      </c>
      <c r="L124" s="33">
        <f t="shared" si="20"/>
        <v>-4.0000000000000036E-2</v>
      </c>
      <c r="M124" s="33">
        <v>95.8</v>
      </c>
      <c r="N124" s="33">
        <v>5933.84</v>
      </c>
      <c r="O124" s="33">
        <v>24.4</v>
      </c>
      <c r="P124" s="33">
        <v>409.4</v>
      </c>
      <c r="Q124" s="34">
        <f t="shared" si="21"/>
        <v>5.2962483829236735</v>
      </c>
      <c r="R124" s="71">
        <v>1228.6813224578823</v>
      </c>
      <c r="S124" s="34">
        <f t="shared" si="22"/>
        <v>1589.4971829985541</v>
      </c>
      <c r="T124" s="71">
        <v>1298.9922526665407</v>
      </c>
      <c r="U124" s="34">
        <f t="shared" si="23"/>
        <v>1680.4556955582675</v>
      </c>
      <c r="V124" s="116">
        <v>305234</v>
      </c>
      <c r="W124" s="116">
        <v>1925201</v>
      </c>
      <c r="X124" s="117">
        <v>4078868</v>
      </c>
      <c r="Y124" s="117">
        <v>588353</v>
      </c>
      <c r="Z124" s="33">
        <v>77.900000000000006</v>
      </c>
      <c r="AA124" s="33">
        <v>65.2</v>
      </c>
      <c r="AB124" s="33">
        <v>76.8</v>
      </c>
      <c r="AC124" s="33">
        <v>60.1</v>
      </c>
      <c r="AD124" s="33">
        <v>39610</v>
      </c>
      <c r="AE124" s="33">
        <v>10.3</v>
      </c>
      <c r="AF124" s="33">
        <v>422</v>
      </c>
      <c r="AG124" s="33">
        <v>74.900000000000006</v>
      </c>
      <c r="AH124" s="33">
        <v>77.3</v>
      </c>
      <c r="AI124" s="33">
        <v>81</v>
      </c>
      <c r="AJ124" s="33">
        <v>81.3</v>
      </c>
      <c r="AK124" s="33">
        <v>157.90107900000001</v>
      </c>
      <c r="AL124" s="33">
        <v>60.6</v>
      </c>
      <c r="AM124" s="123">
        <v>15.087211057707984</v>
      </c>
      <c r="AN124" s="123">
        <v>25.219611553741967</v>
      </c>
      <c r="AO124" s="123">
        <v>52.203959365535042</v>
      </c>
      <c r="AP124" s="33">
        <v>25.42</v>
      </c>
      <c r="AQ124" s="33">
        <f t="shared" si="24"/>
        <v>0.3138271604938272</v>
      </c>
      <c r="AR124" s="33">
        <v>96.8</v>
      </c>
      <c r="AS124" s="33">
        <v>102.9</v>
      </c>
      <c r="AT124" s="33">
        <v>91.1</v>
      </c>
      <c r="AU124" s="33">
        <v>99</v>
      </c>
      <c r="AV124" s="65">
        <v>104.4</v>
      </c>
      <c r="AW124" s="33">
        <v>93.9</v>
      </c>
      <c r="AX124" s="33">
        <v>12.1</v>
      </c>
      <c r="AY124" s="33">
        <v>10.199999999999999</v>
      </c>
      <c r="AZ124" s="33">
        <v>15.6</v>
      </c>
      <c r="BA124" s="33">
        <v>11.8</v>
      </c>
      <c r="BB124" s="33">
        <v>95.3</v>
      </c>
      <c r="BC124" s="33">
        <v>100.5</v>
      </c>
      <c r="BD124" s="33">
        <v>90.4</v>
      </c>
      <c r="BE124" s="33">
        <v>-1.6</v>
      </c>
      <c r="BF124" s="33">
        <v>84.4</v>
      </c>
      <c r="BG124" s="33">
        <v>21.8</v>
      </c>
      <c r="BH124" s="33">
        <v>154.5</v>
      </c>
      <c r="BI124" s="33">
        <v>36.299999999999997</v>
      </c>
      <c r="BJ124" s="34">
        <v>56.286964240000003</v>
      </c>
      <c r="BK124" s="45">
        <v>34.777290272464889</v>
      </c>
      <c r="BL124" s="45" t="s">
        <v>243</v>
      </c>
      <c r="BM124" s="33">
        <v>101.1965</v>
      </c>
      <c r="BN124" s="33">
        <v>101.0294</v>
      </c>
      <c r="BO124" s="33">
        <v>-15.5</v>
      </c>
      <c r="BP124" s="33">
        <v>-22.3</v>
      </c>
      <c r="BQ124" s="33">
        <v>8.1</v>
      </c>
      <c r="BR124" s="33">
        <v>8.9</v>
      </c>
      <c r="BS124" s="33">
        <v>6.4</v>
      </c>
      <c r="BT124" s="33">
        <v>-8</v>
      </c>
      <c r="BU124" s="33">
        <v>-4.9000000000000004</v>
      </c>
      <c r="BV124" s="33">
        <v>47.7</v>
      </c>
      <c r="BW124" s="33">
        <v>-5.9</v>
      </c>
      <c r="BX124" s="33">
        <v>-13.8</v>
      </c>
      <c r="BY124" s="33">
        <v>-35.700000000000003</v>
      </c>
      <c r="BZ124" s="33">
        <v>111.1</v>
      </c>
      <c r="CA124" s="33">
        <v>-5.9</v>
      </c>
      <c r="CB124" s="33">
        <v>-2.2000000000000002</v>
      </c>
      <c r="CC124" s="33">
        <v>4.4000000000000004</v>
      </c>
      <c r="CD124" s="33">
        <v>-21.5</v>
      </c>
      <c r="CE124" s="33">
        <v>-15.6</v>
      </c>
      <c r="CF124" s="33">
        <v>13.8</v>
      </c>
      <c r="CG124" s="33">
        <v>44.5</v>
      </c>
      <c r="CH124" s="33">
        <v>19.100000000000001</v>
      </c>
      <c r="CI124" s="33">
        <v>-7.5</v>
      </c>
      <c r="CJ124" s="33">
        <v>-10.1</v>
      </c>
      <c r="CK124" s="33">
        <v>16.600000000000001</v>
      </c>
      <c r="CL124" s="33">
        <v>11.1</v>
      </c>
      <c r="CM124" s="33">
        <v>4590.107739</v>
      </c>
      <c r="CN124" s="33">
        <v>10998.39</v>
      </c>
      <c r="CO124" s="33">
        <v>1429.973043</v>
      </c>
      <c r="CP124" s="33">
        <v>5.2270000000000003</v>
      </c>
      <c r="CQ124" s="33">
        <v>6.21</v>
      </c>
      <c r="CR124" s="33">
        <v>101.1</v>
      </c>
      <c r="CS124" s="121">
        <f t="shared" si="16"/>
        <v>16.25</v>
      </c>
      <c r="CT124" s="33">
        <v>118.2</v>
      </c>
      <c r="CU124" s="33">
        <v>112.9</v>
      </c>
      <c r="CV124" s="33">
        <v>103.1</v>
      </c>
      <c r="CW124" s="33">
        <v>99.5</v>
      </c>
      <c r="CX124" s="33">
        <v>99.9</v>
      </c>
      <c r="CY124" s="33">
        <v>4.68</v>
      </c>
      <c r="CZ124" s="33">
        <v>24692.807000000001</v>
      </c>
      <c r="DA124" s="33">
        <v>3.17</v>
      </c>
      <c r="DB124" s="33">
        <v>16.54</v>
      </c>
      <c r="DC124" s="33">
        <v>25.09</v>
      </c>
      <c r="DD124" s="33">
        <v>6.87</v>
      </c>
      <c r="DE124" s="33">
        <v>4804.2790000000005</v>
      </c>
      <c r="DF124" s="33">
        <v>1008.755</v>
      </c>
      <c r="DG124" s="33">
        <v>583.15499999999997</v>
      </c>
      <c r="DH124" s="33">
        <v>966.13099999999997</v>
      </c>
      <c r="DI124" s="33">
        <v>683.88300000000004</v>
      </c>
      <c r="DJ124" s="33">
        <v>101.2069</v>
      </c>
      <c r="DK124" s="33">
        <v>101.4953</v>
      </c>
      <c r="DL124" s="33">
        <v>99.92</v>
      </c>
      <c r="DM124" s="33">
        <v>99.904300000000006</v>
      </c>
      <c r="DN124" s="33">
        <v>101.0294</v>
      </c>
      <c r="DO124" s="33">
        <v>101.1965</v>
      </c>
      <c r="DP124" s="33">
        <v>101.25790000000001</v>
      </c>
      <c r="DQ124" s="33">
        <v>101.38330000000001</v>
      </c>
      <c r="DR124" s="104">
        <v>70904</v>
      </c>
      <c r="DS124" s="103">
        <v>27698</v>
      </c>
      <c r="DT124" s="104">
        <v>94.662052329758822</v>
      </c>
      <c r="DU124">
        <v>65.177284240722656</v>
      </c>
      <c r="DV124">
        <v>52.089286804199219</v>
      </c>
      <c r="DW124">
        <v>1344</v>
      </c>
      <c r="DX124">
        <v>777125</v>
      </c>
      <c r="DY124" s="102">
        <f t="shared" si="26"/>
        <v>64.3</v>
      </c>
    </row>
    <row r="125" spans="1:129" x14ac:dyDescent="0.25">
      <c r="A125" s="1">
        <v>36526</v>
      </c>
      <c r="B125" s="33">
        <v>81.599999999999994</v>
      </c>
      <c r="C125" s="107">
        <v>3.04</v>
      </c>
      <c r="D125" s="33">
        <v>3</v>
      </c>
      <c r="E125" s="33">
        <v>3.42</v>
      </c>
      <c r="F125" s="33">
        <v>4.9400000000000004</v>
      </c>
      <c r="G125" s="33">
        <v>5.34</v>
      </c>
      <c r="H125" s="33">
        <v>5.54</v>
      </c>
      <c r="I125" s="33">
        <f t="shared" si="17"/>
        <v>2.5</v>
      </c>
      <c r="J125" s="33">
        <f t="shared" si="18"/>
        <v>2.54</v>
      </c>
      <c r="K125" s="33">
        <f t="shared" si="19"/>
        <v>2.12</v>
      </c>
      <c r="L125" s="33">
        <f t="shared" si="20"/>
        <v>-4.0000000000000036E-2</v>
      </c>
      <c r="M125" s="33">
        <v>96</v>
      </c>
      <c r="N125" s="33">
        <v>6750.76</v>
      </c>
      <c r="O125" s="33">
        <v>33.29</v>
      </c>
      <c r="P125" s="33">
        <v>430.9</v>
      </c>
      <c r="Q125" s="34">
        <f t="shared" si="21"/>
        <v>5.5888456549935146</v>
      </c>
      <c r="R125" s="71">
        <v>1237.9302816599943</v>
      </c>
      <c r="S125" s="34">
        <f t="shared" si="22"/>
        <v>1605.616448326841</v>
      </c>
      <c r="T125" s="71">
        <v>1305.7553567172356</v>
      </c>
      <c r="U125" s="34">
        <f t="shared" si="23"/>
        <v>1693.5867142895404</v>
      </c>
      <c r="V125" s="116">
        <v>352328</v>
      </c>
      <c r="W125" s="116">
        <v>1986266</v>
      </c>
      <c r="X125" s="117">
        <v>4121606</v>
      </c>
      <c r="Y125" s="117">
        <v>591599</v>
      </c>
      <c r="Z125" s="33">
        <v>76.7</v>
      </c>
      <c r="AA125" s="33">
        <v>62.8</v>
      </c>
      <c r="AB125" s="33">
        <v>74.8</v>
      </c>
      <c r="AC125" s="33">
        <v>58.8</v>
      </c>
      <c r="AD125" s="33">
        <v>39775</v>
      </c>
      <c r="AE125" s="33">
        <v>10.199999999999999</v>
      </c>
      <c r="AF125" s="33">
        <v>426</v>
      </c>
      <c r="AG125" s="33">
        <v>75</v>
      </c>
      <c r="AH125" s="33">
        <v>77.099999999999994</v>
      </c>
      <c r="AI125" s="33">
        <v>81.400000000000006</v>
      </c>
      <c r="AJ125" s="33">
        <v>81.5</v>
      </c>
      <c r="AK125" s="33">
        <v>158.43512999999999</v>
      </c>
      <c r="AL125" s="33">
        <v>60.7</v>
      </c>
      <c r="AM125" s="123">
        <v>15.849456912539923</v>
      </c>
      <c r="AN125" s="123">
        <v>25.338571985599238</v>
      </c>
      <c r="AO125" s="123">
        <v>53.442697384378242</v>
      </c>
      <c r="AP125" s="33">
        <v>25.33</v>
      </c>
      <c r="AQ125" s="33">
        <f t="shared" si="24"/>
        <v>0.31117936117936112</v>
      </c>
      <c r="AR125" s="33">
        <v>96.2</v>
      </c>
      <c r="AS125" s="33">
        <v>102.9</v>
      </c>
      <c r="AT125" s="33">
        <v>90</v>
      </c>
      <c r="AU125" s="33">
        <v>98.9</v>
      </c>
      <c r="AV125" s="65">
        <v>105.1</v>
      </c>
      <c r="AW125" s="33">
        <v>93.2</v>
      </c>
      <c r="AX125" s="33">
        <v>9.9</v>
      </c>
      <c r="AY125" s="33">
        <v>7</v>
      </c>
      <c r="AZ125" s="33">
        <v>16.100000000000001</v>
      </c>
      <c r="BA125" s="33">
        <v>11.8</v>
      </c>
      <c r="BB125" s="33">
        <v>95</v>
      </c>
      <c r="BC125" s="33">
        <v>102</v>
      </c>
      <c r="BD125" s="33">
        <v>88.5</v>
      </c>
      <c r="BE125" s="33">
        <v>7.5</v>
      </c>
      <c r="BF125" s="33">
        <v>89.6</v>
      </c>
      <c r="BG125" s="33">
        <v>31.4</v>
      </c>
      <c r="BH125" s="33">
        <v>151.9</v>
      </c>
      <c r="BI125" s="33">
        <v>55.4</v>
      </c>
      <c r="BJ125" s="34">
        <v>53.99646645</v>
      </c>
      <c r="BK125" s="45">
        <v>30.432967660187984</v>
      </c>
      <c r="BL125" s="33">
        <v>1.28</v>
      </c>
      <c r="BM125" s="33">
        <v>101.4016</v>
      </c>
      <c r="BN125" s="33">
        <v>101.20569999999999</v>
      </c>
      <c r="BO125" s="33">
        <v>-16.600000000000001</v>
      </c>
      <c r="BP125" s="33">
        <v>-23</v>
      </c>
      <c r="BQ125" s="33">
        <v>8.3000000000000007</v>
      </c>
      <c r="BR125" s="33">
        <v>9.6</v>
      </c>
      <c r="BS125" s="33">
        <v>7.4</v>
      </c>
      <c r="BT125" s="33">
        <v>-6.1</v>
      </c>
      <c r="BU125" s="33">
        <v>-5.0999999999999996</v>
      </c>
      <c r="BV125" s="33">
        <v>45.1</v>
      </c>
      <c r="BW125" s="33">
        <v>-5.7</v>
      </c>
      <c r="BX125" s="33">
        <v>-17.5</v>
      </c>
      <c r="BY125" s="33">
        <v>-37.9</v>
      </c>
      <c r="BZ125" s="33">
        <v>110</v>
      </c>
      <c r="CA125" s="33">
        <v>-5.7</v>
      </c>
      <c r="CB125" s="33">
        <v>-3.9</v>
      </c>
      <c r="CC125" s="33">
        <v>4.3</v>
      </c>
      <c r="CD125" s="33">
        <v>-17.100000000000001</v>
      </c>
      <c r="CE125" s="33">
        <v>-13.4</v>
      </c>
      <c r="CF125" s="33">
        <v>18.8</v>
      </c>
      <c r="CG125" s="33">
        <v>48</v>
      </c>
      <c r="CH125" s="33">
        <v>17.2</v>
      </c>
      <c r="CI125" s="33">
        <v>-10.9</v>
      </c>
      <c r="CJ125" s="33">
        <v>-9.8000000000000007</v>
      </c>
      <c r="CK125" s="33">
        <v>17</v>
      </c>
      <c r="CL125" s="33">
        <v>11.4</v>
      </c>
      <c r="CM125" s="33">
        <v>4714.7035239999996</v>
      </c>
      <c r="CN125" s="33">
        <v>11357.51</v>
      </c>
      <c r="CO125" s="33">
        <v>1427.47</v>
      </c>
      <c r="CP125" s="33">
        <v>5.4779999999999998</v>
      </c>
      <c r="CQ125" s="33">
        <v>6.58</v>
      </c>
      <c r="CR125" s="33">
        <v>108.6</v>
      </c>
      <c r="CS125" s="121">
        <f t="shared" si="16"/>
        <v>18.25</v>
      </c>
      <c r="CT125" s="33">
        <v>117.3</v>
      </c>
      <c r="CU125" s="33">
        <v>110.9</v>
      </c>
      <c r="CV125" s="33">
        <v>103</v>
      </c>
      <c r="CW125" s="33">
        <v>94.8</v>
      </c>
      <c r="CX125" s="33">
        <v>102.1</v>
      </c>
      <c r="CY125" s="33">
        <v>4.5</v>
      </c>
      <c r="CZ125" s="33">
        <v>25025.418000000001</v>
      </c>
      <c r="DA125" s="33">
        <v>3.36</v>
      </c>
      <c r="DB125" s="33">
        <v>17.78</v>
      </c>
      <c r="DC125" s="33">
        <v>26.34</v>
      </c>
      <c r="DD125" s="33">
        <v>7.72</v>
      </c>
      <c r="DE125" s="33">
        <v>3933.6370000000002</v>
      </c>
      <c r="DF125" s="33">
        <v>724.30899999999997</v>
      </c>
      <c r="DG125" s="33">
        <v>340.72500000000002</v>
      </c>
      <c r="DH125" s="33">
        <v>886.73400000000004</v>
      </c>
      <c r="DI125" s="33">
        <v>540.35900000000004</v>
      </c>
      <c r="DJ125" s="33">
        <v>101.25069999999999</v>
      </c>
      <c r="DK125" s="33">
        <v>101.5514</v>
      </c>
      <c r="DL125" s="33">
        <v>99.86</v>
      </c>
      <c r="DM125" s="33">
        <v>99.818399999999997</v>
      </c>
      <c r="DN125" s="33">
        <v>101.20569999999999</v>
      </c>
      <c r="DO125" s="33">
        <v>101.4016</v>
      </c>
      <c r="DP125" s="33">
        <v>101.2517</v>
      </c>
      <c r="DQ125" s="33">
        <v>101.37649999999999</v>
      </c>
      <c r="DR125" s="104">
        <v>74265</v>
      </c>
      <c r="DS125" s="103">
        <v>27730</v>
      </c>
      <c r="DT125" s="104">
        <v>95.403772622254493</v>
      </c>
      <c r="DU125">
        <v>51.951057434082031</v>
      </c>
      <c r="DV125">
        <v>73.233993530273438</v>
      </c>
      <c r="DW125">
        <v>1319</v>
      </c>
      <c r="DX125">
        <v>790225</v>
      </c>
      <c r="DY125" s="102">
        <f t="shared" si="26"/>
        <v>64.5</v>
      </c>
    </row>
    <row r="126" spans="1:129" x14ac:dyDescent="0.25">
      <c r="A126" s="1">
        <v>36557</v>
      </c>
      <c r="B126" s="33">
        <v>82.9</v>
      </c>
      <c r="C126" s="107">
        <v>3.28</v>
      </c>
      <c r="D126" s="33">
        <v>3.25</v>
      </c>
      <c r="E126" s="33">
        <v>3.44</v>
      </c>
      <c r="F126" s="33">
        <v>5.0199999999999996</v>
      </c>
      <c r="G126" s="33">
        <v>5.38</v>
      </c>
      <c r="H126" s="33">
        <v>5.51</v>
      </c>
      <c r="I126" s="33">
        <f t="shared" si="17"/>
        <v>2.23</v>
      </c>
      <c r="J126" s="33">
        <f t="shared" si="18"/>
        <v>2.2599999999999998</v>
      </c>
      <c r="K126" s="33">
        <f t="shared" si="19"/>
        <v>2.0699999999999998</v>
      </c>
      <c r="L126" s="33">
        <f t="shared" si="20"/>
        <v>-2.9999999999999805E-2</v>
      </c>
      <c r="M126" s="33">
        <v>95.3</v>
      </c>
      <c r="N126" s="33">
        <v>7050.46</v>
      </c>
      <c r="O126" s="33">
        <v>32.07</v>
      </c>
      <c r="P126" s="33">
        <v>438</v>
      </c>
      <c r="Q126" s="34">
        <f t="shared" si="21"/>
        <v>5.6809338521400781</v>
      </c>
      <c r="R126" s="71">
        <v>1240.7907845060083</v>
      </c>
      <c r="S126" s="34">
        <f t="shared" si="22"/>
        <v>1609.3265687496867</v>
      </c>
      <c r="T126" s="71">
        <v>1309.6608111690452</v>
      </c>
      <c r="U126" s="34">
        <f t="shared" si="23"/>
        <v>1698.6521545642611</v>
      </c>
      <c r="V126" s="116">
        <v>351218</v>
      </c>
      <c r="W126" s="116">
        <v>1987628</v>
      </c>
      <c r="X126" s="117">
        <v>4136412</v>
      </c>
      <c r="Y126" s="117">
        <v>599544</v>
      </c>
      <c r="Z126" s="33">
        <v>78.5</v>
      </c>
      <c r="AA126" s="33">
        <v>66.400000000000006</v>
      </c>
      <c r="AB126" s="33">
        <v>77.2</v>
      </c>
      <c r="AC126" s="33">
        <v>63.1</v>
      </c>
      <c r="AD126" s="33">
        <v>39856</v>
      </c>
      <c r="AE126" s="33">
        <v>10.1</v>
      </c>
      <c r="AF126" s="33">
        <v>432</v>
      </c>
      <c r="AG126" s="33">
        <v>75</v>
      </c>
      <c r="AH126" s="33">
        <v>77.099999999999994</v>
      </c>
      <c r="AI126" s="33">
        <v>82.3</v>
      </c>
      <c r="AJ126" s="33">
        <v>81.599999999999994</v>
      </c>
      <c r="AK126" s="33">
        <v>158.43512999999999</v>
      </c>
      <c r="AL126" s="33">
        <v>60.7</v>
      </c>
      <c r="AM126" s="123">
        <v>17.360237034185843</v>
      </c>
      <c r="AN126" s="123">
        <v>28.291066460442977</v>
      </c>
      <c r="AO126" s="123">
        <v>56.45741364708676</v>
      </c>
      <c r="AP126" s="33">
        <v>28.5</v>
      </c>
      <c r="AQ126" s="33">
        <f t="shared" si="24"/>
        <v>0.3462940461725395</v>
      </c>
      <c r="AR126" s="33">
        <v>97.7</v>
      </c>
      <c r="AS126" s="33">
        <v>103.2</v>
      </c>
      <c r="AT126" s="33">
        <v>92.5</v>
      </c>
      <c r="AU126" s="33">
        <v>100.3</v>
      </c>
      <c r="AV126" s="65">
        <v>105.5</v>
      </c>
      <c r="AW126" s="33">
        <v>95.2</v>
      </c>
      <c r="AX126" s="33">
        <v>15.2</v>
      </c>
      <c r="AY126" s="33">
        <v>5.7</v>
      </c>
      <c r="AZ126" s="33">
        <v>18.399999999999999</v>
      </c>
      <c r="BA126" s="33">
        <v>13.4</v>
      </c>
      <c r="BB126" s="33">
        <v>95.6</v>
      </c>
      <c r="BC126" s="33">
        <v>100.1</v>
      </c>
      <c r="BD126" s="33">
        <v>91.4</v>
      </c>
      <c r="BE126" s="33">
        <v>15</v>
      </c>
      <c r="BF126" s="33">
        <v>85.5</v>
      </c>
      <c r="BG126" s="33">
        <v>31.2</v>
      </c>
      <c r="BH126" s="33">
        <v>147.4</v>
      </c>
      <c r="BI126" s="33">
        <v>43.3</v>
      </c>
      <c r="BJ126" s="34">
        <v>55.636562099999999</v>
      </c>
      <c r="BK126" s="45">
        <v>22.069603986494897</v>
      </c>
      <c r="BL126" s="33">
        <v>1.2709999999999999</v>
      </c>
      <c r="BM126" s="33">
        <v>101.5986</v>
      </c>
      <c r="BN126" s="33">
        <v>101.3749</v>
      </c>
      <c r="BO126" s="33">
        <v>-13.3</v>
      </c>
      <c r="BP126" s="33">
        <v>-20.7</v>
      </c>
      <c r="BQ126" s="33">
        <v>6.9</v>
      </c>
      <c r="BR126" s="33">
        <v>10.8</v>
      </c>
      <c r="BS126" s="33">
        <v>7.2</v>
      </c>
      <c r="BT126" s="33">
        <v>-5.5</v>
      </c>
      <c r="BU126" s="33">
        <v>-3.1</v>
      </c>
      <c r="BV126" s="33">
        <v>45.6</v>
      </c>
      <c r="BW126" s="33">
        <v>-4.5999999999999996</v>
      </c>
      <c r="BX126" s="33">
        <v>-12.1</v>
      </c>
      <c r="BY126" s="33">
        <v>-40.6</v>
      </c>
      <c r="BZ126" s="33">
        <v>111.4</v>
      </c>
      <c r="CA126" s="33">
        <v>-4.5999999999999996</v>
      </c>
      <c r="CB126" s="33">
        <v>-2.6</v>
      </c>
      <c r="CC126" s="33">
        <v>5.3</v>
      </c>
      <c r="CD126" s="33">
        <v>-14.5</v>
      </c>
      <c r="CE126" s="33">
        <v>-13.4</v>
      </c>
      <c r="CF126" s="33">
        <v>17.3</v>
      </c>
      <c r="CG126" s="33">
        <v>41.9</v>
      </c>
      <c r="CH126" s="33">
        <v>16.100000000000001</v>
      </c>
      <c r="CI126" s="33">
        <v>-10.199999999999999</v>
      </c>
      <c r="CJ126" s="33">
        <v>-7.5</v>
      </c>
      <c r="CK126" s="33">
        <v>16.2</v>
      </c>
      <c r="CL126" s="33">
        <v>12.1</v>
      </c>
      <c r="CM126" s="33">
        <v>5089.7570480000004</v>
      </c>
      <c r="CN126" s="33">
        <v>11041.06</v>
      </c>
      <c r="CO126" s="33">
        <v>1386.836667</v>
      </c>
      <c r="CP126" s="33">
        <v>5.585</v>
      </c>
      <c r="CQ126" s="33">
        <v>6.62</v>
      </c>
      <c r="CR126" s="33">
        <v>107.8</v>
      </c>
      <c r="CS126" s="121">
        <f t="shared" si="16"/>
        <v>19.150000000000006</v>
      </c>
      <c r="CT126" s="33">
        <v>118.8</v>
      </c>
      <c r="CU126" s="33">
        <v>114.3</v>
      </c>
      <c r="CV126" s="33">
        <v>101.5</v>
      </c>
      <c r="CW126" s="33">
        <v>99.5</v>
      </c>
      <c r="CX126" s="33">
        <v>108.1</v>
      </c>
      <c r="CY126" s="33">
        <v>4.8499999999999996</v>
      </c>
      <c r="CZ126" s="33">
        <v>26568.337</v>
      </c>
      <c r="DA126" s="33">
        <v>3.27</v>
      </c>
      <c r="DB126" s="33">
        <v>16.73</v>
      </c>
      <c r="DC126" s="33">
        <v>26.2</v>
      </c>
      <c r="DD126" s="33">
        <v>8.1999999999999993</v>
      </c>
      <c r="DE126" s="33">
        <v>4454.1289999999999</v>
      </c>
      <c r="DF126" s="33">
        <v>823.00599999999997</v>
      </c>
      <c r="DG126" s="33">
        <v>419.76100000000002</v>
      </c>
      <c r="DH126" s="33">
        <v>1038.9749999999999</v>
      </c>
      <c r="DI126" s="33">
        <v>570.66300000000001</v>
      </c>
      <c r="DJ126" s="33">
        <v>101.2625</v>
      </c>
      <c r="DK126" s="33">
        <v>101.56489999999999</v>
      </c>
      <c r="DL126" s="33">
        <v>99.82</v>
      </c>
      <c r="DM126" s="33">
        <v>99.769800000000004</v>
      </c>
      <c r="DN126" s="33">
        <v>101.3749</v>
      </c>
      <c r="DO126" s="33">
        <v>101.5986</v>
      </c>
      <c r="DP126" s="33">
        <v>101.1922</v>
      </c>
      <c r="DQ126" s="33">
        <v>101.31100000000001</v>
      </c>
      <c r="DR126" s="104">
        <v>81461</v>
      </c>
      <c r="DS126" s="103">
        <v>27774</v>
      </c>
      <c r="DT126" s="104">
        <v>96.609068097559941</v>
      </c>
      <c r="DU126">
        <v>72.962875366210938</v>
      </c>
      <c r="DV126">
        <v>97.358421325683594</v>
      </c>
      <c r="DW126">
        <v>1311</v>
      </c>
      <c r="DX126">
        <v>804300</v>
      </c>
      <c r="DY126" s="102">
        <f t="shared" si="26"/>
        <v>64.099999999999994</v>
      </c>
    </row>
    <row r="127" spans="1:129" x14ac:dyDescent="0.25">
      <c r="A127" s="1">
        <v>36586</v>
      </c>
      <c r="B127" s="33">
        <v>83.1</v>
      </c>
      <c r="C127" s="107">
        <v>3.51</v>
      </c>
      <c r="D127" s="33">
        <v>3.5</v>
      </c>
      <c r="E127" s="33">
        <v>3.54</v>
      </c>
      <c r="F127" s="33">
        <v>4.91</v>
      </c>
      <c r="G127" s="33">
        <v>5.21</v>
      </c>
      <c r="H127" s="33">
        <v>5.33</v>
      </c>
      <c r="I127" s="33">
        <f t="shared" si="17"/>
        <v>1.8200000000000003</v>
      </c>
      <c r="J127" s="33">
        <f t="shared" si="18"/>
        <v>1.83</v>
      </c>
      <c r="K127" s="33">
        <f t="shared" si="19"/>
        <v>1.79</v>
      </c>
      <c r="L127" s="33">
        <f t="shared" si="20"/>
        <v>-9.9999999999997868E-3</v>
      </c>
      <c r="M127" s="33">
        <v>94.3</v>
      </c>
      <c r="N127" s="33">
        <v>7727.93</v>
      </c>
      <c r="O127" s="33">
        <v>29.17</v>
      </c>
      <c r="P127" s="33">
        <v>439.7</v>
      </c>
      <c r="Q127" s="34">
        <f t="shared" si="21"/>
        <v>5.6955958549222796</v>
      </c>
      <c r="R127" s="71">
        <v>1239.7419334624699</v>
      </c>
      <c r="S127" s="34">
        <f t="shared" si="22"/>
        <v>1605.8833335006084</v>
      </c>
      <c r="T127" s="71">
        <v>1309.8513211423044</v>
      </c>
      <c r="U127" s="34">
        <f t="shared" si="23"/>
        <v>1696.6986025159383</v>
      </c>
      <c r="V127" s="116">
        <v>352884</v>
      </c>
      <c r="W127" s="116">
        <v>2003675</v>
      </c>
      <c r="X127" s="117">
        <v>4149339</v>
      </c>
      <c r="Y127" s="117">
        <v>616667</v>
      </c>
      <c r="Z127" s="33">
        <v>78.3</v>
      </c>
      <c r="AA127" s="33">
        <v>68</v>
      </c>
      <c r="AB127" s="33">
        <v>78.3</v>
      </c>
      <c r="AC127" s="33">
        <v>64.2</v>
      </c>
      <c r="AD127" s="33">
        <v>39926</v>
      </c>
      <c r="AE127" s="33">
        <v>10.1</v>
      </c>
      <c r="AF127" s="33">
        <v>433</v>
      </c>
      <c r="AG127" s="33">
        <v>75.2</v>
      </c>
      <c r="AH127" s="33">
        <v>77.2</v>
      </c>
      <c r="AI127" s="33">
        <v>82.7</v>
      </c>
      <c r="AJ127" s="33">
        <v>81.8</v>
      </c>
      <c r="AK127" s="33">
        <v>158.613147</v>
      </c>
      <c r="AL127" s="33">
        <v>61.1</v>
      </c>
      <c r="AM127" s="123">
        <v>18.405066114947022</v>
      </c>
      <c r="AN127" s="123">
        <v>29.154601919264636</v>
      </c>
      <c r="AO127" s="123">
        <v>54.85638251381117</v>
      </c>
      <c r="AP127" s="33">
        <v>28.49</v>
      </c>
      <c r="AQ127" s="33">
        <f t="shared" si="24"/>
        <v>0.34449818621523576</v>
      </c>
      <c r="AR127" s="33">
        <v>96.9</v>
      </c>
      <c r="AS127" s="33">
        <v>102.8</v>
      </c>
      <c r="AT127" s="33">
        <v>91.4</v>
      </c>
      <c r="AU127" s="33">
        <v>101</v>
      </c>
      <c r="AV127" s="65">
        <v>105.9</v>
      </c>
      <c r="AW127" s="33">
        <v>96.3</v>
      </c>
      <c r="AX127" s="33">
        <v>16.3</v>
      </c>
      <c r="AY127" s="33">
        <v>7.6</v>
      </c>
      <c r="AZ127" s="33">
        <v>20</v>
      </c>
      <c r="BA127" s="33">
        <v>14.2</v>
      </c>
      <c r="BB127" s="33">
        <v>93.9</v>
      </c>
      <c r="BC127" s="33">
        <v>99.5</v>
      </c>
      <c r="BD127" s="33">
        <v>88.5</v>
      </c>
      <c r="BE127" s="33">
        <v>21.6</v>
      </c>
      <c r="BF127" s="33">
        <v>83.7</v>
      </c>
      <c r="BG127" s="33">
        <v>35.1</v>
      </c>
      <c r="BH127" s="33">
        <v>145.19999999999999</v>
      </c>
      <c r="BI127" s="33">
        <v>23.6</v>
      </c>
      <c r="BJ127" s="34">
        <v>58.004914059999997</v>
      </c>
      <c r="BK127" s="45">
        <v>15.726989264476014</v>
      </c>
      <c r="BL127" s="33">
        <v>1.242</v>
      </c>
      <c r="BM127" s="33">
        <v>101.7854</v>
      </c>
      <c r="BN127" s="33">
        <v>101.5354</v>
      </c>
      <c r="BO127" s="33">
        <v>-8.6999999999999993</v>
      </c>
      <c r="BP127" s="33">
        <v>-17.5</v>
      </c>
      <c r="BQ127" s="33">
        <v>5.4</v>
      </c>
      <c r="BR127" s="33">
        <v>9.6999999999999993</v>
      </c>
      <c r="BS127" s="33">
        <v>10.199999999999999</v>
      </c>
      <c r="BT127" s="33">
        <v>-3.7</v>
      </c>
      <c r="BU127" s="33">
        <v>-1.5</v>
      </c>
      <c r="BV127" s="33">
        <v>45.7</v>
      </c>
      <c r="BW127" s="33">
        <v>-4.3</v>
      </c>
      <c r="BX127" s="33">
        <v>-18.600000000000001</v>
      </c>
      <c r="BY127" s="33">
        <v>-41</v>
      </c>
      <c r="BZ127" s="33">
        <v>111.8</v>
      </c>
      <c r="CA127" s="33">
        <v>-4.3</v>
      </c>
      <c r="CB127" s="33">
        <v>-3.5</v>
      </c>
      <c r="CC127" s="33">
        <v>7.2</v>
      </c>
      <c r="CD127" s="33">
        <v>-15.5</v>
      </c>
      <c r="CE127" s="33">
        <v>-11.5</v>
      </c>
      <c r="CF127" s="33">
        <v>20.100000000000001</v>
      </c>
      <c r="CG127" s="33">
        <v>44.4</v>
      </c>
      <c r="CH127" s="33">
        <v>15.3</v>
      </c>
      <c r="CI127" s="33">
        <v>-10.3</v>
      </c>
      <c r="CJ127" s="33">
        <v>-9.4</v>
      </c>
      <c r="CK127" s="33">
        <v>16.5</v>
      </c>
      <c r="CL127" s="33">
        <v>9.8000000000000007</v>
      </c>
      <c r="CM127" s="33">
        <v>5317.0805220000002</v>
      </c>
      <c r="CN127" s="33">
        <v>10137.93</v>
      </c>
      <c r="CO127" s="33">
        <v>1442.213043</v>
      </c>
      <c r="CP127" s="33">
        <v>5.4180000000000001</v>
      </c>
      <c r="CQ127" s="33">
        <v>6.39</v>
      </c>
      <c r="CR127" s="33">
        <v>101.7</v>
      </c>
      <c r="CS127" s="121">
        <f t="shared" si="16"/>
        <v>17.650000000000006</v>
      </c>
      <c r="CT127" s="33">
        <v>121.2</v>
      </c>
      <c r="CU127" s="33">
        <v>115.9</v>
      </c>
      <c r="CV127" s="33">
        <v>104.4</v>
      </c>
      <c r="CW127" s="33">
        <v>100.1</v>
      </c>
      <c r="CX127" s="33">
        <v>95.6</v>
      </c>
      <c r="CY127" s="33">
        <v>5.07</v>
      </c>
      <c r="CZ127" s="33">
        <v>29750.673999999999</v>
      </c>
      <c r="DA127" s="33">
        <v>3.94</v>
      </c>
      <c r="DB127" s="33">
        <v>18.329999999999998</v>
      </c>
      <c r="DC127" s="33">
        <v>27.68</v>
      </c>
      <c r="DD127" s="33">
        <v>7.9</v>
      </c>
      <c r="DE127" s="33">
        <v>5275.82</v>
      </c>
      <c r="DF127" s="33">
        <v>1038.7049999999999</v>
      </c>
      <c r="DG127" s="33">
        <v>499.27499999999998</v>
      </c>
      <c r="DH127" s="33">
        <v>1110.4269999999999</v>
      </c>
      <c r="DI127" s="33">
        <v>780.23099999999999</v>
      </c>
      <c r="DJ127" s="33">
        <v>101.2418</v>
      </c>
      <c r="DK127" s="33">
        <v>101.5347</v>
      </c>
      <c r="DL127" s="33">
        <v>99.8</v>
      </c>
      <c r="DM127" s="33">
        <v>99.744500000000002</v>
      </c>
      <c r="DN127" s="33">
        <v>101.5354</v>
      </c>
      <c r="DO127" s="33">
        <v>101.7854</v>
      </c>
      <c r="DP127" s="33">
        <v>101.1046</v>
      </c>
      <c r="DQ127" s="33">
        <v>101.21469999999999</v>
      </c>
      <c r="DR127" s="104">
        <v>81047</v>
      </c>
      <c r="DS127" s="103">
        <v>27807</v>
      </c>
      <c r="DT127" s="104">
        <v>96.516353060997986</v>
      </c>
      <c r="DU127">
        <v>75.439552307128906</v>
      </c>
      <c r="DV127">
        <v>96.091506958007813</v>
      </c>
      <c r="DW127">
        <v>1547</v>
      </c>
      <c r="DX127">
        <v>834150</v>
      </c>
      <c r="DY127" s="102">
        <f t="shared" si="26"/>
        <v>65.400000000000006</v>
      </c>
    </row>
    <row r="128" spans="1:129" x14ac:dyDescent="0.25">
      <c r="A128" s="1">
        <v>36617</v>
      </c>
      <c r="B128" s="33">
        <v>83.7</v>
      </c>
      <c r="C128" s="107">
        <v>3.69</v>
      </c>
      <c r="D128" s="33">
        <v>3.75</v>
      </c>
      <c r="E128" s="33">
        <v>3.74</v>
      </c>
      <c r="F128" s="33">
        <v>4.8600000000000003</v>
      </c>
      <c r="G128" s="33">
        <v>5.12</v>
      </c>
      <c r="H128" s="33">
        <v>5.22</v>
      </c>
      <c r="I128" s="33">
        <f t="shared" si="17"/>
        <v>1.5299999999999998</v>
      </c>
      <c r="J128" s="33">
        <f t="shared" si="18"/>
        <v>1.4699999999999998</v>
      </c>
      <c r="K128" s="33">
        <f t="shared" si="19"/>
        <v>1.4799999999999995</v>
      </c>
      <c r="L128" s="33">
        <f t="shared" si="20"/>
        <v>6.0000000000000053E-2</v>
      </c>
      <c r="M128" s="33">
        <v>93.4</v>
      </c>
      <c r="N128" s="33">
        <v>7429.22</v>
      </c>
      <c r="O128" s="33">
        <v>28.42</v>
      </c>
      <c r="P128" s="33">
        <v>447.8</v>
      </c>
      <c r="Q128" s="34">
        <f t="shared" si="21"/>
        <v>5.8080415045395597</v>
      </c>
      <c r="R128" s="71">
        <v>1241.6489353598126</v>
      </c>
      <c r="S128" s="34">
        <f t="shared" si="22"/>
        <v>1610.4396048765404</v>
      </c>
      <c r="T128" s="71">
        <v>1310.9943809818585</v>
      </c>
      <c r="U128" s="34">
        <f t="shared" si="23"/>
        <v>1700.3818170970926</v>
      </c>
      <c r="V128" s="116">
        <v>354766</v>
      </c>
      <c r="W128" s="116">
        <v>2022293</v>
      </c>
      <c r="X128" s="117">
        <v>4174322</v>
      </c>
      <c r="Y128" s="117">
        <v>628479</v>
      </c>
      <c r="Z128" s="33">
        <v>78.400000000000006</v>
      </c>
      <c r="AA128" s="33">
        <v>68.7</v>
      </c>
      <c r="AB128" s="33">
        <v>78.099999999999994</v>
      </c>
      <c r="AC128" s="33">
        <v>65.7</v>
      </c>
      <c r="AD128" s="33">
        <v>39952</v>
      </c>
      <c r="AE128" s="33">
        <v>9.6</v>
      </c>
      <c r="AF128" s="33">
        <v>442</v>
      </c>
      <c r="AG128" s="33">
        <v>75.099999999999994</v>
      </c>
      <c r="AH128" s="33">
        <v>77.099999999999994</v>
      </c>
      <c r="AI128" s="33">
        <v>82.5</v>
      </c>
      <c r="AJ128" s="33">
        <v>82.1</v>
      </c>
      <c r="AK128" s="33">
        <v>159.32521499999999</v>
      </c>
      <c r="AL128" s="33">
        <v>61.6</v>
      </c>
      <c r="AM128" s="123">
        <v>17.021755413314064</v>
      </c>
      <c r="AN128" s="123">
        <v>25.891556448981977</v>
      </c>
      <c r="AO128" s="123">
        <v>56.190006075735255</v>
      </c>
      <c r="AP128" s="33">
        <v>24.48</v>
      </c>
      <c r="AQ128" s="33">
        <f t="shared" si="24"/>
        <v>0.29672727272727273</v>
      </c>
      <c r="AR128" s="33">
        <v>98.1</v>
      </c>
      <c r="AS128" s="33">
        <v>102.5</v>
      </c>
      <c r="AT128" s="33">
        <v>93.9</v>
      </c>
      <c r="AU128" s="33">
        <v>101.5</v>
      </c>
      <c r="AV128" s="65">
        <v>105.1</v>
      </c>
      <c r="AW128" s="33">
        <v>98</v>
      </c>
      <c r="AX128" s="33">
        <v>17.7</v>
      </c>
      <c r="AY128" s="33">
        <v>6.5</v>
      </c>
      <c r="AZ128" s="33">
        <v>20.8</v>
      </c>
      <c r="BA128" s="33">
        <v>13.2</v>
      </c>
      <c r="BB128" s="33">
        <v>94.8</v>
      </c>
      <c r="BC128" s="33">
        <v>99.1</v>
      </c>
      <c r="BD128" s="33">
        <v>90.7</v>
      </c>
      <c r="BE128" s="33">
        <v>23.1</v>
      </c>
      <c r="BF128" s="33">
        <v>83</v>
      </c>
      <c r="BG128" s="33">
        <v>35.1</v>
      </c>
      <c r="BH128" s="33">
        <v>147.69999999999999</v>
      </c>
      <c r="BI128" s="33">
        <v>3.1</v>
      </c>
      <c r="BJ128" s="34">
        <v>60.904794469999999</v>
      </c>
      <c r="BK128" s="45">
        <v>10.071008244230271</v>
      </c>
      <c r="BL128" s="33">
        <v>1.206</v>
      </c>
      <c r="BM128" s="33">
        <v>101.9666</v>
      </c>
      <c r="BN128" s="33">
        <v>101.691</v>
      </c>
      <c r="BO128" s="33">
        <v>-10.1</v>
      </c>
      <c r="BP128" s="33">
        <v>-16.5</v>
      </c>
      <c r="BQ128" s="33">
        <v>3.2</v>
      </c>
      <c r="BR128" s="33">
        <v>9.6</v>
      </c>
      <c r="BS128" s="33">
        <v>11.9</v>
      </c>
      <c r="BT128" s="33">
        <v>-2.8</v>
      </c>
      <c r="BU128" s="33">
        <v>-1.2</v>
      </c>
      <c r="BV128" s="33">
        <v>37.6</v>
      </c>
      <c r="BW128" s="33">
        <v>-5.4</v>
      </c>
      <c r="BX128" s="33">
        <v>-14.4</v>
      </c>
      <c r="BY128" s="33">
        <v>-39.700000000000003</v>
      </c>
      <c r="BZ128" s="33">
        <v>109.7</v>
      </c>
      <c r="CA128" s="33">
        <v>-5.4</v>
      </c>
      <c r="CB128" s="33">
        <v>-4.5999999999999996</v>
      </c>
      <c r="CC128" s="33">
        <v>4.8</v>
      </c>
      <c r="CD128" s="33">
        <v>-15</v>
      </c>
      <c r="CE128" s="33">
        <v>-11.9</v>
      </c>
      <c r="CF128" s="33">
        <v>19.7</v>
      </c>
      <c r="CG128" s="33">
        <v>40.1</v>
      </c>
      <c r="CH128" s="33">
        <v>13.9</v>
      </c>
      <c r="CI128" s="33">
        <v>-13.8</v>
      </c>
      <c r="CJ128" s="33">
        <v>-10.1</v>
      </c>
      <c r="CK128" s="33">
        <v>12.9</v>
      </c>
      <c r="CL128" s="33">
        <v>11.7</v>
      </c>
      <c r="CM128" s="33">
        <v>5149.1463999999996</v>
      </c>
      <c r="CN128" s="33">
        <v>11221.94</v>
      </c>
      <c r="CO128" s="33">
        <v>1460.0139999999999</v>
      </c>
      <c r="CP128" s="33">
        <v>5.1950000000000003</v>
      </c>
      <c r="CQ128" s="33">
        <v>6</v>
      </c>
      <c r="CR128" s="33">
        <v>103.7</v>
      </c>
      <c r="CS128" s="121">
        <f t="shared" si="16"/>
        <v>15.25</v>
      </c>
      <c r="CT128" s="33">
        <v>120.8</v>
      </c>
      <c r="CU128" s="33">
        <v>115.6</v>
      </c>
      <c r="CV128" s="33">
        <v>105.2</v>
      </c>
      <c r="CW128" s="33">
        <v>105.1</v>
      </c>
      <c r="CX128" s="33">
        <v>99.4</v>
      </c>
      <c r="CY128" s="33">
        <v>4.7</v>
      </c>
      <c r="CZ128" s="33">
        <v>26769.42</v>
      </c>
      <c r="DA128" s="33">
        <v>3.57</v>
      </c>
      <c r="DB128" s="33">
        <v>17.45</v>
      </c>
      <c r="DC128" s="33">
        <v>27.2</v>
      </c>
      <c r="DD128" s="33">
        <v>8.19</v>
      </c>
      <c r="DE128" s="33">
        <v>4205.4129999999996</v>
      </c>
      <c r="DF128" s="33">
        <v>750.53800000000001</v>
      </c>
      <c r="DG128" s="33">
        <v>443.22399999999999</v>
      </c>
      <c r="DH128" s="33">
        <v>905.38699999999994</v>
      </c>
      <c r="DI128" s="33">
        <v>596.899</v>
      </c>
      <c r="DJ128" s="33">
        <v>101.1863</v>
      </c>
      <c r="DK128" s="33">
        <v>101.45820000000001</v>
      </c>
      <c r="DL128" s="33">
        <v>99.78</v>
      </c>
      <c r="DM128" s="33">
        <v>99.721400000000003</v>
      </c>
      <c r="DN128" s="33">
        <v>101.691</v>
      </c>
      <c r="DO128" s="33">
        <v>101.9666</v>
      </c>
      <c r="DP128" s="33">
        <v>100.9971</v>
      </c>
      <c r="DQ128" s="33">
        <v>101.09650000000001</v>
      </c>
      <c r="DR128" s="104">
        <v>67858</v>
      </c>
      <c r="DS128" s="103">
        <v>27833</v>
      </c>
      <c r="DT128" s="104">
        <v>96.701783134121911</v>
      </c>
      <c r="DU128">
        <v>72.605201721191406</v>
      </c>
      <c r="DV128">
        <v>69.447952270507813</v>
      </c>
      <c r="DW128">
        <v>1669</v>
      </c>
      <c r="DX128">
        <v>749200</v>
      </c>
      <c r="DY128" s="102">
        <f t="shared" si="26"/>
        <v>65.599999999999994</v>
      </c>
    </row>
    <row r="129" spans="1:129" x14ac:dyDescent="0.25">
      <c r="A129" s="1">
        <v>36647</v>
      </c>
      <c r="B129" s="33">
        <v>86</v>
      </c>
      <c r="C129" s="107">
        <v>3.92</v>
      </c>
      <c r="D129" s="33">
        <v>3.75</v>
      </c>
      <c r="E129" s="33">
        <v>4.01</v>
      </c>
      <c r="F129" s="33">
        <v>5.2</v>
      </c>
      <c r="G129" s="33">
        <v>5.35</v>
      </c>
      <c r="H129" s="33">
        <v>5.38</v>
      </c>
      <c r="I129" s="33">
        <f t="shared" si="17"/>
        <v>1.46</v>
      </c>
      <c r="J129" s="33">
        <f t="shared" si="18"/>
        <v>1.63</v>
      </c>
      <c r="K129" s="33">
        <f t="shared" si="19"/>
        <v>1.37</v>
      </c>
      <c r="L129" s="33">
        <f t="shared" si="20"/>
        <v>-0.16999999999999993</v>
      </c>
      <c r="M129" s="33">
        <v>92.4</v>
      </c>
      <c r="N129" s="33">
        <v>7414.68</v>
      </c>
      <c r="O129" s="33">
        <v>24.95</v>
      </c>
      <c r="P129" s="33">
        <v>437.8</v>
      </c>
      <c r="Q129" s="34">
        <f t="shared" si="21"/>
        <v>5.6783398184176397</v>
      </c>
      <c r="R129" s="71">
        <v>1234.4023281499105</v>
      </c>
      <c r="S129" s="34">
        <f t="shared" si="22"/>
        <v>1601.0406331386648</v>
      </c>
      <c r="T129" s="71">
        <v>1305.1838267974588</v>
      </c>
      <c r="U129" s="34">
        <f t="shared" si="23"/>
        <v>1692.8454303468986</v>
      </c>
      <c r="V129" s="116">
        <v>350594</v>
      </c>
      <c r="W129" s="116">
        <v>2005841</v>
      </c>
      <c r="X129" s="117">
        <v>4168507</v>
      </c>
      <c r="Y129" s="117">
        <v>626918</v>
      </c>
      <c r="Z129" s="33">
        <v>80.8</v>
      </c>
      <c r="AA129" s="33">
        <v>68.8</v>
      </c>
      <c r="AB129" s="33">
        <v>79.2</v>
      </c>
      <c r="AC129" s="33">
        <v>65</v>
      </c>
      <c r="AD129" s="33">
        <v>39981</v>
      </c>
      <c r="AE129" s="33">
        <v>9.5</v>
      </c>
      <c r="AF129" s="33">
        <v>454</v>
      </c>
      <c r="AG129" s="33">
        <v>75.2</v>
      </c>
      <c r="AH129" s="33">
        <v>77.099999999999994</v>
      </c>
      <c r="AI129" s="33">
        <v>83.9</v>
      </c>
      <c r="AJ129" s="33">
        <v>82.4</v>
      </c>
      <c r="AK129" s="33">
        <v>160.037283</v>
      </c>
      <c r="AL129" s="33">
        <v>61.8</v>
      </c>
      <c r="AM129" s="123">
        <v>17.440108848971551</v>
      </c>
      <c r="AN129" s="123">
        <v>33.574823200102649</v>
      </c>
      <c r="AO129" s="123">
        <v>57.706244334921756</v>
      </c>
      <c r="AP129" s="33">
        <v>30.67</v>
      </c>
      <c r="AQ129" s="33">
        <f t="shared" si="24"/>
        <v>0.36555423122765196</v>
      </c>
      <c r="AR129" s="33">
        <v>98.2</v>
      </c>
      <c r="AS129" s="33">
        <v>102.6</v>
      </c>
      <c r="AT129" s="33">
        <v>94.1</v>
      </c>
      <c r="AU129" s="33">
        <v>101.6</v>
      </c>
      <c r="AV129" s="65">
        <v>105.1</v>
      </c>
      <c r="AW129" s="33">
        <v>98.2</v>
      </c>
      <c r="AX129" s="33">
        <v>17.600000000000001</v>
      </c>
      <c r="AY129" s="33">
        <v>9.6</v>
      </c>
      <c r="AZ129" s="33">
        <v>21</v>
      </c>
      <c r="BA129" s="33">
        <v>14.6</v>
      </c>
      <c r="BB129" s="33">
        <v>96</v>
      </c>
      <c r="BC129" s="33">
        <v>98.4</v>
      </c>
      <c r="BD129" s="33">
        <v>93.7</v>
      </c>
      <c r="BE129" s="33">
        <v>30.8</v>
      </c>
      <c r="BF129" s="33">
        <v>81</v>
      </c>
      <c r="BG129" s="33">
        <v>59.8</v>
      </c>
      <c r="BH129" s="33">
        <v>143.6</v>
      </c>
      <c r="BI129" s="33">
        <v>2</v>
      </c>
      <c r="BJ129" s="34">
        <v>59.129342989999998</v>
      </c>
      <c r="BK129" s="45">
        <v>0.33835465667319298</v>
      </c>
      <c r="BL129" s="33">
        <v>1.1830000000000001</v>
      </c>
      <c r="BM129" s="33">
        <v>102.1281</v>
      </c>
      <c r="BN129" s="33">
        <v>101.8297</v>
      </c>
      <c r="BO129" s="33">
        <v>-6.9</v>
      </c>
      <c r="BP129" s="33">
        <v>-14.2</v>
      </c>
      <c r="BQ129" s="33">
        <v>4.0999999999999996</v>
      </c>
      <c r="BR129" s="33">
        <v>11.3</v>
      </c>
      <c r="BS129" s="33">
        <v>12.3</v>
      </c>
      <c r="BT129" s="33">
        <v>-2.7</v>
      </c>
      <c r="BU129" s="33">
        <v>0.1</v>
      </c>
      <c r="BV129" s="33">
        <v>38.1</v>
      </c>
      <c r="BW129" s="33">
        <v>-2.2999999999999998</v>
      </c>
      <c r="BX129" s="33">
        <v>-12.6</v>
      </c>
      <c r="BY129" s="33">
        <v>-40.700000000000003</v>
      </c>
      <c r="BZ129" s="33">
        <v>111.4</v>
      </c>
      <c r="CA129" s="33">
        <v>-2.2999999999999998</v>
      </c>
      <c r="CB129" s="33">
        <v>0.5</v>
      </c>
      <c r="CC129" s="33">
        <v>7.7</v>
      </c>
      <c r="CD129" s="33">
        <v>-7.5</v>
      </c>
      <c r="CE129" s="33">
        <v>-7.7</v>
      </c>
      <c r="CF129" s="33">
        <v>17.7</v>
      </c>
      <c r="CG129" s="33">
        <v>40</v>
      </c>
      <c r="CH129" s="33">
        <v>11.1</v>
      </c>
      <c r="CI129" s="33">
        <v>-8.5</v>
      </c>
      <c r="CJ129" s="33">
        <v>-9.6</v>
      </c>
      <c r="CK129" s="33">
        <v>17.399999999999999</v>
      </c>
      <c r="CL129" s="33">
        <v>11.6</v>
      </c>
      <c r="CM129" s="33">
        <v>5174.7295649999996</v>
      </c>
      <c r="CN129" s="33">
        <v>10811.79</v>
      </c>
      <c r="CO129" s="33">
        <v>1416.720435</v>
      </c>
      <c r="CP129" s="33">
        <v>5.2050000000000001</v>
      </c>
      <c r="CQ129" s="33">
        <v>6.29</v>
      </c>
      <c r="CR129" s="33">
        <v>104.8</v>
      </c>
      <c r="CS129" s="121">
        <f t="shared" ref="CS129:CS184" si="27">+CS130+(CT129-CT128)</f>
        <v>15.650000000000006</v>
      </c>
      <c r="CT129" s="33">
        <v>120.7</v>
      </c>
      <c r="CU129" s="33">
        <v>114.5</v>
      </c>
      <c r="CV129" s="33">
        <v>106.8</v>
      </c>
      <c r="CW129" s="33">
        <v>104.7</v>
      </c>
      <c r="CX129" s="33">
        <v>102</v>
      </c>
      <c r="CY129" s="33">
        <v>5.17</v>
      </c>
      <c r="CZ129" s="33">
        <v>29425.856</v>
      </c>
      <c r="DA129" s="33">
        <v>4.08</v>
      </c>
      <c r="DB129" s="33">
        <v>19.04</v>
      </c>
      <c r="DC129" s="33">
        <v>28.1</v>
      </c>
      <c r="DD129" s="33">
        <v>8.0299999999999994</v>
      </c>
      <c r="DE129" s="33">
        <v>5343.0209999999997</v>
      </c>
      <c r="DF129" s="33">
        <v>996.94100000000003</v>
      </c>
      <c r="DG129" s="33">
        <v>531.279</v>
      </c>
      <c r="DH129" s="33">
        <v>1094.5830000000001</v>
      </c>
      <c r="DI129" s="33">
        <v>843.01800000000003</v>
      </c>
      <c r="DJ129" s="33">
        <v>101.0939</v>
      </c>
      <c r="DK129" s="33">
        <v>101.3339</v>
      </c>
      <c r="DL129" s="33">
        <v>99.75</v>
      </c>
      <c r="DM129" s="33">
        <v>99.679199999999994</v>
      </c>
      <c r="DN129" s="33">
        <v>101.8297</v>
      </c>
      <c r="DO129" s="33">
        <v>102.1281</v>
      </c>
      <c r="DP129" s="33">
        <v>100.86450000000001</v>
      </c>
      <c r="DQ129" s="33">
        <v>100.95059999999999</v>
      </c>
      <c r="DR129" s="104">
        <v>65327</v>
      </c>
      <c r="DS129" s="103">
        <v>27900</v>
      </c>
      <c r="DT129" s="104">
        <v>97.350788390055627</v>
      </c>
      <c r="DU129">
        <v>84.041664123535156</v>
      </c>
      <c r="DV129">
        <v>135.28713989257813</v>
      </c>
      <c r="DW129">
        <v>1628</v>
      </c>
      <c r="DX129">
        <v>697675</v>
      </c>
      <c r="DY129" s="102">
        <f t="shared" si="26"/>
        <v>66.2</v>
      </c>
    </row>
    <row r="130" spans="1:129" x14ac:dyDescent="0.25">
      <c r="A130" s="1">
        <v>36678</v>
      </c>
      <c r="B130" s="33">
        <v>83.4</v>
      </c>
      <c r="C130" s="107">
        <v>4.29</v>
      </c>
      <c r="D130" s="33">
        <v>4.25</v>
      </c>
      <c r="E130" s="33">
        <v>4.26</v>
      </c>
      <c r="F130" s="33">
        <v>5.09</v>
      </c>
      <c r="G130" s="33">
        <v>5.17</v>
      </c>
      <c r="H130" s="33">
        <v>5.19</v>
      </c>
      <c r="I130" s="33">
        <f t="shared" si="17"/>
        <v>0.90000000000000036</v>
      </c>
      <c r="J130" s="33">
        <f t="shared" si="18"/>
        <v>0.94000000000000039</v>
      </c>
      <c r="K130" s="33">
        <f t="shared" si="19"/>
        <v>0.9300000000000006</v>
      </c>
      <c r="L130" s="33">
        <f t="shared" si="20"/>
        <v>-4.0000000000000036E-2</v>
      </c>
      <c r="M130" s="33">
        <v>93.7</v>
      </c>
      <c r="N130" s="33">
        <v>7272.76</v>
      </c>
      <c r="O130" s="33">
        <v>24.07</v>
      </c>
      <c r="P130" s="33">
        <v>434.7</v>
      </c>
      <c r="Q130" s="34">
        <f t="shared" si="21"/>
        <v>5.6381322957198448</v>
      </c>
      <c r="R130" s="71">
        <v>1228.2999220784141</v>
      </c>
      <c r="S130" s="34">
        <f t="shared" si="22"/>
        <v>1593.1257095699275</v>
      </c>
      <c r="T130" s="71">
        <v>1298.039702800246</v>
      </c>
      <c r="U130" s="34">
        <f t="shared" si="23"/>
        <v>1683.5793810638729</v>
      </c>
      <c r="V130" s="116">
        <v>344875</v>
      </c>
      <c r="W130" s="116">
        <v>2001262</v>
      </c>
      <c r="X130" s="117">
        <v>4171277</v>
      </c>
      <c r="Y130" s="117">
        <v>617561</v>
      </c>
      <c r="Z130" s="33">
        <v>78.3</v>
      </c>
      <c r="AA130" s="33">
        <v>70.3</v>
      </c>
      <c r="AB130" s="33">
        <v>79.599999999999994</v>
      </c>
      <c r="AC130" s="33">
        <v>67.400000000000006</v>
      </c>
      <c r="AD130" s="33">
        <v>40022</v>
      </c>
      <c r="AE130" s="33">
        <v>9.5</v>
      </c>
      <c r="AF130" s="33">
        <v>455</v>
      </c>
      <c r="AG130" s="33">
        <v>75.400000000000006</v>
      </c>
      <c r="AH130" s="33">
        <v>77.099999999999994</v>
      </c>
      <c r="AI130" s="33">
        <v>84.3</v>
      </c>
      <c r="AJ130" s="33">
        <v>82.4</v>
      </c>
      <c r="AK130" s="33">
        <v>160.57133400000001</v>
      </c>
      <c r="AL130" s="33">
        <v>61.7</v>
      </c>
      <c r="AM130" s="123">
        <v>19.305663442216485</v>
      </c>
      <c r="AN130" s="123">
        <v>34.54417505102424</v>
      </c>
      <c r="AO130" s="123">
        <v>56.431437759039838</v>
      </c>
      <c r="AP130" s="33">
        <v>32.090000000000003</v>
      </c>
      <c r="AQ130" s="33">
        <f t="shared" si="24"/>
        <v>0.38066429418742592</v>
      </c>
      <c r="AR130" s="33">
        <v>96.9</v>
      </c>
      <c r="AS130" s="33">
        <v>101.1</v>
      </c>
      <c r="AT130" s="33">
        <v>92.8</v>
      </c>
      <c r="AU130" s="33">
        <v>101.3</v>
      </c>
      <c r="AV130" s="65">
        <v>103.9</v>
      </c>
      <c r="AW130" s="33">
        <v>98.8</v>
      </c>
      <c r="AX130" s="33">
        <v>19.2</v>
      </c>
      <c r="AY130" s="33">
        <v>11.1</v>
      </c>
      <c r="AZ130" s="33">
        <v>18.7</v>
      </c>
      <c r="BA130" s="33">
        <v>9.6999999999999993</v>
      </c>
      <c r="BB130" s="33">
        <v>92.4</v>
      </c>
      <c r="BC130" s="33">
        <v>96.6</v>
      </c>
      <c r="BD130" s="33">
        <v>88.3</v>
      </c>
      <c r="BE130" s="33">
        <v>35</v>
      </c>
      <c r="BF130" s="33">
        <v>77.099999999999994</v>
      </c>
      <c r="BG130" s="33">
        <v>32</v>
      </c>
      <c r="BH130" s="33">
        <v>147.4</v>
      </c>
      <c r="BI130" s="33">
        <v>1.2</v>
      </c>
      <c r="BJ130" s="34">
        <v>59.453241900000002</v>
      </c>
      <c r="BK130" s="45">
        <v>-12.204960510119637</v>
      </c>
      <c r="BL130" s="33">
        <v>1.159</v>
      </c>
      <c r="BM130" s="33">
        <v>102.24850000000001</v>
      </c>
      <c r="BN130" s="33">
        <v>101.9332</v>
      </c>
      <c r="BO130" s="33">
        <v>-6.3</v>
      </c>
      <c r="BP130" s="33">
        <v>-14.8</v>
      </c>
      <c r="BQ130" s="33">
        <v>5.3</v>
      </c>
      <c r="BR130" s="33">
        <v>10.1</v>
      </c>
      <c r="BS130" s="33">
        <v>13.1</v>
      </c>
      <c r="BT130" s="33">
        <v>-2.1</v>
      </c>
      <c r="BU130" s="33">
        <v>-0.5</v>
      </c>
      <c r="BV130" s="33">
        <v>38.6</v>
      </c>
      <c r="BW130" s="33">
        <v>-5.7</v>
      </c>
      <c r="BX130" s="33">
        <v>-20.399999999999999</v>
      </c>
      <c r="BY130" s="33">
        <v>-40.799999999999997</v>
      </c>
      <c r="BZ130" s="33">
        <v>109.6</v>
      </c>
      <c r="CA130" s="33">
        <v>-5.7</v>
      </c>
      <c r="CB130" s="33">
        <v>-3.4</v>
      </c>
      <c r="CC130" s="33">
        <v>5.0999999999999996</v>
      </c>
      <c r="CD130" s="33">
        <v>-14.4</v>
      </c>
      <c r="CE130" s="33">
        <v>-11.7</v>
      </c>
      <c r="CF130" s="33">
        <v>28.8</v>
      </c>
      <c r="CG130" s="33">
        <v>49.3</v>
      </c>
      <c r="CH130" s="33">
        <v>9.6</v>
      </c>
      <c r="CI130" s="33">
        <v>-13.5</v>
      </c>
      <c r="CJ130" s="33">
        <v>-12.8</v>
      </c>
      <c r="CK130" s="33">
        <v>16.100000000000001</v>
      </c>
      <c r="CL130" s="33">
        <v>9.6</v>
      </c>
      <c r="CM130" s="33">
        <v>5275.0647730000001</v>
      </c>
      <c r="CN130" s="33">
        <v>10652.2</v>
      </c>
      <c r="CO130" s="33">
        <v>1461.9590909999999</v>
      </c>
      <c r="CP130" s="33">
        <v>5.1280000000000001</v>
      </c>
      <c r="CQ130" s="33">
        <v>6.2</v>
      </c>
      <c r="CR130" s="33">
        <v>100.8</v>
      </c>
      <c r="CS130" s="121">
        <f t="shared" si="27"/>
        <v>15.75</v>
      </c>
      <c r="CT130" s="33">
        <v>123.1</v>
      </c>
      <c r="CU130" s="33">
        <v>114.7</v>
      </c>
      <c r="CV130" s="33">
        <v>106.2</v>
      </c>
      <c r="CW130" s="33">
        <v>114.8</v>
      </c>
      <c r="CX130" s="33">
        <v>103.3</v>
      </c>
      <c r="CY130" s="33">
        <v>5.25</v>
      </c>
      <c r="CZ130" s="33">
        <v>28270.874</v>
      </c>
      <c r="DA130" s="33">
        <v>3.85</v>
      </c>
      <c r="DB130" s="33">
        <v>17.77</v>
      </c>
      <c r="DC130" s="33">
        <v>27.74</v>
      </c>
      <c r="DD130" s="33">
        <v>8.18</v>
      </c>
      <c r="DE130" s="33">
        <v>5123.357</v>
      </c>
      <c r="DF130" s="33">
        <v>967.02599999999995</v>
      </c>
      <c r="DG130" s="33">
        <v>544.072</v>
      </c>
      <c r="DH130" s="33">
        <v>1125.903</v>
      </c>
      <c r="DI130" s="33">
        <v>737.73400000000004</v>
      </c>
      <c r="DJ130" s="33">
        <v>100.9704</v>
      </c>
      <c r="DK130" s="33">
        <v>101.16970000000001</v>
      </c>
      <c r="DL130" s="33">
        <v>99.69</v>
      </c>
      <c r="DM130" s="33">
        <v>99.601900000000001</v>
      </c>
      <c r="DN130" s="33">
        <v>101.9332</v>
      </c>
      <c r="DO130" s="33">
        <v>102.24850000000001</v>
      </c>
      <c r="DP130" s="33">
        <v>100.715</v>
      </c>
      <c r="DQ130" s="33">
        <v>100.78619999999999</v>
      </c>
      <c r="DR130" s="104">
        <v>55345</v>
      </c>
      <c r="DS130" s="103">
        <v>27900</v>
      </c>
      <c r="DT130" s="104">
        <v>96.701783134121925</v>
      </c>
      <c r="DU130">
        <v>59.968967437744141</v>
      </c>
      <c r="DV130">
        <v>58.290115356445313</v>
      </c>
      <c r="DW130">
        <v>1562</v>
      </c>
      <c r="DX130">
        <v>604600</v>
      </c>
      <c r="DY130" s="102">
        <f t="shared" si="26"/>
        <v>68.5</v>
      </c>
    </row>
    <row r="131" spans="1:129" x14ac:dyDescent="0.25">
      <c r="A131" s="1">
        <v>36708</v>
      </c>
      <c r="B131" s="33">
        <v>85.2</v>
      </c>
      <c r="C131" s="107">
        <v>4.3099999999999996</v>
      </c>
      <c r="D131" s="33">
        <v>4.25</v>
      </c>
      <c r="E131" s="33">
        <v>4.4800000000000004</v>
      </c>
      <c r="F131" s="33">
        <v>5.23</v>
      </c>
      <c r="G131" s="33">
        <v>5.29</v>
      </c>
      <c r="H131" s="33">
        <v>5.27</v>
      </c>
      <c r="I131" s="33">
        <f t="shared" si="17"/>
        <v>0.96</v>
      </c>
      <c r="J131" s="33">
        <f t="shared" si="18"/>
        <v>1.0199999999999996</v>
      </c>
      <c r="K131" s="33">
        <f t="shared" si="19"/>
        <v>0.78999999999999915</v>
      </c>
      <c r="L131" s="33">
        <f t="shared" si="20"/>
        <v>-5.9999999999999609E-2</v>
      </c>
      <c r="M131" s="33">
        <v>93.5</v>
      </c>
      <c r="N131" s="33">
        <v>6958.96</v>
      </c>
      <c r="O131" s="33">
        <v>21.42</v>
      </c>
      <c r="P131" s="33">
        <v>432</v>
      </c>
      <c r="Q131" s="34">
        <f t="shared" si="21"/>
        <v>5.5958549222797922</v>
      </c>
      <c r="R131" s="71">
        <v>1222.578916386386</v>
      </c>
      <c r="S131" s="34">
        <f t="shared" si="22"/>
        <v>1583.6514460963549</v>
      </c>
      <c r="T131" s="71">
        <v>1292.6101685623642</v>
      </c>
      <c r="U131" s="34">
        <f t="shared" si="23"/>
        <v>1674.3655033191246</v>
      </c>
      <c r="V131" s="116">
        <v>338090</v>
      </c>
      <c r="W131" s="116">
        <v>2011982</v>
      </c>
      <c r="X131" s="117">
        <v>4183450</v>
      </c>
      <c r="Y131" s="117">
        <v>619687</v>
      </c>
      <c r="Z131" s="33">
        <v>80.3</v>
      </c>
      <c r="AA131" s="33">
        <v>70.3</v>
      </c>
      <c r="AB131" s="33">
        <v>79.099999999999994</v>
      </c>
      <c r="AC131" s="33">
        <v>67.2</v>
      </c>
      <c r="AD131" s="33">
        <v>40027</v>
      </c>
      <c r="AE131" s="33">
        <v>9.5</v>
      </c>
      <c r="AF131" s="33">
        <v>459</v>
      </c>
      <c r="AG131" s="33">
        <v>75.400000000000006</v>
      </c>
      <c r="AH131" s="33">
        <v>77.2</v>
      </c>
      <c r="AI131" s="33">
        <v>84.7</v>
      </c>
      <c r="AJ131" s="33">
        <v>82.6</v>
      </c>
      <c r="AK131" s="33">
        <v>161.46141900000001</v>
      </c>
      <c r="AL131" s="33">
        <v>83.1</v>
      </c>
      <c r="AM131" s="123">
        <v>20.111184865396588</v>
      </c>
      <c r="AN131" s="123">
        <v>33.748612231667323</v>
      </c>
      <c r="AO131" s="123">
        <v>54.419023931080012</v>
      </c>
      <c r="AP131" s="33">
        <v>30.73</v>
      </c>
      <c r="AQ131" s="33">
        <f t="shared" si="24"/>
        <v>0.36280991735537188</v>
      </c>
      <c r="AR131" s="33">
        <v>96.5</v>
      </c>
      <c r="AS131" s="33">
        <v>100.3</v>
      </c>
      <c r="AT131" s="33">
        <v>92.7</v>
      </c>
      <c r="AU131" s="33">
        <v>100.8</v>
      </c>
      <c r="AV131" s="65">
        <v>102.8</v>
      </c>
      <c r="AW131" s="33">
        <v>98.9</v>
      </c>
      <c r="AX131" s="33">
        <v>18</v>
      </c>
      <c r="AY131" s="33">
        <v>12.9</v>
      </c>
      <c r="AZ131" s="33">
        <v>19</v>
      </c>
      <c r="BA131" s="33">
        <v>15.1</v>
      </c>
      <c r="BB131" s="33">
        <v>91.1</v>
      </c>
      <c r="BC131" s="33">
        <v>97.2</v>
      </c>
      <c r="BD131" s="33">
        <v>85.5</v>
      </c>
      <c r="BE131" s="33">
        <v>39.6</v>
      </c>
      <c r="BF131" s="33">
        <v>71.900000000000006</v>
      </c>
      <c r="BG131" s="33">
        <v>38.6</v>
      </c>
      <c r="BH131" s="33">
        <v>146.4</v>
      </c>
      <c r="BI131" s="33">
        <v>5.0999999999999996</v>
      </c>
      <c r="BJ131" s="34">
        <v>58.32428882</v>
      </c>
      <c r="BK131" s="45">
        <v>-8.6043601686101354</v>
      </c>
      <c r="BL131" s="33">
        <v>1.101</v>
      </c>
      <c r="BM131" s="33">
        <v>102.3323</v>
      </c>
      <c r="BN131" s="33">
        <v>102.0052</v>
      </c>
      <c r="BO131" s="33">
        <v>-5.7</v>
      </c>
      <c r="BP131" s="33">
        <v>-13.4</v>
      </c>
      <c r="BQ131" s="33">
        <v>5.3</v>
      </c>
      <c r="BR131" s="33">
        <v>12.3</v>
      </c>
      <c r="BS131" s="33">
        <v>11.6</v>
      </c>
      <c r="BT131" s="33">
        <v>-1.3</v>
      </c>
      <c r="BU131" s="33">
        <v>0.4</v>
      </c>
      <c r="BV131" s="33">
        <v>41.6</v>
      </c>
      <c r="BW131" s="33">
        <v>-3.8</v>
      </c>
      <c r="BX131" s="33">
        <v>-17</v>
      </c>
      <c r="BY131" s="33">
        <v>-42.2</v>
      </c>
      <c r="BZ131" s="33">
        <v>111.9</v>
      </c>
      <c r="CA131" s="33">
        <v>-3.8</v>
      </c>
      <c r="CB131" s="33">
        <v>-1.8</v>
      </c>
      <c r="CC131" s="33">
        <v>5.6</v>
      </c>
      <c r="CD131" s="33">
        <v>-12.5</v>
      </c>
      <c r="CE131" s="33">
        <v>-9.9</v>
      </c>
      <c r="CF131" s="33">
        <v>24.4</v>
      </c>
      <c r="CG131" s="33">
        <v>43.3</v>
      </c>
      <c r="CH131" s="33">
        <v>8.3000000000000007</v>
      </c>
      <c r="CI131" s="33">
        <v>-12.2</v>
      </c>
      <c r="CJ131" s="33">
        <v>-9</v>
      </c>
      <c r="CK131" s="33">
        <v>16.3</v>
      </c>
      <c r="CL131" s="33">
        <v>10.1</v>
      </c>
      <c r="CM131" s="33">
        <v>5227.8216190000003</v>
      </c>
      <c r="CN131" s="33">
        <v>10560.68</v>
      </c>
      <c r="CO131" s="33">
        <v>1472.8376189999999</v>
      </c>
      <c r="CP131" s="33">
        <v>5.202</v>
      </c>
      <c r="CQ131" s="33">
        <v>6</v>
      </c>
      <c r="CR131" s="33">
        <v>104.5</v>
      </c>
      <c r="CS131" s="121">
        <f t="shared" si="27"/>
        <v>13.350000000000009</v>
      </c>
      <c r="CT131" s="33">
        <v>122.2</v>
      </c>
      <c r="CU131" s="33">
        <v>115.5</v>
      </c>
      <c r="CV131" s="33">
        <v>105.3</v>
      </c>
      <c r="CW131" s="33">
        <v>105.5</v>
      </c>
      <c r="CX131" s="33">
        <v>100</v>
      </c>
      <c r="CY131" s="33">
        <v>5.34</v>
      </c>
      <c r="CZ131" s="33">
        <v>27679.876</v>
      </c>
      <c r="DA131" s="33">
        <v>3.97</v>
      </c>
      <c r="DB131" s="33">
        <v>18.71</v>
      </c>
      <c r="DC131" s="33">
        <v>28.5</v>
      </c>
      <c r="DD131" s="33">
        <v>8.17</v>
      </c>
      <c r="DE131" s="33">
        <v>5382.0370000000003</v>
      </c>
      <c r="DF131" s="33">
        <v>1060.492</v>
      </c>
      <c r="DG131" s="33">
        <v>557.81600000000003</v>
      </c>
      <c r="DH131" s="33">
        <v>1139.4970000000001</v>
      </c>
      <c r="DI131" s="33">
        <v>719.09799999999996</v>
      </c>
      <c r="DJ131" s="33">
        <v>100.816</v>
      </c>
      <c r="DK131" s="33">
        <v>100.9671</v>
      </c>
      <c r="DL131" s="33">
        <v>99.59</v>
      </c>
      <c r="DM131" s="33">
        <v>99.478300000000004</v>
      </c>
      <c r="DN131" s="33">
        <v>102.0052</v>
      </c>
      <c r="DO131" s="33">
        <v>102.3323</v>
      </c>
      <c r="DP131" s="33">
        <v>100.5491</v>
      </c>
      <c r="DQ131" s="33">
        <v>100.6037</v>
      </c>
      <c r="DR131" s="104">
        <v>46128</v>
      </c>
      <c r="DS131" s="103">
        <v>27940</v>
      </c>
      <c r="DT131" s="104">
        <v>96.701783134121925</v>
      </c>
      <c r="DU131">
        <v>58.438125610351563</v>
      </c>
      <c r="DV131">
        <v>75.235763549804688</v>
      </c>
      <c r="DW131">
        <v>1613</v>
      </c>
      <c r="DX131">
        <v>547075</v>
      </c>
      <c r="DY131" s="102">
        <f t="shared" si="26"/>
        <v>65.900000000000006</v>
      </c>
    </row>
    <row r="132" spans="1:129" x14ac:dyDescent="0.25">
      <c r="A132" s="1">
        <v>36739</v>
      </c>
      <c r="B132" s="33">
        <v>85.7</v>
      </c>
      <c r="C132" s="107">
        <v>4.42</v>
      </c>
      <c r="D132" s="33">
        <v>4.25</v>
      </c>
      <c r="E132" s="33">
        <v>4.62</v>
      </c>
      <c r="F132" s="33">
        <v>5.28</v>
      </c>
      <c r="G132" s="33">
        <v>5.27</v>
      </c>
      <c r="H132" s="33">
        <v>5.21</v>
      </c>
      <c r="I132" s="33">
        <f t="shared" si="17"/>
        <v>0.79</v>
      </c>
      <c r="J132" s="33">
        <f t="shared" si="18"/>
        <v>0.96</v>
      </c>
      <c r="K132" s="33">
        <f t="shared" si="19"/>
        <v>0.58999999999999986</v>
      </c>
      <c r="L132" s="33">
        <f t="shared" si="20"/>
        <v>-0.16999999999999993</v>
      </c>
      <c r="M132" s="33">
        <v>92.4</v>
      </c>
      <c r="N132" s="33">
        <v>7145.53</v>
      </c>
      <c r="O132" s="33">
        <v>21.35</v>
      </c>
      <c r="P132" s="33">
        <v>431</v>
      </c>
      <c r="Q132" s="34">
        <f t="shared" si="21"/>
        <v>5.5829015544041445</v>
      </c>
      <c r="R132" s="71">
        <v>1220.0044638249733</v>
      </c>
      <c r="S132" s="34">
        <f t="shared" si="22"/>
        <v>1580.3166629857167</v>
      </c>
      <c r="T132" s="71">
        <v>1289.5620089902202</v>
      </c>
      <c r="U132" s="34">
        <f t="shared" si="23"/>
        <v>1670.4171100909587</v>
      </c>
      <c r="V132" s="116">
        <v>338336</v>
      </c>
      <c r="W132" s="116">
        <v>2022187</v>
      </c>
      <c r="X132" s="117">
        <v>4209465</v>
      </c>
      <c r="Y132" s="117">
        <v>619316</v>
      </c>
      <c r="Z132" s="33">
        <v>80.900000000000006</v>
      </c>
      <c r="AA132" s="33">
        <v>70.599999999999994</v>
      </c>
      <c r="AB132" s="33">
        <v>79.400000000000006</v>
      </c>
      <c r="AC132" s="33">
        <v>66.099999999999994</v>
      </c>
      <c r="AD132" s="33">
        <v>40044</v>
      </c>
      <c r="AE132" s="33">
        <v>9.5</v>
      </c>
      <c r="AF132" s="33">
        <v>457</v>
      </c>
      <c r="AG132" s="33">
        <v>75.400000000000006</v>
      </c>
      <c r="AH132" s="33">
        <v>77.2</v>
      </c>
      <c r="AI132" s="33">
        <v>85.3</v>
      </c>
      <c r="AJ132" s="33">
        <v>83</v>
      </c>
      <c r="AK132" s="33">
        <v>161.99547000000001</v>
      </c>
      <c r="AL132" s="33">
        <v>61.8</v>
      </c>
      <c r="AM132" s="123">
        <v>18.628552925260337</v>
      </c>
      <c r="AN132" s="123">
        <v>37.147073882968094</v>
      </c>
      <c r="AO132" s="123">
        <v>55.124619054983796</v>
      </c>
      <c r="AP132" s="33">
        <v>34.979999999999997</v>
      </c>
      <c r="AQ132" s="33">
        <f t="shared" si="24"/>
        <v>0.41008206330597885</v>
      </c>
      <c r="AR132" s="33">
        <v>96.6</v>
      </c>
      <c r="AS132" s="33">
        <v>100.1</v>
      </c>
      <c r="AT132" s="33">
        <v>93.2</v>
      </c>
      <c r="AU132" s="33">
        <v>100.9</v>
      </c>
      <c r="AV132" s="65">
        <v>102.8</v>
      </c>
      <c r="AW132" s="33">
        <v>99</v>
      </c>
      <c r="AX132" s="33">
        <v>16.399999999999999</v>
      </c>
      <c r="AY132" s="33">
        <v>16.8</v>
      </c>
      <c r="AZ132" s="33">
        <v>17.7</v>
      </c>
      <c r="BA132" s="33">
        <v>9.1999999999999993</v>
      </c>
      <c r="BB132" s="33">
        <v>92.8</v>
      </c>
      <c r="BC132" s="33">
        <v>98</v>
      </c>
      <c r="BD132" s="33">
        <v>87.9</v>
      </c>
      <c r="BE132" s="33">
        <v>45.1</v>
      </c>
      <c r="BF132" s="33">
        <v>67.7</v>
      </c>
      <c r="BG132" s="33">
        <v>59.8</v>
      </c>
      <c r="BH132" s="33">
        <v>147.9</v>
      </c>
      <c r="BI132" s="33">
        <v>1.5</v>
      </c>
      <c r="BJ132" s="34">
        <v>58.194758739999997</v>
      </c>
      <c r="BK132" s="45">
        <v>-18.967105328396215</v>
      </c>
      <c r="BL132" s="33">
        <v>1.024</v>
      </c>
      <c r="BM132" s="33">
        <v>102.3571</v>
      </c>
      <c r="BN132" s="33">
        <v>102.0265</v>
      </c>
      <c r="BO132" s="33">
        <v>-3.2</v>
      </c>
      <c r="BP132" s="33">
        <v>-12.5</v>
      </c>
      <c r="BQ132" s="33">
        <v>4.2</v>
      </c>
      <c r="BR132" s="33">
        <v>12.5</v>
      </c>
      <c r="BS132" s="33">
        <v>10.3</v>
      </c>
      <c r="BT132" s="33">
        <v>-1.1000000000000001</v>
      </c>
      <c r="BU132" s="33">
        <v>1.7</v>
      </c>
      <c r="BV132" s="33">
        <v>41.6</v>
      </c>
      <c r="BW132" s="33">
        <v>-3.8</v>
      </c>
      <c r="BX132" s="33">
        <v>-16.100000000000001</v>
      </c>
      <c r="BY132" s="33">
        <v>-44.6</v>
      </c>
      <c r="BZ132" s="33">
        <v>112.1</v>
      </c>
      <c r="CA132" s="33">
        <v>-3.8</v>
      </c>
      <c r="CB132" s="33">
        <v>-0.6</v>
      </c>
      <c r="CC132" s="33">
        <v>7.1</v>
      </c>
      <c r="CD132" s="33">
        <v>-9</v>
      </c>
      <c r="CE132" s="33">
        <v>-8</v>
      </c>
      <c r="CF132" s="33">
        <v>23.2</v>
      </c>
      <c r="CG132" s="33">
        <v>40.700000000000003</v>
      </c>
      <c r="CH132" s="33">
        <v>6</v>
      </c>
      <c r="CI132" s="33">
        <v>-13.3</v>
      </c>
      <c r="CJ132" s="33">
        <v>-13.6</v>
      </c>
      <c r="CK132" s="33">
        <v>18.100000000000001</v>
      </c>
      <c r="CL132" s="33">
        <v>11.1</v>
      </c>
      <c r="CM132" s="33">
        <v>5151.959957</v>
      </c>
      <c r="CN132" s="33">
        <v>10606.95</v>
      </c>
      <c r="CO132" s="33">
        <v>1485.458261</v>
      </c>
      <c r="CP132" s="33">
        <v>5.1920000000000002</v>
      </c>
      <c r="CQ132" s="33">
        <v>6</v>
      </c>
      <c r="CR132" s="33">
        <v>104</v>
      </c>
      <c r="CS132" s="121">
        <f t="shared" si="27"/>
        <v>14.25</v>
      </c>
      <c r="CT132" s="33">
        <v>121.9</v>
      </c>
      <c r="CU132" s="33">
        <v>116.2</v>
      </c>
      <c r="CV132" s="33">
        <v>108.7</v>
      </c>
      <c r="CW132" s="33">
        <v>97.6</v>
      </c>
      <c r="CX132" s="33">
        <v>99.8</v>
      </c>
      <c r="CY132" s="33">
        <v>5.27</v>
      </c>
      <c r="CZ132" s="33">
        <v>25209.499</v>
      </c>
      <c r="DA132" s="33">
        <v>3.96</v>
      </c>
      <c r="DB132" s="33">
        <v>20.13</v>
      </c>
      <c r="DC132" s="33">
        <v>28.12</v>
      </c>
      <c r="DD132" s="33">
        <v>8.26</v>
      </c>
      <c r="DE132" s="33">
        <v>5759.1289999999999</v>
      </c>
      <c r="DF132" s="33">
        <v>1219.8399999999999</v>
      </c>
      <c r="DG132" s="33">
        <v>585.81200000000001</v>
      </c>
      <c r="DH132" s="33">
        <v>1086.539</v>
      </c>
      <c r="DI132" s="33">
        <v>851.42</v>
      </c>
      <c r="DJ132" s="33">
        <v>100.6422</v>
      </c>
      <c r="DK132" s="33">
        <v>100.7407</v>
      </c>
      <c r="DL132" s="33">
        <v>99.47</v>
      </c>
      <c r="DM132" s="33">
        <v>99.323999999999998</v>
      </c>
      <c r="DN132" s="33">
        <v>102.0265</v>
      </c>
      <c r="DO132" s="33">
        <v>102.3571</v>
      </c>
      <c r="DP132" s="33">
        <v>100.3539</v>
      </c>
      <c r="DQ132" s="33">
        <v>100.38890000000001</v>
      </c>
      <c r="DR132" s="104">
        <v>43773</v>
      </c>
      <c r="DS132" s="103">
        <v>27985</v>
      </c>
      <c r="DT132" s="104">
        <v>97.443503426617582</v>
      </c>
      <c r="DU132">
        <v>63.555973052978516</v>
      </c>
      <c r="DV132">
        <v>76.06292724609375</v>
      </c>
      <c r="DW132">
        <v>1645</v>
      </c>
      <c r="DX132">
        <v>481875</v>
      </c>
      <c r="DY132" s="102">
        <f t="shared" si="26"/>
        <v>67.7</v>
      </c>
    </row>
    <row r="133" spans="1:129" x14ac:dyDescent="0.25">
      <c r="A133" s="1">
        <v>36770</v>
      </c>
      <c r="B133" s="33">
        <v>85.8</v>
      </c>
      <c r="C133" s="107">
        <v>4.59</v>
      </c>
      <c r="D133" s="33">
        <v>4.5</v>
      </c>
      <c r="E133" s="33">
        <v>4.74</v>
      </c>
      <c r="F133" s="33">
        <v>5.24</v>
      </c>
      <c r="G133" s="33">
        <v>5.27</v>
      </c>
      <c r="H133" s="33">
        <v>5.26</v>
      </c>
      <c r="I133" s="33">
        <f t="shared" si="17"/>
        <v>0.66999999999999993</v>
      </c>
      <c r="J133" s="33">
        <f t="shared" si="18"/>
        <v>0.75999999999999979</v>
      </c>
      <c r="K133" s="33">
        <f t="shared" si="19"/>
        <v>0.51999999999999957</v>
      </c>
      <c r="L133" s="33">
        <f t="shared" si="20"/>
        <v>-8.9999999999999858E-2</v>
      </c>
      <c r="M133" s="33">
        <v>91.6</v>
      </c>
      <c r="N133" s="33">
        <v>7344.67</v>
      </c>
      <c r="O133" s="33">
        <v>17.79</v>
      </c>
      <c r="P133" s="33">
        <v>427.1</v>
      </c>
      <c r="Q133" s="34">
        <f t="shared" si="21"/>
        <v>5.5252263906856411</v>
      </c>
      <c r="R133" s="71">
        <v>1218.8602626865679</v>
      </c>
      <c r="S133" s="34">
        <f t="shared" si="22"/>
        <v>1576.7920603965952</v>
      </c>
      <c r="T133" s="71">
        <v>1284.8945146453743</v>
      </c>
      <c r="U133" s="34">
        <f t="shared" si="23"/>
        <v>1662.2180008348955</v>
      </c>
      <c r="V133" s="116">
        <v>339388</v>
      </c>
      <c r="W133" s="116">
        <v>2015210</v>
      </c>
      <c r="X133" s="117">
        <v>4212330</v>
      </c>
      <c r="Y133" s="117">
        <v>618194</v>
      </c>
      <c r="Z133" s="33">
        <v>80.8</v>
      </c>
      <c r="AA133" s="33">
        <v>70.3</v>
      </c>
      <c r="AB133" s="33">
        <v>81.7</v>
      </c>
      <c r="AC133" s="33">
        <v>66.2</v>
      </c>
      <c r="AD133" s="33">
        <v>40033</v>
      </c>
      <c r="AE133" s="33">
        <v>9.4</v>
      </c>
      <c r="AF133" s="33">
        <v>459</v>
      </c>
      <c r="AG133" s="33">
        <v>75.8</v>
      </c>
      <c r="AH133" s="33">
        <v>77.3</v>
      </c>
      <c r="AI133" s="33">
        <v>86.9</v>
      </c>
      <c r="AJ133" s="33">
        <v>83.4</v>
      </c>
      <c r="AK133" s="33">
        <v>163.241589</v>
      </c>
      <c r="AL133" s="33">
        <v>61.9</v>
      </c>
      <c r="AM133" s="123">
        <v>22.638427876968919</v>
      </c>
      <c r="AN133" s="123">
        <v>41.930796932285929</v>
      </c>
      <c r="AO133" s="123">
        <v>58.350976357533021</v>
      </c>
      <c r="AP133" s="33">
        <v>38.29</v>
      </c>
      <c r="AQ133" s="33">
        <f t="shared" si="24"/>
        <v>0.44062140391254312</v>
      </c>
      <c r="AR133" s="33">
        <v>96.3</v>
      </c>
      <c r="AS133" s="33">
        <v>99.1</v>
      </c>
      <c r="AT133" s="33">
        <v>93.5</v>
      </c>
      <c r="AU133" s="33">
        <v>101.1</v>
      </c>
      <c r="AV133" s="65">
        <v>102.3</v>
      </c>
      <c r="AW133" s="33">
        <v>99.9</v>
      </c>
      <c r="AX133" s="33">
        <v>18.100000000000001</v>
      </c>
      <c r="AY133" s="33">
        <v>12.6</v>
      </c>
      <c r="AZ133" s="33">
        <v>19.3</v>
      </c>
      <c r="BA133" s="33">
        <v>9.1999999999999993</v>
      </c>
      <c r="BB133" s="33">
        <v>90.4</v>
      </c>
      <c r="BC133" s="33">
        <v>94.9</v>
      </c>
      <c r="BD133" s="33">
        <v>86.1</v>
      </c>
      <c r="BE133" s="33">
        <v>45.8</v>
      </c>
      <c r="BF133" s="33">
        <v>40.799999999999997</v>
      </c>
      <c r="BG133" s="33">
        <v>29.4</v>
      </c>
      <c r="BH133" s="33">
        <v>150.30000000000001</v>
      </c>
      <c r="BI133" s="33">
        <v>1.7</v>
      </c>
      <c r="BJ133" s="34">
        <v>56.462838550000001</v>
      </c>
      <c r="BK133" s="45">
        <v>-22.478301293986693</v>
      </c>
      <c r="BL133" s="33">
        <v>0.93500000000000005</v>
      </c>
      <c r="BM133" s="33">
        <v>102.31180000000001</v>
      </c>
      <c r="BN133" s="33">
        <v>101.9876</v>
      </c>
      <c r="BO133" s="33">
        <v>-3.3</v>
      </c>
      <c r="BP133" s="33">
        <v>-11.5</v>
      </c>
      <c r="BQ133" s="33">
        <v>3.4</v>
      </c>
      <c r="BR133" s="33">
        <v>8.5</v>
      </c>
      <c r="BS133" s="33">
        <v>12.6</v>
      </c>
      <c r="BT133" s="33">
        <v>0.2</v>
      </c>
      <c r="BU133" s="33">
        <v>0.6</v>
      </c>
      <c r="BV133" s="33">
        <v>41.3</v>
      </c>
      <c r="BW133" s="33">
        <v>-6</v>
      </c>
      <c r="BX133" s="33">
        <v>-20.5</v>
      </c>
      <c r="BY133" s="33">
        <v>-44.1</v>
      </c>
      <c r="BZ133" s="33">
        <v>110.7</v>
      </c>
      <c r="CA133" s="33">
        <v>-6</v>
      </c>
      <c r="CB133" s="33">
        <v>-4.5</v>
      </c>
      <c r="CC133" s="33">
        <v>4.0999999999999996</v>
      </c>
      <c r="CD133" s="33">
        <v>-14.3</v>
      </c>
      <c r="CE133" s="33">
        <v>-11.7</v>
      </c>
      <c r="CF133" s="33">
        <v>31.6</v>
      </c>
      <c r="CG133" s="33">
        <v>45.9</v>
      </c>
      <c r="CH133" s="33">
        <v>5.6</v>
      </c>
      <c r="CI133" s="33">
        <v>-18.600000000000001</v>
      </c>
      <c r="CJ133" s="33">
        <v>-11.8</v>
      </c>
      <c r="CK133" s="33">
        <v>10.199999999999999</v>
      </c>
      <c r="CL133" s="33">
        <v>12.2</v>
      </c>
      <c r="CM133" s="33">
        <v>5132.9133330000004</v>
      </c>
      <c r="CN133" s="33">
        <v>11238.78</v>
      </c>
      <c r="CO133" s="33">
        <v>1470.564286</v>
      </c>
      <c r="CP133" s="33">
        <v>5.2359999999999998</v>
      </c>
      <c r="CQ133" s="33">
        <v>5.68</v>
      </c>
      <c r="CR133" s="33">
        <v>103.4</v>
      </c>
      <c r="CS133" s="121">
        <f t="shared" si="27"/>
        <v>14.549999999999997</v>
      </c>
      <c r="CT133" s="33">
        <v>121.3</v>
      </c>
      <c r="CU133" s="33">
        <v>114.9</v>
      </c>
      <c r="CV133" s="33">
        <v>106.5</v>
      </c>
      <c r="CW133" s="33">
        <v>106.1</v>
      </c>
      <c r="CX133" s="33">
        <v>99.7</v>
      </c>
      <c r="CY133" s="33">
        <v>4.96</v>
      </c>
      <c r="CZ133" s="33">
        <v>27623.654999999999</v>
      </c>
      <c r="DA133" s="33">
        <v>3.73</v>
      </c>
      <c r="DB133" s="33">
        <v>18.809999999999999</v>
      </c>
      <c r="DC133" s="33">
        <v>28.34</v>
      </c>
      <c r="DD133" s="33">
        <v>8.08</v>
      </c>
      <c r="DE133" s="33">
        <v>5514.0439999999999</v>
      </c>
      <c r="DF133" s="33">
        <v>1042.268</v>
      </c>
      <c r="DG133" s="33">
        <v>588.87599999999998</v>
      </c>
      <c r="DH133" s="33">
        <v>1216.7239999999999</v>
      </c>
      <c r="DI133" s="33">
        <v>844.66200000000003</v>
      </c>
      <c r="DJ133" s="33">
        <v>100.45699999999999</v>
      </c>
      <c r="DK133" s="33">
        <v>100.5008</v>
      </c>
      <c r="DL133" s="33">
        <v>99.33</v>
      </c>
      <c r="DM133" s="33">
        <v>99.1554</v>
      </c>
      <c r="DN133" s="33">
        <v>101.9876</v>
      </c>
      <c r="DO133" s="33">
        <v>102.31180000000001</v>
      </c>
      <c r="DP133" s="33">
        <v>100.12649999999999</v>
      </c>
      <c r="DQ133" s="33">
        <v>100.1388</v>
      </c>
      <c r="DR133" s="104">
        <v>46047</v>
      </c>
      <c r="DS133" s="103">
        <v>27939</v>
      </c>
      <c r="DT133" s="104">
        <v>97.536218463179551</v>
      </c>
      <c r="DU133">
        <v>70.463775634765625</v>
      </c>
      <c r="DV133">
        <v>68.36932373046875</v>
      </c>
      <c r="DW133">
        <v>1661</v>
      </c>
      <c r="DX133">
        <v>446700</v>
      </c>
      <c r="DY133" s="102">
        <f t="shared" si="26"/>
        <v>68.2</v>
      </c>
    </row>
    <row r="134" spans="1:129" x14ac:dyDescent="0.25">
      <c r="A134" s="1">
        <v>36800</v>
      </c>
      <c r="B134" s="33">
        <v>85.3</v>
      </c>
      <c r="C134" s="107">
        <v>4.76</v>
      </c>
      <c r="D134" s="33">
        <v>4.75</v>
      </c>
      <c r="E134" s="33">
        <v>4.8899999999999997</v>
      </c>
      <c r="F134" s="33">
        <v>5.13</v>
      </c>
      <c r="G134" s="33">
        <v>5.18</v>
      </c>
      <c r="H134" s="33">
        <v>5.21</v>
      </c>
      <c r="I134" s="33">
        <f t="shared" ref="I134:I197" si="28">H134-C134</f>
        <v>0.45000000000000018</v>
      </c>
      <c r="J134" s="33">
        <f t="shared" si="18"/>
        <v>0.45999999999999996</v>
      </c>
      <c r="K134" s="33">
        <f t="shared" si="19"/>
        <v>0.32000000000000028</v>
      </c>
      <c r="L134" s="33">
        <f t="shared" si="20"/>
        <v>-9.9999999999997868E-3</v>
      </c>
      <c r="M134" s="33">
        <v>90.9</v>
      </c>
      <c r="N134" s="33">
        <v>6862.26</v>
      </c>
      <c r="O134" s="33">
        <v>21.44</v>
      </c>
      <c r="P134" s="33">
        <v>429</v>
      </c>
      <c r="Q134" s="34">
        <f t="shared" si="21"/>
        <v>5.5283505154639183</v>
      </c>
      <c r="R134" s="71">
        <v>1217.1439609789595</v>
      </c>
      <c r="S134" s="34">
        <f t="shared" si="22"/>
        <v>1568.4844857976284</v>
      </c>
      <c r="T134" s="71">
        <v>1285.4660445651512</v>
      </c>
      <c r="U134" s="34">
        <f t="shared" si="23"/>
        <v>1656.5284079447824</v>
      </c>
      <c r="V134" s="116">
        <v>337890</v>
      </c>
      <c r="W134" s="116">
        <v>2022687</v>
      </c>
      <c r="X134" s="117">
        <v>4225858</v>
      </c>
      <c r="Y134" s="117">
        <v>621991</v>
      </c>
      <c r="Z134" s="33">
        <v>80.8</v>
      </c>
      <c r="AA134" s="33">
        <v>70.5</v>
      </c>
      <c r="AB134" s="33">
        <v>79</v>
      </c>
      <c r="AC134" s="33">
        <v>67.8</v>
      </c>
      <c r="AD134" s="33">
        <v>40027</v>
      </c>
      <c r="AE134" s="33">
        <v>9.4</v>
      </c>
      <c r="AF134" s="33">
        <v>463</v>
      </c>
      <c r="AG134" s="33">
        <v>76</v>
      </c>
      <c r="AH134" s="33">
        <v>77.599999999999994</v>
      </c>
      <c r="AI134" s="33">
        <v>87.5</v>
      </c>
      <c r="AJ134" s="33">
        <v>83.8</v>
      </c>
      <c r="AK134" s="33">
        <v>163.95365699999999</v>
      </c>
      <c r="AL134" s="33">
        <v>61.9</v>
      </c>
      <c r="AM134" s="123">
        <v>22.373340899486845</v>
      </c>
      <c r="AN134" s="123">
        <v>41.58318410797682</v>
      </c>
      <c r="AO134" s="123">
        <v>58.791028969580772</v>
      </c>
      <c r="AP134" s="33">
        <v>36.659999999999997</v>
      </c>
      <c r="AQ134" s="33">
        <f t="shared" si="24"/>
        <v>0.41897142857142855</v>
      </c>
      <c r="AR134" s="33">
        <v>96.3</v>
      </c>
      <c r="AS134" s="33">
        <v>98.9</v>
      </c>
      <c r="AT134" s="33">
        <v>93.8</v>
      </c>
      <c r="AU134" s="33">
        <v>101.4</v>
      </c>
      <c r="AV134" s="65">
        <v>101.7</v>
      </c>
      <c r="AW134" s="33">
        <v>101.1</v>
      </c>
      <c r="AX134" s="33">
        <v>19.3</v>
      </c>
      <c r="AY134" s="33">
        <v>11.2</v>
      </c>
      <c r="AZ134" s="33">
        <v>20.2</v>
      </c>
      <c r="BA134" s="33">
        <v>9.9</v>
      </c>
      <c r="BB134" s="33">
        <v>89.4</v>
      </c>
      <c r="BC134" s="33">
        <v>94.4</v>
      </c>
      <c r="BD134" s="33">
        <v>84.6</v>
      </c>
      <c r="BE134" s="33">
        <v>42.9</v>
      </c>
      <c r="BF134" s="33">
        <v>20.399999999999999</v>
      </c>
      <c r="BG134" s="33">
        <v>20.100000000000001</v>
      </c>
      <c r="BH134" s="33">
        <v>150.5</v>
      </c>
      <c r="BI134" s="33">
        <v>3.9</v>
      </c>
      <c r="BJ134" s="34">
        <v>56.35551744</v>
      </c>
      <c r="BK134" s="45">
        <v>-29.013641667685302</v>
      </c>
      <c r="BL134" s="33">
        <v>0.84899999999999998</v>
      </c>
      <c r="BM134" s="33">
        <v>102.18819999999999</v>
      </c>
      <c r="BN134" s="33">
        <v>101.8814</v>
      </c>
      <c r="BO134" s="33">
        <v>-2.4</v>
      </c>
      <c r="BP134" s="33">
        <v>-11.3</v>
      </c>
      <c r="BQ134" s="33">
        <v>3</v>
      </c>
      <c r="BR134" s="33">
        <v>9.9</v>
      </c>
      <c r="BS134" s="33">
        <v>14.2</v>
      </c>
      <c r="BT134" s="33">
        <v>1.4</v>
      </c>
      <c r="BU134" s="33">
        <v>1.5</v>
      </c>
      <c r="BV134" s="33">
        <v>50.4</v>
      </c>
      <c r="BW134" s="33">
        <v>-7.2</v>
      </c>
      <c r="BX134" s="33">
        <v>-21.7</v>
      </c>
      <c r="BY134" s="33">
        <v>-42.5</v>
      </c>
      <c r="BZ134" s="33">
        <v>113.6</v>
      </c>
      <c r="CA134" s="33">
        <v>-7.2</v>
      </c>
      <c r="CB134" s="33">
        <v>-5.6</v>
      </c>
      <c r="CC134" s="33">
        <v>3.8</v>
      </c>
      <c r="CD134" s="33">
        <v>-17.5</v>
      </c>
      <c r="CE134" s="33">
        <v>-13.9</v>
      </c>
      <c r="CF134" s="33">
        <v>34.299999999999997</v>
      </c>
      <c r="CG134" s="33">
        <v>46.5</v>
      </c>
      <c r="CH134" s="33">
        <v>6.1</v>
      </c>
      <c r="CI134" s="33">
        <v>-17.600000000000001</v>
      </c>
      <c r="CJ134" s="33">
        <v>-12.9</v>
      </c>
      <c r="CK134" s="33">
        <v>9.1</v>
      </c>
      <c r="CL134" s="33">
        <v>12.1</v>
      </c>
      <c r="CM134" s="33">
        <v>4893.2428639999998</v>
      </c>
      <c r="CN134" s="33">
        <v>10700.13</v>
      </c>
      <c r="CO134" s="33">
        <v>1390.1440909999999</v>
      </c>
      <c r="CP134" s="33">
        <v>5.1920000000000002</v>
      </c>
      <c r="CQ134" s="33">
        <v>5.83</v>
      </c>
      <c r="CR134" s="33">
        <v>100.7</v>
      </c>
      <c r="CS134" s="121">
        <f t="shared" si="27"/>
        <v>15.150000000000006</v>
      </c>
      <c r="CT134" s="33">
        <v>122.3</v>
      </c>
      <c r="CU134" s="33">
        <v>111.2</v>
      </c>
      <c r="CV134" s="33">
        <v>104.9</v>
      </c>
      <c r="CW134" s="33">
        <v>103.9</v>
      </c>
      <c r="CX134" s="33">
        <v>103.6</v>
      </c>
      <c r="CY134" s="33">
        <v>5.72</v>
      </c>
      <c r="CZ134" s="33">
        <v>32185.771000000001</v>
      </c>
      <c r="DA134" s="33">
        <v>4.28</v>
      </c>
      <c r="DB134" s="33">
        <v>20.21</v>
      </c>
      <c r="DC134" s="33">
        <v>30.58</v>
      </c>
      <c r="DD134" s="33">
        <v>8.8800000000000008</v>
      </c>
      <c r="DE134" s="33">
        <v>6176.1049999999996</v>
      </c>
      <c r="DF134" s="33">
        <v>1201.6890000000001</v>
      </c>
      <c r="DG134" s="33">
        <v>744.2</v>
      </c>
      <c r="DH134" s="33">
        <v>1318.43</v>
      </c>
      <c r="DI134" s="33">
        <v>961.16600000000005</v>
      </c>
      <c r="DJ134" s="33">
        <v>100.2696</v>
      </c>
      <c r="DK134" s="33">
        <v>100.25879999999999</v>
      </c>
      <c r="DL134" s="33">
        <v>99.22</v>
      </c>
      <c r="DM134" s="33">
        <v>99.004300000000001</v>
      </c>
      <c r="DN134" s="33">
        <v>101.8814</v>
      </c>
      <c r="DO134" s="33">
        <v>102.18819999999999</v>
      </c>
      <c r="DP134" s="33">
        <v>99.852000000000004</v>
      </c>
      <c r="DQ134" s="33">
        <v>99.836799999999997</v>
      </c>
      <c r="DR134" s="104">
        <v>46812</v>
      </c>
      <c r="DS134" s="103">
        <v>27934</v>
      </c>
      <c r="DT134" s="104">
        <v>97.907078609427373</v>
      </c>
      <c r="DU134">
        <v>72.280555725097656</v>
      </c>
      <c r="DV134">
        <v>84.144096374511719</v>
      </c>
      <c r="DW134">
        <v>1735</v>
      </c>
      <c r="DX134">
        <v>399300</v>
      </c>
      <c r="DY134" s="102">
        <f t="shared" si="26"/>
        <v>68.3</v>
      </c>
    </row>
    <row r="135" spans="1:129" x14ac:dyDescent="0.25">
      <c r="A135" s="1">
        <v>36831</v>
      </c>
      <c r="B135" s="33">
        <v>85.7</v>
      </c>
      <c r="C135" s="107">
        <v>4.83</v>
      </c>
      <c r="D135" s="33">
        <v>4.75</v>
      </c>
      <c r="E135" s="33">
        <v>5</v>
      </c>
      <c r="F135" s="33">
        <v>5.08</v>
      </c>
      <c r="G135" s="33">
        <v>5.12</v>
      </c>
      <c r="H135" s="33">
        <v>5.15</v>
      </c>
      <c r="I135" s="33">
        <f t="shared" si="28"/>
        <v>0.32000000000000028</v>
      </c>
      <c r="J135" s="33">
        <f t="shared" ref="J135:J198" si="29">H135-D135</f>
        <v>0.40000000000000036</v>
      </c>
      <c r="K135" s="33">
        <f t="shared" ref="K135:K198" si="30">H135-E135</f>
        <v>0.15000000000000036</v>
      </c>
      <c r="L135" s="33">
        <f t="shared" ref="L135:L198" si="31">D135-C135</f>
        <v>-8.0000000000000071E-2</v>
      </c>
      <c r="M135" s="33">
        <v>91.1</v>
      </c>
      <c r="N135" s="33">
        <v>7059.07</v>
      </c>
      <c r="O135" s="33">
        <v>22.44</v>
      </c>
      <c r="P135" s="33">
        <v>432</v>
      </c>
      <c r="Q135" s="34">
        <f t="shared" si="21"/>
        <v>5.5670103092783512</v>
      </c>
      <c r="R135" s="71">
        <v>1220.0044638249735</v>
      </c>
      <c r="S135" s="34">
        <f t="shared" si="22"/>
        <v>1572.1707008053784</v>
      </c>
      <c r="T135" s="71">
        <v>1286.3233394448168</v>
      </c>
      <c r="U135" s="34">
        <f t="shared" si="23"/>
        <v>1657.6331693876507</v>
      </c>
      <c r="V135" s="116">
        <v>333894</v>
      </c>
      <c r="W135" s="116">
        <v>2019092</v>
      </c>
      <c r="X135" s="117">
        <v>4226830</v>
      </c>
      <c r="Y135" s="117">
        <v>624720</v>
      </c>
      <c r="Z135" s="33">
        <v>81.7</v>
      </c>
      <c r="AA135" s="33">
        <v>70.7</v>
      </c>
      <c r="AB135" s="33">
        <v>80.099999999999994</v>
      </c>
      <c r="AC135" s="33">
        <v>68.599999999999994</v>
      </c>
      <c r="AD135" s="33">
        <v>40030</v>
      </c>
      <c r="AE135" s="33">
        <v>9.3000000000000007</v>
      </c>
      <c r="AF135" s="33">
        <v>471</v>
      </c>
      <c r="AG135" s="33">
        <v>76.099999999999994</v>
      </c>
      <c r="AH135" s="33">
        <v>77.599999999999994</v>
      </c>
      <c r="AI135" s="33">
        <v>87.9</v>
      </c>
      <c r="AJ135" s="33">
        <v>83.8</v>
      </c>
      <c r="AK135" s="33">
        <v>164.487708</v>
      </c>
      <c r="AL135" s="33">
        <v>101.1</v>
      </c>
      <c r="AM135" s="123">
        <v>23.266042780763119</v>
      </c>
      <c r="AN135" s="123">
        <v>42.754541406793066</v>
      </c>
      <c r="AO135" s="123">
        <v>58.878515619833145</v>
      </c>
      <c r="AP135" s="33">
        <v>38.450000000000003</v>
      </c>
      <c r="AQ135" s="33">
        <f t="shared" si="24"/>
        <v>0.43742889647326511</v>
      </c>
      <c r="AR135" s="33">
        <v>96.1</v>
      </c>
      <c r="AS135" s="33">
        <v>98.9</v>
      </c>
      <c r="AT135" s="33">
        <v>93.3</v>
      </c>
      <c r="AU135" s="33">
        <v>101.1</v>
      </c>
      <c r="AV135" s="65">
        <v>101.6</v>
      </c>
      <c r="AW135" s="33">
        <v>100.6</v>
      </c>
      <c r="AX135" s="33">
        <v>19.2</v>
      </c>
      <c r="AY135" s="33">
        <v>7.4</v>
      </c>
      <c r="AZ135" s="33">
        <v>20.7</v>
      </c>
      <c r="BA135" s="33">
        <v>10.7</v>
      </c>
      <c r="BB135" s="33">
        <v>89.7</v>
      </c>
      <c r="BC135" s="33">
        <v>93.1</v>
      </c>
      <c r="BD135" s="33">
        <v>86.4</v>
      </c>
      <c r="BE135" s="33">
        <v>40.5</v>
      </c>
      <c r="BF135" s="33">
        <v>8.6999999999999993</v>
      </c>
      <c r="BG135" s="33">
        <v>36.200000000000003</v>
      </c>
      <c r="BH135" s="33">
        <v>150.4</v>
      </c>
      <c r="BI135" s="33">
        <v>5.0999999999999996</v>
      </c>
      <c r="BJ135" s="34">
        <v>55.377664619999997</v>
      </c>
      <c r="BK135" s="45">
        <v>-33.464854907800714</v>
      </c>
      <c r="BL135" s="33">
        <v>0.752</v>
      </c>
      <c r="BM135" s="33">
        <v>101.98139999999999</v>
      </c>
      <c r="BN135" s="33">
        <v>101.7038</v>
      </c>
      <c r="BO135" s="33">
        <v>-1.7</v>
      </c>
      <c r="BP135" s="33">
        <v>-9.8000000000000007</v>
      </c>
      <c r="BQ135" s="33">
        <v>4.5999999999999996</v>
      </c>
      <c r="BR135" s="33">
        <v>7.7</v>
      </c>
      <c r="BS135" s="33">
        <v>13.6</v>
      </c>
      <c r="BT135" s="33">
        <v>0.8</v>
      </c>
      <c r="BU135" s="33">
        <v>0.5</v>
      </c>
      <c r="BV135" s="33">
        <v>50.9</v>
      </c>
      <c r="BW135" s="33">
        <v>-5.4</v>
      </c>
      <c r="BX135" s="33">
        <v>-20.9</v>
      </c>
      <c r="BY135" s="33">
        <v>-42</v>
      </c>
      <c r="BZ135" s="33">
        <v>113.7</v>
      </c>
      <c r="CA135" s="33">
        <v>-5.4</v>
      </c>
      <c r="CB135" s="33">
        <v>-3.2</v>
      </c>
      <c r="CC135" s="33">
        <v>5.3</v>
      </c>
      <c r="CD135" s="33">
        <v>-15.5</v>
      </c>
      <c r="CE135" s="33">
        <v>-11.2</v>
      </c>
      <c r="CF135" s="33">
        <v>36.1</v>
      </c>
      <c r="CG135" s="33">
        <v>50.2</v>
      </c>
      <c r="CH135" s="33">
        <v>6.3</v>
      </c>
      <c r="CI135" s="33">
        <v>-14.3</v>
      </c>
      <c r="CJ135" s="33">
        <v>-12.5</v>
      </c>
      <c r="CK135" s="33">
        <v>15.5</v>
      </c>
      <c r="CL135" s="33">
        <v>11.2</v>
      </c>
      <c r="CM135" s="33">
        <v>4962.7177270000002</v>
      </c>
      <c r="CN135" s="33">
        <v>10899.47</v>
      </c>
      <c r="CO135" s="33">
        <v>1372.6422729999999</v>
      </c>
      <c r="CP135" s="33">
        <v>5.1559999999999997</v>
      </c>
      <c r="CQ135" s="33">
        <v>5.74</v>
      </c>
      <c r="CR135" s="33">
        <v>101.6</v>
      </c>
      <c r="CS135" s="121">
        <f t="shared" si="27"/>
        <v>14.150000000000006</v>
      </c>
      <c r="CT135" s="33">
        <v>119.1</v>
      </c>
      <c r="CU135" s="33">
        <v>112.9</v>
      </c>
      <c r="CV135" s="33">
        <v>104.4</v>
      </c>
      <c r="CW135" s="33">
        <v>101.5</v>
      </c>
      <c r="CX135" s="33">
        <v>105</v>
      </c>
      <c r="CY135" s="33">
        <v>5.48</v>
      </c>
      <c r="CZ135" s="33">
        <v>32210.154999999999</v>
      </c>
      <c r="DA135" s="33">
        <v>4.47</v>
      </c>
      <c r="DB135" s="33">
        <v>20.53</v>
      </c>
      <c r="DC135" s="33">
        <v>29.98</v>
      </c>
      <c r="DD135" s="33">
        <v>8.76</v>
      </c>
      <c r="DE135" s="33">
        <v>6020.9830000000002</v>
      </c>
      <c r="DF135" s="33">
        <v>1134.6600000000001</v>
      </c>
      <c r="DG135" s="33">
        <v>684.14200000000005</v>
      </c>
      <c r="DH135" s="33">
        <v>1244.0809999999999</v>
      </c>
      <c r="DI135" s="33">
        <v>972.73</v>
      </c>
      <c r="DJ135" s="33">
        <v>100.0873</v>
      </c>
      <c r="DK135" s="33">
        <v>100.0245</v>
      </c>
      <c r="DL135" s="33">
        <v>99.13</v>
      </c>
      <c r="DM135" s="33">
        <v>98.891099999999994</v>
      </c>
      <c r="DN135" s="33">
        <v>101.7038</v>
      </c>
      <c r="DO135" s="33">
        <v>101.98139999999999</v>
      </c>
      <c r="DP135" s="33">
        <v>99.539599999999993</v>
      </c>
      <c r="DQ135" s="33">
        <v>99.493200000000002</v>
      </c>
      <c r="DR135" s="104">
        <v>49582</v>
      </c>
      <c r="DS135" s="103">
        <v>27957</v>
      </c>
      <c r="DT135" s="104">
        <v>98.092508682551298</v>
      </c>
      <c r="DU135">
        <v>108.67674255371094</v>
      </c>
      <c r="DV135">
        <v>91.131141662597656</v>
      </c>
      <c r="DW135">
        <v>1759</v>
      </c>
      <c r="DX135">
        <v>378800</v>
      </c>
      <c r="DY135" s="102">
        <f t="shared" si="26"/>
        <v>67.8</v>
      </c>
    </row>
    <row r="136" spans="1:129" x14ac:dyDescent="0.25">
      <c r="A136" s="1">
        <v>36861</v>
      </c>
      <c r="B136" s="33">
        <v>86.3</v>
      </c>
      <c r="C136" s="107">
        <v>4.83</v>
      </c>
      <c r="D136" s="33">
        <v>4.75</v>
      </c>
      <c r="E136" s="33">
        <v>5.0199999999999996</v>
      </c>
      <c r="F136" s="33">
        <v>4.7300000000000004</v>
      </c>
      <c r="G136" s="33">
        <v>4.8</v>
      </c>
      <c r="H136" s="33">
        <v>4.8899999999999997</v>
      </c>
      <c r="I136" s="33">
        <f t="shared" si="28"/>
        <v>5.9999999999999609E-2</v>
      </c>
      <c r="J136" s="33">
        <f t="shared" si="29"/>
        <v>0.13999999999999968</v>
      </c>
      <c r="K136" s="33">
        <f t="shared" si="30"/>
        <v>-0.12999999999999989</v>
      </c>
      <c r="L136" s="33">
        <f t="shared" si="31"/>
        <v>-8.0000000000000071E-2</v>
      </c>
      <c r="M136" s="33">
        <v>92.4</v>
      </c>
      <c r="N136" s="33">
        <v>6512.91</v>
      </c>
      <c r="O136" s="33">
        <v>25.3</v>
      </c>
      <c r="P136" s="33">
        <v>432.1</v>
      </c>
      <c r="Q136" s="34">
        <f t="shared" si="21"/>
        <v>5.5397435897435896</v>
      </c>
      <c r="R136" s="71">
        <v>1216.4765103148898</v>
      </c>
      <c r="S136" s="34">
        <f t="shared" si="22"/>
        <v>1559.5852696344741</v>
      </c>
      <c r="T136" s="71">
        <v>1284.6087496854859</v>
      </c>
      <c r="U136" s="34">
        <f t="shared" si="23"/>
        <v>1646.9342944685718</v>
      </c>
      <c r="V136" s="116">
        <v>324397</v>
      </c>
      <c r="W136" s="116">
        <v>2025182</v>
      </c>
      <c r="X136" s="117">
        <v>4226952</v>
      </c>
      <c r="Y136" s="117">
        <v>632251</v>
      </c>
      <c r="Z136" s="33">
        <v>82.8</v>
      </c>
      <c r="AA136" s="33">
        <v>71.8</v>
      </c>
      <c r="AB136" s="33">
        <v>81.7</v>
      </c>
      <c r="AC136" s="33">
        <v>69.8</v>
      </c>
      <c r="AD136" s="33">
        <v>40037</v>
      </c>
      <c r="AE136" s="33">
        <v>9.3000000000000007</v>
      </c>
      <c r="AF136" s="33">
        <v>476</v>
      </c>
      <c r="AG136" s="33">
        <v>76.2</v>
      </c>
      <c r="AH136" s="33">
        <v>78</v>
      </c>
      <c r="AI136" s="33">
        <v>86.4</v>
      </c>
      <c r="AJ136" s="33">
        <v>83.6</v>
      </c>
      <c r="AK136" s="33">
        <v>163.95365699999999</v>
      </c>
      <c r="AL136" s="33">
        <v>62</v>
      </c>
      <c r="AM136" s="123">
        <v>22.689631810969441</v>
      </c>
      <c r="AN136" s="123">
        <v>35.148126367304592</v>
      </c>
      <c r="AO136" s="123">
        <v>58.791288189285233</v>
      </c>
      <c r="AP136" s="33">
        <v>28.37</v>
      </c>
      <c r="AQ136" s="33">
        <f t="shared" si="24"/>
        <v>0.32835648148148144</v>
      </c>
      <c r="AR136" s="33">
        <v>95.8</v>
      </c>
      <c r="AS136" s="33">
        <v>98.2</v>
      </c>
      <c r="AT136" s="33">
        <v>93.5</v>
      </c>
      <c r="AU136" s="33">
        <v>100.2</v>
      </c>
      <c r="AV136" s="65">
        <v>100.3</v>
      </c>
      <c r="AW136" s="33">
        <v>100.1</v>
      </c>
      <c r="AX136" s="33">
        <v>17.100000000000001</v>
      </c>
      <c r="AY136" s="33">
        <v>6</v>
      </c>
      <c r="AZ136" s="33">
        <v>17.600000000000001</v>
      </c>
      <c r="BA136" s="33">
        <v>7.6</v>
      </c>
      <c r="BB136" s="33">
        <v>87.8</v>
      </c>
      <c r="BC136" s="33">
        <v>91.2</v>
      </c>
      <c r="BD136" s="33">
        <v>84.5</v>
      </c>
      <c r="BE136" s="33">
        <v>32.299999999999997</v>
      </c>
      <c r="BF136" s="33">
        <v>-0.1</v>
      </c>
      <c r="BG136" s="33">
        <v>28.8</v>
      </c>
      <c r="BH136" s="33">
        <v>151.9</v>
      </c>
      <c r="BI136" s="33">
        <v>16.100000000000001</v>
      </c>
      <c r="BJ136" s="34">
        <v>53.96905984</v>
      </c>
      <c r="BK136" s="45">
        <v>-56.023782949276971</v>
      </c>
      <c r="BL136" s="33">
        <v>0.64400000000000002</v>
      </c>
      <c r="BM136" s="33">
        <v>101.6795</v>
      </c>
      <c r="BN136" s="33">
        <v>101.4444</v>
      </c>
      <c r="BO136" s="33">
        <v>-3.8</v>
      </c>
      <c r="BP136" s="33">
        <v>-9.6999999999999993</v>
      </c>
      <c r="BQ136" s="33">
        <v>5.4</v>
      </c>
      <c r="BR136" s="33">
        <v>7.1</v>
      </c>
      <c r="BS136" s="33">
        <v>12.4</v>
      </c>
      <c r="BT136" s="33">
        <v>0.6</v>
      </c>
      <c r="BU136" s="33">
        <v>-0.7</v>
      </c>
      <c r="BV136" s="33">
        <v>49.2</v>
      </c>
      <c r="BW136" s="33">
        <v>-5.7</v>
      </c>
      <c r="BX136" s="33">
        <v>-17.399999999999999</v>
      </c>
      <c r="BY136" s="33">
        <v>-40.9</v>
      </c>
      <c r="BZ136" s="33">
        <v>113</v>
      </c>
      <c r="CA136" s="33">
        <v>-5.7</v>
      </c>
      <c r="CB136" s="33">
        <v>-3.1</v>
      </c>
      <c r="CC136" s="33">
        <v>5</v>
      </c>
      <c r="CD136" s="33">
        <v>-14.1</v>
      </c>
      <c r="CE136" s="33">
        <v>-13.8</v>
      </c>
      <c r="CF136" s="33">
        <v>35</v>
      </c>
      <c r="CG136" s="33">
        <v>50.7</v>
      </c>
      <c r="CH136" s="33">
        <v>7.4</v>
      </c>
      <c r="CI136" s="33">
        <v>-14.8</v>
      </c>
      <c r="CJ136" s="33">
        <v>-10.9</v>
      </c>
      <c r="CK136" s="33">
        <v>13.6</v>
      </c>
      <c r="CL136" s="33">
        <v>11</v>
      </c>
      <c r="CM136" s="33">
        <v>4787.1350949999996</v>
      </c>
      <c r="CN136" s="33">
        <v>10373.540000000001</v>
      </c>
      <c r="CO136" s="33">
        <v>1329.7419050000001</v>
      </c>
      <c r="CP136" s="33">
        <v>4.8659999999999997</v>
      </c>
      <c r="CQ136" s="33">
        <v>5.52</v>
      </c>
      <c r="CR136" s="33">
        <v>90.7</v>
      </c>
      <c r="CS136" s="121">
        <f t="shared" si="27"/>
        <v>17.350000000000009</v>
      </c>
      <c r="CT136" s="33">
        <v>116.7</v>
      </c>
      <c r="CU136" s="33">
        <v>113.4</v>
      </c>
      <c r="CV136" s="33">
        <v>101.4</v>
      </c>
      <c r="CW136" s="33">
        <v>92.6</v>
      </c>
      <c r="CX136" s="33">
        <v>102.5</v>
      </c>
      <c r="CY136" s="33">
        <v>5.4</v>
      </c>
      <c r="CZ136" s="33">
        <v>27864.958999999999</v>
      </c>
      <c r="DA136" s="33">
        <v>4.66</v>
      </c>
      <c r="DB136" s="33">
        <v>20.84</v>
      </c>
      <c r="DC136" s="33">
        <v>29.68</v>
      </c>
      <c r="DD136" s="33">
        <v>8.19</v>
      </c>
      <c r="DE136" s="33">
        <v>5731.9970000000003</v>
      </c>
      <c r="DF136" s="33">
        <v>1222.6859999999999</v>
      </c>
      <c r="DG136" s="33">
        <v>720.226</v>
      </c>
      <c r="DH136" s="33">
        <v>1027.8989999999999</v>
      </c>
      <c r="DI136" s="33">
        <v>1040.796</v>
      </c>
      <c r="DJ136" s="33">
        <v>99.913700000000006</v>
      </c>
      <c r="DK136" s="33">
        <v>99.802899999999994</v>
      </c>
      <c r="DL136" s="33">
        <v>99.07</v>
      </c>
      <c r="DM136" s="33">
        <v>98.8172</v>
      </c>
      <c r="DN136" s="33">
        <v>101.4444</v>
      </c>
      <c r="DO136" s="33">
        <v>101.6795</v>
      </c>
      <c r="DP136" s="33">
        <v>99.203199999999995</v>
      </c>
      <c r="DQ136" s="33">
        <v>99.123199999999997</v>
      </c>
      <c r="DR136" s="104">
        <v>46224</v>
      </c>
      <c r="DS136" s="103">
        <v>27965</v>
      </c>
      <c r="DT136" s="104">
        <v>96.979928243807805</v>
      </c>
      <c r="DU136">
        <v>99.956840515136719</v>
      </c>
      <c r="DV136">
        <v>91.888473510742188</v>
      </c>
      <c r="DW136">
        <v>1664</v>
      </c>
      <c r="DX136">
        <v>346925</v>
      </c>
      <c r="DY136" s="102">
        <f t="shared" si="26"/>
        <v>68.2</v>
      </c>
    </row>
    <row r="137" spans="1:129" x14ac:dyDescent="0.25">
      <c r="A137" s="1">
        <v>36892</v>
      </c>
      <c r="B137" s="33">
        <v>85.6</v>
      </c>
      <c r="C137" s="107">
        <v>4.76</v>
      </c>
      <c r="D137" s="33">
        <v>4.75</v>
      </c>
      <c r="E137" s="33">
        <v>4.93</v>
      </c>
      <c r="F137" s="33">
        <v>4.53</v>
      </c>
      <c r="G137" s="33">
        <v>4.67</v>
      </c>
      <c r="H137" s="33">
        <v>4.8</v>
      </c>
      <c r="I137" s="33">
        <f t="shared" si="28"/>
        <v>4.0000000000000036E-2</v>
      </c>
      <c r="J137" s="33">
        <f t="shared" si="29"/>
        <v>4.9999999999999822E-2</v>
      </c>
      <c r="K137" s="33">
        <f t="shared" si="30"/>
        <v>-0.12999999999999989</v>
      </c>
      <c r="L137" s="33">
        <f t="shared" si="31"/>
        <v>-9.9999999999997868E-3</v>
      </c>
      <c r="M137" s="33">
        <v>93.9</v>
      </c>
      <c r="N137" s="33">
        <v>6433.61</v>
      </c>
      <c r="O137" s="33">
        <v>23.68</v>
      </c>
      <c r="P137" s="33">
        <v>439.2</v>
      </c>
      <c r="Q137" s="34">
        <f t="shared" si="21"/>
        <v>5.6452442159383036</v>
      </c>
      <c r="R137" s="71">
        <v>1225.6301194221344</v>
      </c>
      <c r="S137" s="34">
        <f t="shared" si="22"/>
        <v>1575.3600506711239</v>
      </c>
      <c r="T137" s="71">
        <v>1293.7532284019182</v>
      </c>
      <c r="U137" s="34">
        <f t="shared" si="23"/>
        <v>1662.9218874060648</v>
      </c>
      <c r="V137" s="116">
        <v>369392</v>
      </c>
      <c r="W137" s="116">
        <v>2094231</v>
      </c>
      <c r="X137" s="117">
        <v>4340387</v>
      </c>
      <c r="Y137" s="117">
        <v>684150</v>
      </c>
      <c r="Z137" s="33">
        <v>81.599999999999994</v>
      </c>
      <c r="AA137" s="33">
        <v>69.5</v>
      </c>
      <c r="AB137" s="33">
        <v>81.900000000000006</v>
      </c>
      <c r="AC137" s="33">
        <v>66.5</v>
      </c>
      <c r="AD137" s="33">
        <v>39944</v>
      </c>
      <c r="AE137" s="33">
        <v>9.3000000000000007</v>
      </c>
      <c r="AF137" s="33">
        <v>468</v>
      </c>
      <c r="AG137" s="33">
        <v>76.099999999999994</v>
      </c>
      <c r="AH137" s="33">
        <v>77.8</v>
      </c>
      <c r="AI137" s="33">
        <v>85.7</v>
      </c>
      <c r="AJ137" s="33">
        <v>83.4</v>
      </c>
      <c r="AK137" s="33">
        <v>165.19977600000001</v>
      </c>
      <c r="AL137" s="33">
        <v>62.1</v>
      </c>
      <c r="AM137" s="123">
        <v>18.756169685071704</v>
      </c>
      <c r="AN137" s="123">
        <v>33.193038992114595</v>
      </c>
      <c r="AO137" s="123">
        <v>56.282413871108055</v>
      </c>
      <c r="AP137" s="33">
        <v>27.52</v>
      </c>
      <c r="AQ137" s="33">
        <f t="shared" si="24"/>
        <v>0.32112018669778297</v>
      </c>
      <c r="AR137" s="33">
        <v>94.7</v>
      </c>
      <c r="AS137" s="33">
        <v>97.5</v>
      </c>
      <c r="AT137" s="33">
        <v>92.1</v>
      </c>
      <c r="AU137" s="33">
        <v>98.6</v>
      </c>
      <c r="AV137" s="65">
        <v>99.2</v>
      </c>
      <c r="AW137" s="33">
        <v>98</v>
      </c>
      <c r="AX137" s="33">
        <v>13.3</v>
      </c>
      <c r="AY137" s="33">
        <v>7.4</v>
      </c>
      <c r="AZ137" s="33">
        <v>13.4</v>
      </c>
      <c r="BA137" s="33">
        <v>6.2</v>
      </c>
      <c r="BB137" s="33">
        <v>88.1</v>
      </c>
      <c r="BC137" s="33">
        <v>91.8</v>
      </c>
      <c r="BD137" s="33">
        <v>84.6</v>
      </c>
      <c r="BE137" s="33">
        <v>31.5</v>
      </c>
      <c r="BF137" s="33">
        <v>-4.4000000000000004</v>
      </c>
      <c r="BG137" s="33">
        <v>38.700000000000003</v>
      </c>
      <c r="BH137" s="33">
        <v>151.9</v>
      </c>
      <c r="BI137" s="33">
        <v>43.5</v>
      </c>
      <c r="BJ137" s="34">
        <v>53.673246220000003</v>
      </c>
      <c r="BK137" s="45">
        <v>-67.756942035029311</v>
      </c>
      <c r="BL137" s="33">
        <v>0.60099999999999998</v>
      </c>
      <c r="BM137" s="33">
        <v>101.291</v>
      </c>
      <c r="BN137" s="33">
        <v>101.11060000000001</v>
      </c>
      <c r="BO137" s="33">
        <v>-4.8</v>
      </c>
      <c r="BP137" s="33">
        <v>-12</v>
      </c>
      <c r="BQ137" s="33">
        <v>5.7</v>
      </c>
      <c r="BR137" s="33">
        <v>6.4</v>
      </c>
      <c r="BS137" s="33">
        <v>10.5</v>
      </c>
      <c r="BT137" s="33">
        <v>-2.5</v>
      </c>
      <c r="BU137" s="33">
        <v>-1.4</v>
      </c>
      <c r="BV137" s="33">
        <v>31.1</v>
      </c>
      <c r="BW137" s="33">
        <v>-4.7</v>
      </c>
      <c r="BX137" s="33">
        <v>-14.1</v>
      </c>
      <c r="BY137" s="33">
        <v>-41</v>
      </c>
      <c r="BZ137" s="33">
        <v>107.5</v>
      </c>
      <c r="CA137" s="33">
        <v>-4.7</v>
      </c>
      <c r="CB137" s="33">
        <v>-1.7</v>
      </c>
      <c r="CC137" s="33">
        <v>6.5</v>
      </c>
      <c r="CD137" s="33">
        <v>-11.4</v>
      </c>
      <c r="CE137" s="33">
        <v>-12.4</v>
      </c>
      <c r="CF137" s="33">
        <v>29.3</v>
      </c>
      <c r="CG137" s="33">
        <v>48.6</v>
      </c>
      <c r="CH137" s="33">
        <v>8.9</v>
      </c>
      <c r="CI137" s="33">
        <v>-13.7</v>
      </c>
      <c r="CJ137" s="33">
        <v>-11.1</v>
      </c>
      <c r="CK137" s="33">
        <v>15</v>
      </c>
      <c r="CL137" s="33">
        <v>11.3</v>
      </c>
      <c r="CM137" s="33">
        <v>4729.6528699999999</v>
      </c>
      <c r="CN137" s="33">
        <v>10786.86</v>
      </c>
      <c r="CO137" s="33">
        <v>1334.208261</v>
      </c>
      <c r="CP137" s="33">
        <v>4.8769999999999998</v>
      </c>
      <c r="CQ137" s="33">
        <v>5.12</v>
      </c>
      <c r="CR137" s="33">
        <v>86.4</v>
      </c>
      <c r="CS137" s="121">
        <f t="shared" si="27"/>
        <v>19.75</v>
      </c>
      <c r="CT137" s="33">
        <v>116.9</v>
      </c>
      <c r="CU137" s="33">
        <v>114.9</v>
      </c>
      <c r="CV137" s="33">
        <v>99.5</v>
      </c>
      <c r="CW137" s="33">
        <v>93.4</v>
      </c>
      <c r="CX137" s="33">
        <v>106.6</v>
      </c>
      <c r="CY137" s="33">
        <v>6.28</v>
      </c>
      <c r="CZ137" s="33">
        <v>29513.578000000001</v>
      </c>
      <c r="DA137" s="33">
        <v>4.22</v>
      </c>
      <c r="DB137" s="33">
        <v>19.350000000000001</v>
      </c>
      <c r="DC137" s="33">
        <v>30.16</v>
      </c>
      <c r="DD137" s="33">
        <v>8.85</v>
      </c>
      <c r="DE137" s="33">
        <v>5469.43</v>
      </c>
      <c r="DF137" s="33">
        <v>1083.8420000000001</v>
      </c>
      <c r="DG137" s="33">
        <v>517.65099999999995</v>
      </c>
      <c r="DH137" s="33">
        <v>1102.105</v>
      </c>
      <c r="DI137" s="33">
        <v>837.54300000000001</v>
      </c>
      <c r="DJ137" s="33">
        <v>99.7453</v>
      </c>
      <c r="DK137" s="33">
        <v>99.590299999999999</v>
      </c>
      <c r="DL137" s="33">
        <v>99.03</v>
      </c>
      <c r="DM137" s="33">
        <v>98.768299999999996</v>
      </c>
      <c r="DN137" s="33">
        <v>101.11060000000001</v>
      </c>
      <c r="DO137" s="33">
        <v>101.291</v>
      </c>
      <c r="DP137" s="33">
        <v>98.8964</v>
      </c>
      <c r="DQ137" s="33">
        <v>98.785700000000006</v>
      </c>
      <c r="DR137" s="104">
        <v>56764</v>
      </c>
      <c r="DS137" s="103">
        <v>27892</v>
      </c>
      <c r="DT137" s="104">
        <v>95.867347805064327</v>
      </c>
      <c r="DU137">
        <v>82.90606689453125</v>
      </c>
      <c r="DV137">
        <v>109.3314208984375</v>
      </c>
      <c r="DW137">
        <v>1599</v>
      </c>
      <c r="DX137">
        <v>357225</v>
      </c>
      <c r="DY137" s="102">
        <f t="shared" si="26"/>
        <v>68.8</v>
      </c>
    </row>
    <row r="138" spans="1:129" x14ac:dyDescent="0.25">
      <c r="A138" s="1">
        <v>36923</v>
      </c>
      <c r="B138" s="33">
        <v>87.2</v>
      </c>
      <c r="C138" s="107">
        <v>4.99</v>
      </c>
      <c r="D138" s="33">
        <v>4.75</v>
      </c>
      <c r="E138" s="33">
        <v>4.82</v>
      </c>
      <c r="F138" s="33">
        <v>4.5599999999999996</v>
      </c>
      <c r="G138" s="33">
        <v>4.67</v>
      </c>
      <c r="H138" s="33">
        <v>4.78</v>
      </c>
      <c r="I138" s="33">
        <f t="shared" si="28"/>
        <v>-0.20999999999999996</v>
      </c>
      <c r="J138" s="33">
        <f t="shared" si="29"/>
        <v>3.0000000000000249E-2</v>
      </c>
      <c r="K138" s="33">
        <f t="shared" si="30"/>
        <v>-4.0000000000000036E-2</v>
      </c>
      <c r="L138" s="33">
        <f t="shared" si="31"/>
        <v>-0.24000000000000021</v>
      </c>
      <c r="M138" s="33">
        <v>93.8</v>
      </c>
      <c r="N138" s="33">
        <v>6704.68</v>
      </c>
      <c r="O138" s="33">
        <v>18.829999999999998</v>
      </c>
      <c r="P138" s="33">
        <v>449.3</v>
      </c>
      <c r="Q138" s="34">
        <f t="shared" si="21"/>
        <v>5.7528809218950068</v>
      </c>
      <c r="R138" s="71">
        <v>1236.4046801421205</v>
      </c>
      <c r="S138" s="34">
        <f t="shared" si="22"/>
        <v>1583.10458404881</v>
      </c>
      <c r="T138" s="71">
        <v>1306.5173966102718</v>
      </c>
      <c r="U138" s="34">
        <f t="shared" si="23"/>
        <v>1672.8775884894644</v>
      </c>
      <c r="V138" s="116">
        <v>371603</v>
      </c>
      <c r="W138" s="116">
        <v>2104954</v>
      </c>
      <c r="X138" s="117">
        <v>4363192</v>
      </c>
      <c r="Y138" s="117">
        <v>686486</v>
      </c>
      <c r="Z138" s="33">
        <v>82.1</v>
      </c>
      <c r="AA138" s="33">
        <v>69.8</v>
      </c>
      <c r="AB138" s="33">
        <v>80.3</v>
      </c>
      <c r="AC138" s="33">
        <v>68</v>
      </c>
      <c r="AD138" s="33">
        <v>39930</v>
      </c>
      <c r="AE138" s="33">
        <v>9.3000000000000007</v>
      </c>
      <c r="AF138" s="33">
        <v>460</v>
      </c>
      <c r="AG138" s="33">
        <v>76.5</v>
      </c>
      <c r="AH138" s="33">
        <v>78.099999999999994</v>
      </c>
      <c r="AI138" s="33">
        <v>85.9</v>
      </c>
      <c r="AJ138" s="33">
        <v>83.5</v>
      </c>
      <c r="AK138" s="33">
        <v>165.73382699999999</v>
      </c>
      <c r="AL138" s="33">
        <v>62.1</v>
      </c>
      <c r="AM138" s="123">
        <v>20.408426068422227</v>
      </c>
      <c r="AN138" s="123">
        <v>36.380785114832911</v>
      </c>
      <c r="AO138" s="123">
        <v>55.934454589061026</v>
      </c>
      <c r="AP138" s="33">
        <v>30.29</v>
      </c>
      <c r="AQ138" s="33">
        <f t="shared" si="24"/>
        <v>0.35261932479627472</v>
      </c>
      <c r="AR138" s="33">
        <v>93.5</v>
      </c>
      <c r="AS138" s="33">
        <v>95.7</v>
      </c>
      <c r="AT138" s="33">
        <v>91.4</v>
      </c>
      <c r="AU138" s="33">
        <v>97.6</v>
      </c>
      <c r="AV138" s="65">
        <v>97.2</v>
      </c>
      <c r="AW138" s="33">
        <v>98.1</v>
      </c>
      <c r="AX138" s="33">
        <v>10.5</v>
      </c>
      <c r="AY138" s="33">
        <v>-0.2</v>
      </c>
      <c r="AZ138" s="33">
        <v>9.9</v>
      </c>
      <c r="BA138" s="33">
        <v>-1.8</v>
      </c>
      <c r="BB138" s="33">
        <v>86.7</v>
      </c>
      <c r="BC138" s="33">
        <v>90.3</v>
      </c>
      <c r="BD138" s="33">
        <v>83.2</v>
      </c>
      <c r="BE138" s="33">
        <v>24.1</v>
      </c>
      <c r="BF138" s="33">
        <v>-6.1</v>
      </c>
      <c r="BG138" s="33">
        <v>19.7</v>
      </c>
      <c r="BH138" s="33">
        <v>155.9</v>
      </c>
      <c r="BI138" s="33">
        <v>41.8</v>
      </c>
      <c r="BJ138" s="34">
        <v>52.810790509999997</v>
      </c>
      <c r="BK138" s="45">
        <v>-72.114802159794451</v>
      </c>
      <c r="BL138" s="33">
        <v>0.56499999999999995</v>
      </c>
      <c r="BM138" s="33">
        <v>100.84050000000001</v>
      </c>
      <c r="BN138" s="33">
        <v>100.7236</v>
      </c>
      <c r="BO138" s="33">
        <v>-6.4</v>
      </c>
      <c r="BP138" s="33">
        <v>-13</v>
      </c>
      <c r="BQ138" s="33">
        <v>8.1999999999999993</v>
      </c>
      <c r="BR138" s="33">
        <v>0.4</v>
      </c>
      <c r="BS138" s="33">
        <v>9.5</v>
      </c>
      <c r="BT138" s="33">
        <v>-5</v>
      </c>
      <c r="BU138" s="33">
        <v>-4.7</v>
      </c>
      <c r="BV138" s="33">
        <v>26.1</v>
      </c>
      <c r="BW138" s="33">
        <v>-5.8</v>
      </c>
      <c r="BX138" s="33">
        <v>-24.1</v>
      </c>
      <c r="BY138" s="33">
        <v>-42</v>
      </c>
      <c r="BZ138" s="33">
        <v>103.7</v>
      </c>
      <c r="CA138" s="33">
        <v>-5.8</v>
      </c>
      <c r="CB138" s="33">
        <v>-2.2000000000000002</v>
      </c>
      <c r="CC138" s="33">
        <v>5.5</v>
      </c>
      <c r="CD138" s="33">
        <v>-17.7</v>
      </c>
      <c r="CE138" s="33">
        <v>-16.3</v>
      </c>
      <c r="CF138" s="33">
        <v>30.7</v>
      </c>
      <c r="CG138" s="33">
        <v>50.5</v>
      </c>
      <c r="CH138" s="33">
        <v>11.5</v>
      </c>
      <c r="CI138" s="33">
        <v>-15.4</v>
      </c>
      <c r="CJ138" s="33">
        <v>-10.1</v>
      </c>
      <c r="CK138" s="33">
        <v>15.9</v>
      </c>
      <c r="CL138" s="33">
        <v>12.2</v>
      </c>
      <c r="CM138" s="33">
        <v>4525.8688000000002</v>
      </c>
      <c r="CN138" s="33">
        <v>10983.63</v>
      </c>
      <c r="CO138" s="33">
        <v>1305.5405000000001</v>
      </c>
      <c r="CP138" s="33">
        <v>4.843</v>
      </c>
      <c r="CQ138" s="33">
        <v>5.0999999999999996</v>
      </c>
      <c r="CR138" s="33">
        <v>80.8</v>
      </c>
      <c r="CS138" s="121">
        <f t="shared" si="27"/>
        <v>19.549999999999997</v>
      </c>
      <c r="CT138" s="33">
        <v>117.5</v>
      </c>
      <c r="CU138" s="33">
        <v>110.9</v>
      </c>
      <c r="CV138" s="33">
        <v>97.3</v>
      </c>
      <c r="CW138" s="33">
        <v>90.2</v>
      </c>
      <c r="CX138" s="33">
        <v>106.4</v>
      </c>
      <c r="CY138" s="33">
        <v>5.54</v>
      </c>
      <c r="CZ138" s="33">
        <v>29954.553</v>
      </c>
      <c r="DA138" s="33">
        <v>4.26</v>
      </c>
      <c r="DB138" s="33">
        <v>20.010000000000002</v>
      </c>
      <c r="DC138" s="33">
        <v>30.44</v>
      </c>
      <c r="DD138" s="33">
        <v>9.49</v>
      </c>
      <c r="DE138" s="33">
        <v>5126.3370000000004</v>
      </c>
      <c r="DF138" s="33">
        <v>1022.99</v>
      </c>
      <c r="DG138" s="33">
        <v>595.04899999999998</v>
      </c>
      <c r="DH138" s="33">
        <v>1093.6089999999999</v>
      </c>
      <c r="DI138" s="33">
        <v>769.85699999999997</v>
      </c>
      <c r="DJ138" s="33">
        <v>99.594999999999999</v>
      </c>
      <c r="DK138" s="33">
        <v>99.401799999999994</v>
      </c>
      <c r="DL138" s="33">
        <v>99</v>
      </c>
      <c r="DM138" s="33">
        <v>98.731700000000004</v>
      </c>
      <c r="DN138" s="33">
        <v>100.7236</v>
      </c>
      <c r="DO138" s="33">
        <v>100.84050000000001</v>
      </c>
      <c r="DP138" s="33">
        <v>98.661199999999994</v>
      </c>
      <c r="DQ138" s="33">
        <v>98.527000000000001</v>
      </c>
      <c r="DR138" s="104">
        <v>73302</v>
      </c>
      <c r="DS138" s="103">
        <v>27908</v>
      </c>
      <c r="DT138" s="104">
        <v>95.867347805064327</v>
      </c>
      <c r="DU138">
        <v>102.49366760253906</v>
      </c>
      <c r="DV138">
        <v>134.36819458007813</v>
      </c>
      <c r="DW138">
        <v>1493</v>
      </c>
      <c r="DX138">
        <v>348200</v>
      </c>
      <c r="DY138" s="102">
        <f t="shared" si="26"/>
        <v>68.099999999999994</v>
      </c>
    </row>
    <row r="139" spans="1:129" x14ac:dyDescent="0.25">
      <c r="A139" s="1">
        <v>36951</v>
      </c>
      <c r="B139" s="33">
        <v>85.3</v>
      </c>
      <c r="C139" s="107">
        <v>4.78</v>
      </c>
      <c r="D139" s="33">
        <v>4.75</v>
      </c>
      <c r="E139" s="33">
        <v>4.75</v>
      </c>
      <c r="F139" s="33">
        <v>4.4000000000000004</v>
      </c>
      <c r="G139" s="33">
        <v>4.53</v>
      </c>
      <c r="H139" s="33">
        <v>4.67</v>
      </c>
      <c r="I139" s="33">
        <f t="shared" si="28"/>
        <v>-0.11000000000000032</v>
      </c>
      <c r="J139" s="33">
        <f t="shared" si="29"/>
        <v>-8.0000000000000071E-2</v>
      </c>
      <c r="K139" s="33">
        <f t="shared" si="30"/>
        <v>-8.0000000000000071E-2</v>
      </c>
      <c r="L139" s="33">
        <f t="shared" si="31"/>
        <v>-3.0000000000000249E-2</v>
      </c>
      <c r="M139" s="33">
        <v>93.7</v>
      </c>
      <c r="N139" s="33">
        <v>6123.38</v>
      </c>
      <c r="O139" s="33">
        <v>22.69</v>
      </c>
      <c r="P139" s="33">
        <v>453.7</v>
      </c>
      <c r="Q139" s="34">
        <f t="shared" si="21"/>
        <v>5.8092189500640208</v>
      </c>
      <c r="R139" s="71">
        <v>1244.1280378263584</v>
      </c>
      <c r="S139" s="34">
        <f t="shared" si="22"/>
        <v>1592.993646384582</v>
      </c>
      <c r="T139" s="71">
        <v>1315.8523852999631</v>
      </c>
      <c r="U139" s="34">
        <f t="shared" si="23"/>
        <v>1684.8301988475844</v>
      </c>
      <c r="V139" s="116">
        <v>367954</v>
      </c>
      <c r="W139" s="116">
        <v>2106179</v>
      </c>
      <c r="X139" s="117">
        <v>4382791</v>
      </c>
      <c r="Y139" s="117">
        <v>697175</v>
      </c>
      <c r="Z139" s="33">
        <v>81.2</v>
      </c>
      <c r="AA139" s="33">
        <v>69.099999999999994</v>
      </c>
      <c r="AB139" s="33">
        <v>79.900000000000006</v>
      </c>
      <c r="AC139" s="33">
        <v>67.3</v>
      </c>
      <c r="AD139" s="33">
        <v>39912</v>
      </c>
      <c r="AE139" s="33">
        <v>9.3000000000000007</v>
      </c>
      <c r="AF139" s="33">
        <v>454</v>
      </c>
      <c r="AG139" s="33">
        <v>76.5</v>
      </c>
      <c r="AH139" s="33">
        <v>78.099999999999994</v>
      </c>
      <c r="AI139" s="33">
        <v>85.5</v>
      </c>
      <c r="AJ139" s="33">
        <v>83.6</v>
      </c>
      <c r="AK139" s="33">
        <v>166.08986100000001</v>
      </c>
      <c r="AL139" s="33">
        <v>62.2</v>
      </c>
      <c r="AM139" s="123">
        <v>19.777520423833906</v>
      </c>
      <c r="AN139" s="123">
        <v>34.442825617190479</v>
      </c>
      <c r="AO139" s="123">
        <v>55.242838458129825</v>
      </c>
      <c r="AP139" s="33">
        <v>27.53</v>
      </c>
      <c r="AQ139" s="33">
        <f t="shared" si="24"/>
        <v>0.32198830409356727</v>
      </c>
      <c r="AR139" s="33">
        <v>91.8</v>
      </c>
      <c r="AS139" s="33">
        <v>93.9</v>
      </c>
      <c r="AT139" s="33">
        <v>89.9</v>
      </c>
      <c r="AU139" s="33">
        <v>95.4</v>
      </c>
      <c r="AV139" s="65">
        <v>95.1</v>
      </c>
      <c r="AW139" s="33">
        <v>95.7</v>
      </c>
      <c r="AX139" s="33">
        <v>8</v>
      </c>
      <c r="AY139" s="33">
        <v>-1.6</v>
      </c>
      <c r="AZ139" s="33">
        <v>4</v>
      </c>
      <c r="BA139" s="33">
        <v>-5.2</v>
      </c>
      <c r="BB139" s="33">
        <v>85.1</v>
      </c>
      <c r="BC139" s="33">
        <v>89.3</v>
      </c>
      <c r="BD139" s="33">
        <v>81.099999999999994</v>
      </c>
      <c r="BE139" s="33">
        <v>10.4</v>
      </c>
      <c r="BF139" s="33">
        <v>-10.4</v>
      </c>
      <c r="BG139" s="33">
        <v>27</v>
      </c>
      <c r="BH139" s="33">
        <v>158.19999999999999</v>
      </c>
      <c r="BI139" s="33">
        <v>32.9</v>
      </c>
      <c r="BJ139" s="34">
        <v>51.069175399999999</v>
      </c>
      <c r="BK139" s="45">
        <v>-75.657079448950952</v>
      </c>
      <c r="BL139" s="33">
        <v>0.57499999999999996</v>
      </c>
      <c r="BM139" s="33">
        <v>100.36369999999999</v>
      </c>
      <c r="BN139" s="33">
        <v>100.3139</v>
      </c>
      <c r="BO139" s="33">
        <v>-9.6999999999999993</v>
      </c>
      <c r="BP139" s="33">
        <v>-16.8</v>
      </c>
      <c r="BQ139" s="33">
        <v>10.8</v>
      </c>
      <c r="BR139" s="33">
        <v>-1.7</v>
      </c>
      <c r="BS139" s="33">
        <v>6.5</v>
      </c>
      <c r="BT139" s="33">
        <v>-6</v>
      </c>
      <c r="BU139" s="33">
        <v>-7.4</v>
      </c>
      <c r="BV139" s="33">
        <v>15.5</v>
      </c>
      <c r="BW139" s="33">
        <v>-5.2</v>
      </c>
      <c r="BX139" s="33">
        <v>-18.5</v>
      </c>
      <c r="BY139" s="33">
        <v>-42.6</v>
      </c>
      <c r="BZ139" s="33">
        <v>99.6</v>
      </c>
      <c r="CA139" s="33">
        <v>-5.2</v>
      </c>
      <c r="CB139" s="33">
        <v>-1</v>
      </c>
      <c r="CC139" s="33">
        <v>6.7</v>
      </c>
      <c r="CD139" s="33">
        <v>-15.4</v>
      </c>
      <c r="CE139" s="33">
        <v>-15.1</v>
      </c>
      <c r="CF139" s="33">
        <v>30.4</v>
      </c>
      <c r="CG139" s="33">
        <v>48.7</v>
      </c>
      <c r="CH139" s="33">
        <v>13.9</v>
      </c>
      <c r="CI139" s="33">
        <v>-15.7</v>
      </c>
      <c r="CJ139" s="33">
        <v>-11.5</v>
      </c>
      <c r="CK139" s="33">
        <v>20.7</v>
      </c>
      <c r="CL139" s="33">
        <v>12.7</v>
      </c>
      <c r="CM139" s="33">
        <v>4199.1585910000003</v>
      </c>
      <c r="CN139" s="33">
        <v>10450.14</v>
      </c>
      <c r="CO139" s="33">
        <v>1185.8499999999999</v>
      </c>
      <c r="CP139" s="33">
        <v>4.8310000000000004</v>
      </c>
      <c r="CQ139" s="33">
        <v>4.87</v>
      </c>
      <c r="CR139" s="33">
        <v>83.9</v>
      </c>
      <c r="CS139" s="121">
        <f t="shared" si="27"/>
        <v>18.950000000000003</v>
      </c>
      <c r="CT139" s="33">
        <v>115.5</v>
      </c>
      <c r="CU139" s="33">
        <v>112.9</v>
      </c>
      <c r="CV139" s="33">
        <v>96.8</v>
      </c>
      <c r="CW139" s="33">
        <v>97</v>
      </c>
      <c r="CX139" s="33">
        <v>104.1</v>
      </c>
      <c r="CY139" s="33">
        <v>5.59</v>
      </c>
      <c r="CZ139" s="33">
        <v>31343.25</v>
      </c>
      <c r="DA139" s="33">
        <v>4.09</v>
      </c>
      <c r="DB139" s="33">
        <v>18.420000000000002</v>
      </c>
      <c r="DC139" s="33">
        <v>29.51</v>
      </c>
      <c r="DD139" s="33">
        <v>8.68</v>
      </c>
      <c r="DE139" s="33">
        <v>6223.067</v>
      </c>
      <c r="DF139" s="33">
        <v>1224.607</v>
      </c>
      <c r="DG139" s="33">
        <v>783.61800000000005</v>
      </c>
      <c r="DH139" s="33">
        <v>1201.2049999999999</v>
      </c>
      <c r="DI139" s="33">
        <v>1043.174</v>
      </c>
      <c r="DJ139" s="33">
        <v>99.464500000000001</v>
      </c>
      <c r="DK139" s="33">
        <v>99.240499999999997</v>
      </c>
      <c r="DL139" s="33">
        <v>98.98</v>
      </c>
      <c r="DM139" s="33">
        <v>98.700100000000006</v>
      </c>
      <c r="DN139" s="33">
        <v>100.3139</v>
      </c>
      <c r="DO139" s="33">
        <v>100.36369999999999</v>
      </c>
      <c r="DP139" s="33">
        <v>98.509200000000007</v>
      </c>
      <c r="DQ139" s="33">
        <v>98.359800000000007</v>
      </c>
      <c r="DR139" s="104">
        <v>77460</v>
      </c>
      <c r="DS139" s="103">
        <v>27918</v>
      </c>
      <c r="DT139" s="104">
        <v>95.218342549130625</v>
      </c>
      <c r="DU139">
        <v>108.43223571777344</v>
      </c>
      <c r="DV139">
        <v>180.8304443359375</v>
      </c>
      <c r="DW139">
        <v>1538</v>
      </c>
      <c r="DX139">
        <v>326275</v>
      </c>
      <c r="DY139" s="102">
        <f t="shared" si="26"/>
        <v>69.7</v>
      </c>
    </row>
    <row r="140" spans="1:129" x14ac:dyDescent="0.25">
      <c r="A140" s="1">
        <v>36982</v>
      </c>
      <c r="B140" s="33">
        <v>83.9</v>
      </c>
      <c r="C140" s="107">
        <v>5.0599999999999996</v>
      </c>
      <c r="D140" s="33">
        <v>4.75</v>
      </c>
      <c r="E140" s="33">
        <v>4.72</v>
      </c>
      <c r="F140" s="33">
        <v>4.49</v>
      </c>
      <c r="G140" s="33">
        <v>4.66</v>
      </c>
      <c r="H140" s="33">
        <v>4.83</v>
      </c>
      <c r="I140" s="33">
        <f t="shared" si="28"/>
        <v>-0.22999999999999954</v>
      </c>
      <c r="J140" s="33">
        <f t="shared" si="29"/>
        <v>8.0000000000000071E-2</v>
      </c>
      <c r="K140" s="33">
        <f t="shared" si="30"/>
        <v>0.11000000000000032</v>
      </c>
      <c r="L140" s="33">
        <f t="shared" si="31"/>
        <v>-0.30999999999999961</v>
      </c>
      <c r="M140" s="33">
        <v>93.3</v>
      </c>
      <c r="N140" s="33">
        <v>5760.76</v>
      </c>
      <c r="O140" s="33">
        <v>28.78</v>
      </c>
      <c r="P140" s="33">
        <v>458.3</v>
      </c>
      <c r="Q140" s="34">
        <f t="shared" si="21"/>
        <v>5.8606138107416879</v>
      </c>
      <c r="R140" s="71">
        <v>1250.6118442773234</v>
      </c>
      <c r="S140" s="34">
        <f t="shared" si="22"/>
        <v>1599.2478827075745</v>
      </c>
      <c r="T140" s="71">
        <v>1323.8538041768415</v>
      </c>
      <c r="U140" s="34">
        <f t="shared" si="23"/>
        <v>1692.9076779755007</v>
      </c>
      <c r="V140" s="116">
        <v>363953</v>
      </c>
      <c r="W140" s="116">
        <v>2124789</v>
      </c>
      <c r="X140" s="117">
        <v>4412550</v>
      </c>
      <c r="Y140" s="117">
        <v>699261</v>
      </c>
      <c r="Z140" s="33">
        <v>78.900000000000006</v>
      </c>
      <c r="AA140" s="33">
        <v>66.7</v>
      </c>
      <c r="AB140" s="33">
        <v>80.5</v>
      </c>
      <c r="AC140" s="33">
        <v>64.7</v>
      </c>
      <c r="AD140" s="33">
        <v>39922</v>
      </c>
      <c r="AE140" s="33">
        <v>9.3000000000000007</v>
      </c>
      <c r="AF140" s="33">
        <v>444</v>
      </c>
      <c r="AG140" s="33">
        <v>76.7</v>
      </c>
      <c r="AH140" s="33">
        <v>78.2</v>
      </c>
      <c r="AI140" s="33">
        <v>85.8</v>
      </c>
      <c r="AJ140" s="33">
        <v>83.7</v>
      </c>
      <c r="AK140" s="33">
        <v>166.97994600000001</v>
      </c>
      <c r="AL140" s="33">
        <v>62.5</v>
      </c>
      <c r="AM140" s="123">
        <v>20.03586249032811</v>
      </c>
      <c r="AN140" s="123">
        <v>36.364528334029437</v>
      </c>
      <c r="AO140" s="123">
        <v>55.684075187028633</v>
      </c>
      <c r="AP140" s="33">
        <v>29.17</v>
      </c>
      <c r="AQ140" s="33">
        <f t="shared" si="24"/>
        <v>0.33997668997669001</v>
      </c>
      <c r="AR140" s="33">
        <v>91.1</v>
      </c>
      <c r="AS140" s="33">
        <v>92.9</v>
      </c>
      <c r="AT140" s="33">
        <v>89.3</v>
      </c>
      <c r="AU140" s="33">
        <v>94.1</v>
      </c>
      <c r="AV140" s="65">
        <v>93.7</v>
      </c>
      <c r="AW140" s="33">
        <v>94.5</v>
      </c>
      <c r="AX140" s="33">
        <v>4.9000000000000004</v>
      </c>
      <c r="AY140" s="33">
        <v>-11.3</v>
      </c>
      <c r="AZ140" s="33">
        <v>-0.2</v>
      </c>
      <c r="BA140" s="33">
        <v>-9.1999999999999993</v>
      </c>
      <c r="BB140" s="33">
        <v>85.6</v>
      </c>
      <c r="BC140" s="33">
        <v>89.4</v>
      </c>
      <c r="BD140" s="33">
        <v>82</v>
      </c>
      <c r="BE140" s="33">
        <v>3.2</v>
      </c>
      <c r="BF140" s="33">
        <v>-4.5</v>
      </c>
      <c r="BG140" s="33">
        <v>19.399999999999999</v>
      </c>
      <c r="BH140" s="33">
        <v>163.30000000000001</v>
      </c>
      <c r="BI140" s="33">
        <v>12.9</v>
      </c>
      <c r="BJ140" s="34">
        <v>49.262531209999999</v>
      </c>
      <c r="BK140" s="45">
        <v>-76.396379402088925</v>
      </c>
      <c r="BL140" s="33">
        <v>0.52100000000000002</v>
      </c>
      <c r="BM140" s="33">
        <v>99.887600000000006</v>
      </c>
      <c r="BN140" s="33">
        <v>99.904899999999998</v>
      </c>
      <c r="BO140" s="33">
        <v>-16.399999999999999</v>
      </c>
      <c r="BP140" s="33">
        <v>-20.8</v>
      </c>
      <c r="BQ140" s="33">
        <v>11</v>
      </c>
      <c r="BR140" s="33">
        <v>-7.5</v>
      </c>
      <c r="BS140" s="33">
        <v>3</v>
      </c>
      <c r="BT140" s="33">
        <v>-9.1999999999999993</v>
      </c>
      <c r="BU140" s="33">
        <v>-11.6</v>
      </c>
      <c r="BV140" s="33">
        <v>20.5</v>
      </c>
      <c r="BW140" s="33">
        <v>-6.1</v>
      </c>
      <c r="BX140" s="33">
        <v>-22.3</v>
      </c>
      <c r="BY140" s="33">
        <v>-43.8</v>
      </c>
      <c r="BZ140" s="33">
        <v>99.3</v>
      </c>
      <c r="CA140" s="33">
        <v>-6.1</v>
      </c>
      <c r="CB140" s="33">
        <v>-0.8</v>
      </c>
      <c r="CC140" s="33">
        <v>6.3</v>
      </c>
      <c r="CD140" s="33">
        <v>-14.9</v>
      </c>
      <c r="CE140" s="33">
        <v>-18</v>
      </c>
      <c r="CF140" s="33">
        <v>33.5</v>
      </c>
      <c r="CG140" s="33">
        <v>50.8</v>
      </c>
      <c r="CH140" s="33">
        <v>16.600000000000001</v>
      </c>
      <c r="CI140" s="33">
        <v>-11</v>
      </c>
      <c r="CJ140" s="33">
        <v>-11.8</v>
      </c>
      <c r="CK140" s="33">
        <v>19.7</v>
      </c>
      <c r="CL140" s="33">
        <v>15.1</v>
      </c>
      <c r="CM140" s="33">
        <v>4307.6379999999999</v>
      </c>
      <c r="CN140" s="33">
        <v>9777.93</v>
      </c>
      <c r="CO140" s="33">
        <v>1189.5357140000001</v>
      </c>
      <c r="CP140" s="33">
        <v>4.7839999999999998</v>
      </c>
      <c r="CQ140" s="33">
        <v>4.9800000000000004</v>
      </c>
      <c r="CR140" s="33">
        <v>82.2</v>
      </c>
      <c r="CS140" s="121">
        <f t="shared" si="27"/>
        <v>20.950000000000003</v>
      </c>
      <c r="CT140" s="33">
        <v>111.3</v>
      </c>
      <c r="CU140" s="33">
        <v>107.5</v>
      </c>
      <c r="CV140" s="33">
        <v>95.4</v>
      </c>
      <c r="CW140" s="33">
        <v>104.3</v>
      </c>
      <c r="CX140" s="33">
        <v>102</v>
      </c>
      <c r="CY140" s="33">
        <v>5.77</v>
      </c>
      <c r="CZ140" s="33">
        <v>30211.714</v>
      </c>
      <c r="DA140" s="33">
        <v>3.71</v>
      </c>
      <c r="DB140" s="33">
        <v>20.28</v>
      </c>
      <c r="DC140" s="33">
        <v>30.1</v>
      </c>
      <c r="DD140" s="33">
        <v>9.19</v>
      </c>
      <c r="DE140" s="33">
        <v>5365.665</v>
      </c>
      <c r="DF140" s="33">
        <v>1024.7239999999999</v>
      </c>
      <c r="DG140" s="33">
        <v>724.53899999999999</v>
      </c>
      <c r="DH140" s="33">
        <v>983.38</v>
      </c>
      <c r="DI140" s="33">
        <v>984.63599999999997</v>
      </c>
      <c r="DJ140" s="33">
        <v>99.345200000000006</v>
      </c>
      <c r="DK140" s="33">
        <v>99.096800000000002</v>
      </c>
      <c r="DL140" s="33">
        <v>98.94</v>
      </c>
      <c r="DM140" s="33">
        <v>98.653099999999995</v>
      </c>
      <c r="DN140" s="33">
        <v>99.904899999999998</v>
      </c>
      <c r="DO140" s="33">
        <v>99.887600000000006</v>
      </c>
      <c r="DP140" s="33">
        <v>98.4328</v>
      </c>
      <c r="DQ140" s="33">
        <v>98.275700000000001</v>
      </c>
      <c r="DR140" s="104">
        <v>75611</v>
      </c>
      <c r="DS140" s="103">
        <v>27967</v>
      </c>
      <c r="DT140" s="104">
        <v>94.291192183511043</v>
      </c>
      <c r="DU140">
        <v>97.056587219238281</v>
      </c>
      <c r="DV140">
        <v>92.082717895507813</v>
      </c>
      <c r="DW140">
        <v>1430</v>
      </c>
      <c r="DX140">
        <v>401700</v>
      </c>
      <c r="DY140" s="102">
        <f t="shared" si="26"/>
        <v>67.8</v>
      </c>
    </row>
    <row r="141" spans="1:129" x14ac:dyDescent="0.25">
      <c r="A141" s="1">
        <v>37012</v>
      </c>
      <c r="B141" s="33">
        <v>85.3</v>
      </c>
      <c r="C141" s="107">
        <v>4.6500000000000004</v>
      </c>
      <c r="D141" s="33">
        <v>4.5</v>
      </c>
      <c r="E141" s="33">
        <v>4.68</v>
      </c>
      <c r="F141" s="33">
        <v>4.6399999999999997</v>
      </c>
      <c r="G141" s="33">
        <v>4.8600000000000003</v>
      </c>
      <c r="H141" s="33">
        <v>5.05</v>
      </c>
      <c r="I141" s="33">
        <f t="shared" si="28"/>
        <v>0.39999999999999947</v>
      </c>
      <c r="J141" s="33">
        <f t="shared" si="29"/>
        <v>0.54999999999999982</v>
      </c>
      <c r="K141" s="33">
        <f t="shared" si="30"/>
        <v>0.37000000000000011</v>
      </c>
      <c r="L141" s="33">
        <f t="shared" si="31"/>
        <v>-0.15000000000000036</v>
      </c>
      <c r="M141" s="33">
        <v>92.6</v>
      </c>
      <c r="N141" s="33">
        <v>6264.51</v>
      </c>
      <c r="O141" s="33">
        <v>20.65</v>
      </c>
      <c r="P141" s="33">
        <v>464.7</v>
      </c>
      <c r="Q141" s="34">
        <f t="shared" si="21"/>
        <v>5.9197452229299365</v>
      </c>
      <c r="R141" s="71">
        <v>1253.3769970284702</v>
      </c>
      <c r="S141" s="34">
        <f t="shared" si="22"/>
        <v>1596.6585949407265</v>
      </c>
      <c r="T141" s="71">
        <v>1329.1880834280937</v>
      </c>
      <c r="U141" s="34">
        <f t="shared" si="23"/>
        <v>1693.2332272969347</v>
      </c>
      <c r="V141" s="116">
        <v>361659</v>
      </c>
      <c r="W141" s="116">
        <v>2142955</v>
      </c>
      <c r="X141" s="117">
        <v>4429759</v>
      </c>
      <c r="Y141" s="117">
        <v>712244</v>
      </c>
      <c r="Z141" s="33">
        <v>79.8</v>
      </c>
      <c r="AA141" s="33">
        <v>68.900000000000006</v>
      </c>
      <c r="AB141" s="33">
        <v>81.3</v>
      </c>
      <c r="AC141" s="33">
        <v>66.3</v>
      </c>
      <c r="AD141" s="33">
        <v>39924</v>
      </c>
      <c r="AE141" s="33">
        <v>9.1999999999999993</v>
      </c>
      <c r="AF141" s="33">
        <v>436</v>
      </c>
      <c r="AG141" s="33">
        <v>77.2</v>
      </c>
      <c r="AH141" s="33">
        <v>78.5</v>
      </c>
      <c r="AI141" s="33">
        <v>86.5</v>
      </c>
      <c r="AJ141" s="33">
        <v>83.8</v>
      </c>
      <c r="AK141" s="33">
        <v>167.33598000000001</v>
      </c>
      <c r="AL141" s="33">
        <v>63</v>
      </c>
      <c r="AM141" s="123">
        <v>21.995892516555859</v>
      </c>
      <c r="AN141" s="123">
        <v>40.078352504313294</v>
      </c>
      <c r="AO141" s="123">
        <v>56.036506042642735</v>
      </c>
      <c r="AP141" s="33">
        <v>32.520000000000003</v>
      </c>
      <c r="AQ141" s="33">
        <f t="shared" si="24"/>
        <v>0.37595375722543356</v>
      </c>
      <c r="AR141" s="33">
        <v>88.7</v>
      </c>
      <c r="AS141" s="33">
        <v>91.1</v>
      </c>
      <c r="AT141" s="33">
        <v>86.3</v>
      </c>
      <c r="AU141" s="33">
        <v>92.3</v>
      </c>
      <c r="AV141" s="65">
        <v>92.3</v>
      </c>
      <c r="AW141" s="33">
        <v>92.3</v>
      </c>
      <c r="AX141" s="33">
        <v>-4.4000000000000004</v>
      </c>
      <c r="AY141" s="33">
        <v>-9.8000000000000007</v>
      </c>
      <c r="AZ141" s="33">
        <v>-5</v>
      </c>
      <c r="BA141" s="33">
        <v>-11.7</v>
      </c>
      <c r="BB141" s="33">
        <v>81.599999999999994</v>
      </c>
      <c r="BC141" s="33">
        <v>86.7</v>
      </c>
      <c r="BD141" s="33">
        <v>76.8</v>
      </c>
      <c r="BE141" s="33">
        <v>-6.3</v>
      </c>
      <c r="BF141" s="33">
        <v>-4.3</v>
      </c>
      <c r="BG141" s="33">
        <v>10.4</v>
      </c>
      <c r="BH141" s="33">
        <v>163.30000000000001</v>
      </c>
      <c r="BI141" s="33">
        <v>2</v>
      </c>
      <c r="BJ141" s="34">
        <v>48.822628280000004</v>
      </c>
      <c r="BK141" s="45">
        <v>-70.168748198167748</v>
      </c>
      <c r="BL141" s="33">
        <v>0.45500000000000002</v>
      </c>
      <c r="BM141" s="33">
        <v>99.434200000000004</v>
      </c>
      <c r="BN141" s="33">
        <v>99.5154</v>
      </c>
      <c r="BO141" s="33">
        <v>-16.3</v>
      </c>
      <c r="BP141" s="33">
        <v>-20.399999999999999</v>
      </c>
      <c r="BQ141" s="33">
        <v>12.7</v>
      </c>
      <c r="BR141" s="33">
        <v>-9.1</v>
      </c>
      <c r="BS141" s="33">
        <v>2.5</v>
      </c>
      <c r="BT141" s="33">
        <v>-10.3</v>
      </c>
      <c r="BU141" s="33">
        <v>-12.7</v>
      </c>
      <c r="BV141" s="33">
        <v>21.7</v>
      </c>
      <c r="BW141" s="33">
        <v>-7.6</v>
      </c>
      <c r="BX141" s="33">
        <v>-24.3</v>
      </c>
      <c r="BY141" s="33">
        <v>-44.2</v>
      </c>
      <c r="BZ141" s="33">
        <v>98.5</v>
      </c>
      <c r="CA141" s="33">
        <v>-7.6</v>
      </c>
      <c r="CB141" s="33">
        <v>-2.9</v>
      </c>
      <c r="CC141" s="33">
        <v>5</v>
      </c>
      <c r="CD141" s="33">
        <v>-20.7</v>
      </c>
      <c r="CE141" s="33">
        <v>-19.5</v>
      </c>
      <c r="CF141" s="33">
        <v>49</v>
      </c>
      <c r="CG141" s="33">
        <v>57.1</v>
      </c>
      <c r="CH141" s="33">
        <v>20.7</v>
      </c>
      <c r="CI141" s="33">
        <v>-12.9</v>
      </c>
      <c r="CJ141" s="33">
        <v>-13</v>
      </c>
      <c r="CK141" s="33">
        <v>16.3</v>
      </c>
      <c r="CL141" s="33">
        <v>10.8</v>
      </c>
      <c r="CM141" s="33">
        <v>4481.866696</v>
      </c>
      <c r="CN141" s="33">
        <v>10898.34</v>
      </c>
      <c r="CO141" s="33">
        <v>1270.696087</v>
      </c>
      <c r="CP141" s="33">
        <v>5.0839999999999996</v>
      </c>
      <c r="CQ141" s="33">
        <v>5.3</v>
      </c>
      <c r="CR141" s="33">
        <v>85.4</v>
      </c>
      <c r="CS141" s="121">
        <f t="shared" si="27"/>
        <v>25.150000000000006</v>
      </c>
      <c r="CT141" s="33">
        <v>107</v>
      </c>
      <c r="CU141" s="33">
        <v>106.4</v>
      </c>
      <c r="CV141" s="33">
        <v>89</v>
      </c>
      <c r="CW141" s="33">
        <v>100.3</v>
      </c>
      <c r="CX141" s="33">
        <v>96.4</v>
      </c>
      <c r="CY141" s="33">
        <v>5.69</v>
      </c>
      <c r="CZ141" s="33">
        <v>29934.653999999999</v>
      </c>
      <c r="DA141" s="33">
        <v>4.0999999999999996</v>
      </c>
      <c r="DB141" s="33">
        <v>19.690000000000001</v>
      </c>
      <c r="DC141" s="33">
        <v>29.2</v>
      </c>
      <c r="DD141" s="33">
        <v>8.82</v>
      </c>
      <c r="DE141" s="33">
        <v>6122.8729999999996</v>
      </c>
      <c r="DF141" s="33">
        <v>1134.076</v>
      </c>
      <c r="DG141" s="33">
        <v>833.74599999999998</v>
      </c>
      <c r="DH141" s="33">
        <v>1111.354</v>
      </c>
      <c r="DI141" s="33">
        <v>1057.5640000000001</v>
      </c>
      <c r="DJ141" s="33">
        <v>99.234300000000005</v>
      </c>
      <c r="DK141" s="33">
        <v>98.970299999999995</v>
      </c>
      <c r="DL141" s="33">
        <v>98.87</v>
      </c>
      <c r="DM141" s="33">
        <v>98.566999999999993</v>
      </c>
      <c r="DN141" s="33">
        <v>99.5154</v>
      </c>
      <c r="DO141" s="33">
        <v>99.434200000000004</v>
      </c>
      <c r="DP141" s="33">
        <v>98.408900000000003</v>
      </c>
      <c r="DQ141" s="33">
        <v>98.249499999999998</v>
      </c>
      <c r="DR141" s="104">
        <v>77411</v>
      </c>
      <c r="DS141" s="103">
        <v>27987</v>
      </c>
      <c r="DT141" s="104">
        <v>93.734901964139283</v>
      </c>
      <c r="DU141">
        <v>75.266983032226563</v>
      </c>
      <c r="DV141">
        <v>73.977577209472656</v>
      </c>
      <c r="DW141">
        <v>1453</v>
      </c>
      <c r="DX141">
        <v>448225</v>
      </c>
      <c r="DY141" s="102">
        <f t="shared" si="26"/>
        <v>66.400000000000006</v>
      </c>
    </row>
    <row r="142" spans="1:129" x14ac:dyDescent="0.25">
      <c r="A142" s="1">
        <v>37043</v>
      </c>
      <c r="B142" s="33">
        <v>85.2</v>
      </c>
      <c r="C142" s="107">
        <v>4.54</v>
      </c>
      <c r="D142" s="33">
        <v>4.5</v>
      </c>
      <c r="E142" s="33">
        <v>4.59</v>
      </c>
      <c r="F142" s="33">
        <v>4.5</v>
      </c>
      <c r="G142" s="33">
        <v>4.78</v>
      </c>
      <c r="H142" s="33">
        <v>5</v>
      </c>
      <c r="I142" s="33">
        <f t="shared" si="28"/>
        <v>0.45999999999999996</v>
      </c>
      <c r="J142" s="33">
        <f t="shared" si="29"/>
        <v>0.5</v>
      </c>
      <c r="K142" s="33">
        <f t="shared" si="30"/>
        <v>0.41000000000000014</v>
      </c>
      <c r="L142" s="33">
        <f t="shared" si="31"/>
        <v>-4.0000000000000036E-2</v>
      </c>
      <c r="M142" s="33">
        <v>92</v>
      </c>
      <c r="N142" s="33">
        <v>6125.17</v>
      </c>
      <c r="O142" s="33">
        <v>20.05</v>
      </c>
      <c r="P142" s="33">
        <v>470.7</v>
      </c>
      <c r="Q142" s="34">
        <f t="shared" si="21"/>
        <v>5.9885496183206106</v>
      </c>
      <c r="R142" s="71">
        <v>1265.4864590765962</v>
      </c>
      <c r="S142" s="34">
        <f t="shared" si="22"/>
        <v>1610.0336629473236</v>
      </c>
      <c r="T142" s="71">
        <v>1342.6190365428538</v>
      </c>
      <c r="U142" s="34">
        <f t="shared" si="23"/>
        <v>1708.1667131588472</v>
      </c>
      <c r="V142" s="116">
        <v>352942</v>
      </c>
      <c r="W142" s="116">
        <v>2158667</v>
      </c>
      <c r="X142" s="117">
        <v>4467986</v>
      </c>
      <c r="Y142" s="117">
        <v>724187</v>
      </c>
      <c r="Z142" s="33">
        <v>80</v>
      </c>
      <c r="AA142" s="33">
        <v>69.099999999999994</v>
      </c>
      <c r="AB142" s="33">
        <v>82.9</v>
      </c>
      <c r="AC142" s="33">
        <v>66.900000000000006</v>
      </c>
      <c r="AD142" s="33">
        <v>39867</v>
      </c>
      <c r="AE142" s="33">
        <v>9.3000000000000007</v>
      </c>
      <c r="AF142" s="33">
        <v>433</v>
      </c>
      <c r="AG142" s="33">
        <v>77.3</v>
      </c>
      <c r="AH142" s="33">
        <v>78.599999999999994</v>
      </c>
      <c r="AI142" s="33">
        <v>87</v>
      </c>
      <c r="AJ142" s="33">
        <v>83.8</v>
      </c>
      <c r="AK142" s="33">
        <v>167.51399699999999</v>
      </c>
      <c r="AL142" s="33">
        <v>62.8</v>
      </c>
      <c r="AM142" s="123">
        <v>23.754329926715307</v>
      </c>
      <c r="AN142" s="123">
        <v>40.268072516168019</v>
      </c>
      <c r="AO142" s="123">
        <v>57.198347475743773</v>
      </c>
      <c r="AP142" s="33">
        <v>32.840000000000003</v>
      </c>
      <c r="AQ142" s="33">
        <f t="shared" si="24"/>
        <v>0.37747126436781614</v>
      </c>
      <c r="AR142" s="33">
        <v>87.8</v>
      </c>
      <c r="AS142" s="33">
        <v>89.7</v>
      </c>
      <c r="AT142" s="33">
        <v>85.9</v>
      </c>
      <c r="AU142" s="33">
        <v>90.4</v>
      </c>
      <c r="AV142" s="65">
        <v>90.1</v>
      </c>
      <c r="AW142" s="33">
        <v>90.7</v>
      </c>
      <c r="AX142" s="33">
        <v>-5.5</v>
      </c>
      <c r="AY142" s="33">
        <v>-8.1999999999999993</v>
      </c>
      <c r="AZ142" s="33">
        <v>-11</v>
      </c>
      <c r="BA142" s="33">
        <v>-16.399999999999999</v>
      </c>
      <c r="BB142" s="33">
        <v>81.2</v>
      </c>
      <c r="BC142" s="33">
        <v>83.9</v>
      </c>
      <c r="BD142" s="33">
        <v>78.5</v>
      </c>
      <c r="BE142" s="33">
        <v>-19.100000000000001</v>
      </c>
      <c r="BF142" s="33">
        <v>-8.1</v>
      </c>
      <c r="BG142" s="33">
        <v>-9.6</v>
      </c>
      <c r="BH142" s="33">
        <v>167.4</v>
      </c>
      <c r="BI142" s="33">
        <v>1.2</v>
      </c>
      <c r="BJ142" s="34">
        <v>46.627427189999999</v>
      </c>
      <c r="BK142" s="45">
        <v>-42.492058511637254</v>
      </c>
      <c r="BL142" s="33">
        <v>0.34499999999999997</v>
      </c>
      <c r="BM142" s="33">
        <v>99.012699999999995</v>
      </c>
      <c r="BN142" s="33">
        <v>99.153300000000002</v>
      </c>
      <c r="BO142" s="33">
        <v>-21</v>
      </c>
      <c r="BP142" s="33">
        <v>-24.5</v>
      </c>
      <c r="BQ142" s="33">
        <v>15.2</v>
      </c>
      <c r="BR142" s="33">
        <v>-10.6</v>
      </c>
      <c r="BS142" s="33">
        <v>-0.1</v>
      </c>
      <c r="BT142" s="33">
        <v>-13.3</v>
      </c>
      <c r="BU142" s="33">
        <v>-15.6</v>
      </c>
      <c r="BV142" s="33">
        <v>19.5</v>
      </c>
      <c r="BW142" s="33">
        <v>-10.199999999999999</v>
      </c>
      <c r="BX142" s="33">
        <v>-23.4</v>
      </c>
      <c r="BY142" s="33">
        <v>-45</v>
      </c>
      <c r="BZ142" s="33">
        <v>95.6</v>
      </c>
      <c r="CA142" s="33">
        <v>-10.199999999999999</v>
      </c>
      <c r="CB142" s="33">
        <v>-4.9000000000000004</v>
      </c>
      <c r="CC142" s="33">
        <v>2.8</v>
      </c>
      <c r="CD142" s="33">
        <v>-27.6</v>
      </c>
      <c r="CE142" s="33">
        <v>-23.9</v>
      </c>
      <c r="CF142" s="33">
        <v>49.4</v>
      </c>
      <c r="CG142" s="33">
        <v>58.9</v>
      </c>
      <c r="CH142" s="33">
        <v>24.8</v>
      </c>
      <c r="CI142" s="33">
        <v>-17</v>
      </c>
      <c r="CJ142" s="33">
        <v>-15</v>
      </c>
      <c r="CK142" s="33">
        <v>14.6</v>
      </c>
      <c r="CL142" s="33">
        <v>10.7</v>
      </c>
      <c r="CM142" s="33">
        <v>4289.6787619999996</v>
      </c>
      <c r="CN142" s="33">
        <v>10990.41</v>
      </c>
      <c r="CO142" s="33">
        <v>1238.7123810000001</v>
      </c>
      <c r="CP142" s="33">
        <v>5.1289999999999996</v>
      </c>
      <c r="CQ142" s="33">
        <v>5.39</v>
      </c>
      <c r="CR142" s="33">
        <v>86.9</v>
      </c>
      <c r="CS142" s="121">
        <f t="shared" si="27"/>
        <v>29.450000000000003</v>
      </c>
      <c r="CT142" s="33">
        <v>107.8</v>
      </c>
      <c r="CU142" s="33">
        <v>107.9</v>
      </c>
      <c r="CV142" s="33">
        <v>90.3</v>
      </c>
      <c r="CW142" s="33">
        <v>98.3</v>
      </c>
      <c r="CX142" s="33">
        <v>95.8</v>
      </c>
      <c r="CY142" s="33">
        <v>6.1</v>
      </c>
      <c r="CZ142" s="33">
        <v>30087.677</v>
      </c>
      <c r="DA142" s="33">
        <v>4.03</v>
      </c>
      <c r="DB142" s="33">
        <v>19.940000000000001</v>
      </c>
      <c r="DC142" s="33">
        <v>29.58</v>
      </c>
      <c r="DD142" s="33">
        <v>8.8699999999999992</v>
      </c>
      <c r="DE142" s="33">
        <v>5491.7120000000004</v>
      </c>
      <c r="DF142" s="33">
        <v>1128.6880000000001</v>
      </c>
      <c r="DG142" s="33">
        <v>841.63499999999999</v>
      </c>
      <c r="DH142" s="33">
        <v>1069.5260000000001</v>
      </c>
      <c r="DI142" s="33">
        <v>926.48099999999999</v>
      </c>
      <c r="DJ142" s="33">
        <v>99.115300000000005</v>
      </c>
      <c r="DK142" s="33">
        <v>98.836399999999998</v>
      </c>
      <c r="DL142" s="33">
        <v>98.77</v>
      </c>
      <c r="DM142" s="33">
        <v>98.433899999999994</v>
      </c>
      <c r="DN142" s="33">
        <v>99.153300000000002</v>
      </c>
      <c r="DO142" s="33">
        <v>99.012699999999995</v>
      </c>
      <c r="DP142" s="33">
        <v>98.388000000000005</v>
      </c>
      <c r="DQ142" s="33">
        <v>98.226500000000001</v>
      </c>
      <c r="DR142" s="104">
        <v>82033</v>
      </c>
      <c r="DS142" s="103">
        <v>27858</v>
      </c>
      <c r="DT142" s="104">
        <v>93.364041817891476</v>
      </c>
      <c r="DU142">
        <v>80.029228210449219</v>
      </c>
      <c r="DV142">
        <v>69.789833068847656</v>
      </c>
      <c r="DW142">
        <v>1382</v>
      </c>
      <c r="DX142">
        <v>430850</v>
      </c>
      <c r="DY142" s="102">
        <f t="shared" si="26"/>
        <v>67.8</v>
      </c>
    </row>
    <row r="143" spans="1:129" x14ac:dyDescent="0.25">
      <c r="A143" s="1">
        <v>37073</v>
      </c>
      <c r="B143" s="33">
        <v>83.1</v>
      </c>
      <c r="C143" s="107">
        <v>4.51</v>
      </c>
      <c r="D143" s="33">
        <v>4.5</v>
      </c>
      <c r="E143" s="33">
        <v>4.5199999999999996</v>
      </c>
      <c r="F143" s="33">
        <v>4.49</v>
      </c>
      <c r="G143" s="33">
        <v>4.8099999999999996</v>
      </c>
      <c r="H143" s="33">
        <v>5.0199999999999996</v>
      </c>
      <c r="I143" s="33">
        <f t="shared" si="28"/>
        <v>0.50999999999999979</v>
      </c>
      <c r="J143" s="33">
        <f t="shared" si="29"/>
        <v>0.51999999999999957</v>
      </c>
      <c r="K143" s="33">
        <f t="shared" si="30"/>
        <v>0.5</v>
      </c>
      <c r="L143" s="33">
        <f t="shared" si="31"/>
        <v>-9.9999999999997868E-3</v>
      </c>
      <c r="M143" s="33">
        <v>92</v>
      </c>
      <c r="N143" s="33">
        <v>6109.5</v>
      </c>
      <c r="O143" s="33">
        <v>19.510000000000002</v>
      </c>
      <c r="P143" s="33">
        <v>471.1</v>
      </c>
      <c r="Q143" s="34">
        <f t="shared" si="21"/>
        <v>5.9860228716645487</v>
      </c>
      <c r="R143" s="71">
        <v>1266.5353101201349</v>
      </c>
      <c r="S143" s="34">
        <f t="shared" si="22"/>
        <v>1609.3205973572235</v>
      </c>
      <c r="T143" s="71">
        <v>1347.4770408609586</v>
      </c>
      <c r="U143" s="34">
        <f t="shared" si="23"/>
        <v>1712.1690481079527</v>
      </c>
      <c r="V143" s="116">
        <v>350839</v>
      </c>
      <c r="W143" s="116">
        <v>2157872</v>
      </c>
      <c r="X143" s="117">
        <v>4481145</v>
      </c>
      <c r="Y143" s="117">
        <v>732945</v>
      </c>
      <c r="Z143" s="33">
        <v>78</v>
      </c>
      <c r="AA143" s="33">
        <v>67</v>
      </c>
      <c r="AB143" s="33">
        <v>81.599999999999994</v>
      </c>
      <c r="AC143" s="33">
        <v>64.599999999999994</v>
      </c>
      <c r="AD143" s="33">
        <v>39827</v>
      </c>
      <c r="AE143" s="33">
        <v>9.3000000000000007</v>
      </c>
      <c r="AF143" s="33">
        <v>426</v>
      </c>
      <c r="AG143" s="33">
        <v>77.2</v>
      </c>
      <c r="AH143" s="33">
        <v>78.7</v>
      </c>
      <c r="AI143" s="33">
        <v>85.8</v>
      </c>
      <c r="AJ143" s="33">
        <v>83.8</v>
      </c>
      <c r="AK143" s="33">
        <v>166.62391199999999</v>
      </c>
      <c r="AL143" s="33">
        <v>84.2</v>
      </c>
      <c r="AM143" s="123">
        <v>21.827589832659513</v>
      </c>
      <c r="AN143" s="123">
        <v>36.697292581507824</v>
      </c>
      <c r="AO143" s="123">
        <v>56.506083058488187</v>
      </c>
      <c r="AP143" s="33">
        <v>29.05</v>
      </c>
      <c r="AQ143" s="33">
        <f t="shared" si="24"/>
        <v>0.33857808857808858</v>
      </c>
      <c r="AR143" s="33">
        <v>87.4</v>
      </c>
      <c r="AS143" s="33">
        <v>90.5</v>
      </c>
      <c r="AT143" s="33">
        <v>84.4</v>
      </c>
      <c r="AU143" s="33">
        <v>90</v>
      </c>
      <c r="AV143" s="65">
        <v>91</v>
      </c>
      <c r="AW143" s="33">
        <v>89.1</v>
      </c>
      <c r="AX143" s="33">
        <v>-7.9</v>
      </c>
      <c r="AY143" s="33">
        <v>-5.8</v>
      </c>
      <c r="AZ143" s="33">
        <v>-8</v>
      </c>
      <c r="BA143" s="33">
        <v>-10.7</v>
      </c>
      <c r="BB143" s="33">
        <v>83.1</v>
      </c>
      <c r="BC143" s="33">
        <v>88.4</v>
      </c>
      <c r="BD143" s="33">
        <v>78.099999999999994</v>
      </c>
      <c r="BE143" s="33">
        <v>-42.2</v>
      </c>
      <c r="BF143" s="33">
        <v>-1.9</v>
      </c>
      <c r="BG143" s="33">
        <v>-15.8</v>
      </c>
      <c r="BH143" s="33">
        <v>169.6</v>
      </c>
      <c r="BI143" s="33">
        <v>1.3</v>
      </c>
      <c r="BJ143" s="34">
        <v>46.306216769999999</v>
      </c>
      <c r="BK143" s="45">
        <v>-43.894420365340139</v>
      </c>
      <c r="BL143" s="33">
        <v>0.224</v>
      </c>
      <c r="BM143" s="33">
        <v>98.653000000000006</v>
      </c>
      <c r="BN143" s="33">
        <v>98.844200000000001</v>
      </c>
      <c r="BO143" s="33">
        <v>-21.1</v>
      </c>
      <c r="BP143" s="33">
        <v>-24.9</v>
      </c>
      <c r="BQ143" s="33">
        <v>14.1</v>
      </c>
      <c r="BR143" s="33">
        <v>-6.2</v>
      </c>
      <c r="BS143" s="33">
        <v>3.6</v>
      </c>
      <c r="BT143" s="33">
        <v>-16.399999999999999</v>
      </c>
      <c r="BU143" s="33">
        <v>-13.8</v>
      </c>
      <c r="BV143" s="33">
        <v>11.1</v>
      </c>
      <c r="BW143" s="33">
        <v>-10.199999999999999</v>
      </c>
      <c r="BX143" s="33">
        <v>-25.2</v>
      </c>
      <c r="BY143" s="33">
        <v>-43.3</v>
      </c>
      <c r="BZ143" s="33">
        <v>94</v>
      </c>
      <c r="CA143" s="33">
        <v>-10.199999999999999</v>
      </c>
      <c r="CB143" s="33">
        <v>-5.5</v>
      </c>
      <c r="CC143" s="33">
        <v>2.4</v>
      </c>
      <c r="CD143" s="33">
        <v>-34.799999999999997</v>
      </c>
      <c r="CE143" s="33">
        <v>-25</v>
      </c>
      <c r="CF143" s="33">
        <v>48.6</v>
      </c>
      <c r="CG143" s="33">
        <v>52.8</v>
      </c>
      <c r="CH143" s="33">
        <v>28.4</v>
      </c>
      <c r="CI143" s="33">
        <v>-14</v>
      </c>
      <c r="CJ143" s="33">
        <v>-13</v>
      </c>
      <c r="CK143" s="33">
        <v>13.1</v>
      </c>
      <c r="CL143" s="33">
        <v>10.9</v>
      </c>
      <c r="CM143" s="33">
        <v>4037.8258639999999</v>
      </c>
      <c r="CN143" s="33">
        <v>10593.72</v>
      </c>
      <c r="CO143" s="33">
        <v>1205.812727</v>
      </c>
      <c r="CP143" s="33">
        <v>5.3319999999999999</v>
      </c>
      <c r="CQ143" s="33">
        <v>5.37</v>
      </c>
      <c r="CR143" s="33">
        <v>88.4</v>
      </c>
      <c r="CS143" s="121">
        <f t="shared" si="27"/>
        <v>28.650000000000006</v>
      </c>
      <c r="CT143" s="33">
        <v>104.8</v>
      </c>
      <c r="CU143" s="33">
        <v>107.4</v>
      </c>
      <c r="CV143" s="33">
        <v>88</v>
      </c>
      <c r="CW143" s="33">
        <v>101.1</v>
      </c>
      <c r="CX143" s="33">
        <v>95.4</v>
      </c>
      <c r="CY143" s="33">
        <v>5.93</v>
      </c>
      <c r="CZ143" s="33">
        <v>29942.21</v>
      </c>
      <c r="DA143" s="33">
        <v>3.96</v>
      </c>
      <c r="DB143" s="33">
        <v>19.68</v>
      </c>
      <c r="DC143" s="33">
        <v>30.24</v>
      </c>
      <c r="DD143" s="33">
        <v>9.0299999999999994</v>
      </c>
      <c r="DE143" s="33">
        <v>6159.5360000000001</v>
      </c>
      <c r="DF143" s="33">
        <v>1223.038</v>
      </c>
      <c r="DG143" s="33">
        <v>936.58600000000001</v>
      </c>
      <c r="DH143" s="33">
        <v>1174.941</v>
      </c>
      <c r="DI143" s="33">
        <v>1056.732</v>
      </c>
      <c r="DJ143" s="33">
        <v>98.993300000000005</v>
      </c>
      <c r="DK143" s="33">
        <v>98.699799999999996</v>
      </c>
      <c r="DL143" s="33">
        <v>98.62</v>
      </c>
      <c r="DM143" s="33">
        <v>98.250600000000006</v>
      </c>
      <c r="DN143" s="33">
        <v>98.844200000000001</v>
      </c>
      <c r="DO143" s="33">
        <v>98.653000000000006</v>
      </c>
      <c r="DP143" s="33">
        <v>98.347700000000003</v>
      </c>
      <c r="DQ143" s="33">
        <v>98.182100000000005</v>
      </c>
      <c r="DR143" s="104">
        <v>83132</v>
      </c>
      <c r="DS143" s="103">
        <v>27833</v>
      </c>
      <c r="DT143" s="104">
        <v>92.344176415709924</v>
      </c>
      <c r="DU143">
        <v>98.433158874511719</v>
      </c>
      <c r="DV143">
        <v>106.67740631103516</v>
      </c>
      <c r="DW143">
        <v>1380</v>
      </c>
      <c r="DX143">
        <v>473275</v>
      </c>
      <c r="DY143" s="102">
        <f t="shared" si="26"/>
        <v>67.7</v>
      </c>
    </row>
    <row r="144" spans="1:129" x14ac:dyDescent="0.25">
      <c r="A144" s="1">
        <v>37104</v>
      </c>
      <c r="B144" s="33">
        <v>85.2</v>
      </c>
      <c r="C144" s="107">
        <v>4.49</v>
      </c>
      <c r="D144" s="33">
        <v>4.25</v>
      </c>
      <c r="E144" s="33">
        <v>4.43</v>
      </c>
      <c r="F144" s="33">
        <v>4.28</v>
      </c>
      <c r="G144" s="33">
        <v>4.6100000000000003</v>
      </c>
      <c r="H144" s="33">
        <v>4.82</v>
      </c>
      <c r="I144" s="33">
        <f t="shared" si="28"/>
        <v>0.33000000000000007</v>
      </c>
      <c r="J144" s="33">
        <f t="shared" si="29"/>
        <v>0.57000000000000028</v>
      </c>
      <c r="K144" s="33">
        <f t="shared" si="30"/>
        <v>0.39000000000000057</v>
      </c>
      <c r="L144" s="33">
        <f t="shared" si="31"/>
        <v>-0.24000000000000021</v>
      </c>
      <c r="M144" s="33">
        <v>93.2</v>
      </c>
      <c r="N144" s="33">
        <v>5835.23</v>
      </c>
      <c r="O144" s="33">
        <v>20.56</v>
      </c>
      <c r="P144" s="33">
        <v>480.2</v>
      </c>
      <c r="Q144" s="34">
        <f t="shared" si="21"/>
        <v>6.093908629441624</v>
      </c>
      <c r="R144" s="71">
        <v>1271.588865148093</v>
      </c>
      <c r="S144" s="34">
        <f t="shared" si="22"/>
        <v>1613.6914532336207</v>
      </c>
      <c r="T144" s="71">
        <v>1356.9072845372793</v>
      </c>
      <c r="U144" s="34">
        <f t="shared" si="23"/>
        <v>1721.9635590574612</v>
      </c>
      <c r="V144" s="116">
        <v>348271</v>
      </c>
      <c r="W144" s="116">
        <v>2173000</v>
      </c>
      <c r="X144" s="117">
        <v>4501923</v>
      </c>
      <c r="Y144" s="117">
        <v>747383</v>
      </c>
      <c r="Z144" s="33">
        <v>79.099999999999994</v>
      </c>
      <c r="AA144" s="33">
        <v>67.8</v>
      </c>
      <c r="AB144" s="33">
        <v>81.5</v>
      </c>
      <c r="AC144" s="33">
        <v>65.2</v>
      </c>
      <c r="AD144" s="33">
        <v>39816</v>
      </c>
      <c r="AE144" s="33">
        <v>9.3000000000000007</v>
      </c>
      <c r="AF144" s="33">
        <v>422</v>
      </c>
      <c r="AG144" s="33">
        <v>77.3</v>
      </c>
      <c r="AH144" s="33">
        <v>78.8</v>
      </c>
      <c r="AI144" s="33">
        <v>84.8</v>
      </c>
      <c r="AJ144" s="33">
        <v>83.5</v>
      </c>
      <c r="AK144" s="33">
        <v>166.44589500000001</v>
      </c>
      <c r="AL144" s="33">
        <v>62.9</v>
      </c>
      <c r="AM144" s="123">
        <v>20.470152654011535</v>
      </c>
      <c r="AN144" s="123">
        <v>35.768247199697498</v>
      </c>
      <c r="AO144" s="123">
        <v>54.074812422440473</v>
      </c>
      <c r="AP144" s="33">
        <v>28.57</v>
      </c>
      <c r="AQ144" s="33">
        <f t="shared" si="24"/>
        <v>0.33691037735849055</v>
      </c>
      <c r="AR144" s="33">
        <v>87.1</v>
      </c>
      <c r="AS144" s="33">
        <v>90.7</v>
      </c>
      <c r="AT144" s="33">
        <v>83.5</v>
      </c>
      <c r="AU144" s="33">
        <v>89.2</v>
      </c>
      <c r="AV144" s="65">
        <v>90.6</v>
      </c>
      <c r="AW144" s="33">
        <v>87.8</v>
      </c>
      <c r="AX144" s="33">
        <v>-10.5</v>
      </c>
      <c r="AY144" s="33">
        <v>-9.8000000000000007</v>
      </c>
      <c r="AZ144" s="33">
        <v>-10.199999999999999</v>
      </c>
      <c r="BA144" s="33">
        <v>-12</v>
      </c>
      <c r="BB144" s="33">
        <v>85.4</v>
      </c>
      <c r="BC144" s="33">
        <v>91.7</v>
      </c>
      <c r="BD144" s="33">
        <v>79.5</v>
      </c>
      <c r="BE144" s="33">
        <v>-54</v>
      </c>
      <c r="BF144" s="33">
        <v>11.4</v>
      </c>
      <c r="BG144" s="33">
        <v>-19.600000000000001</v>
      </c>
      <c r="BH144" s="33">
        <v>171.4</v>
      </c>
      <c r="BI144" s="33">
        <v>1.4</v>
      </c>
      <c r="BJ144" s="34">
        <v>46.377647519999996</v>
      </c>
      <c r="BK144" s="45">
        <v>-55.244840952978592</v>
      </c>
      <c r="BL144" s="33">
        <v>0.156</v>
      </c>
      <c r="BM144" s="33">
        <v>98.378</v>
      </c>
      <c r="BN144" s="33">
        <v>98.608000000000004</v>
      </c>
      <c r="BO144" s="33">
        <v>-23.9</v>
      </c>
      <c r="BP144" s="33">
        <v>-26.2</v>
      </c>
      <c r="BQ144" s="33">
        <v>15.7</v>
      </c>
      <c r="BR144" s="33">
        <v>-8.9</v>
      </c>
      <c r="BS144" s="33">
        <v>0.5</v>
      </c>
      <c r="BT144" s="33">
        <v>-17.100000000000001</v>
      </c>
      <c r="BU144" s="33">
        <v>-16.2</v>
      </c>
      <c r="BV144" s="33">
        <v>10.1</v>
      </c>
      <c r="BW144" s="33">
        <v>-11.8</v>
      </c>
      <c r="BX144" s="33">
        <v>-25.5</v>
      </c>
      <c r="BY144" s="33">
        <v>-44.1</v>
      </c>
      <c r="BZ144" s="33">
        <v>92.2</v>
      </c>
      <c r="CA144" s="33">
        <v>-11.8</v>
      </c>
      <c r="CB144" s="33">
        <v>-5.9</v>
      </c>
      <c r="CC144" s="33">
        <v>0.8</v>
      </c>
      <c r="CD144" s="33">
        <v>-36.799999999999997</v>
      </c>
      <c r="CE144" s="33">
        <v>-27.9</v>
      </c>
      <c r="CF144" s="33">
        <v>47.3</v>
      </c>
      <c r="CG144" s="33">
        <v>55.4</v>
      </c>
      <c r="CH144" s="33">
        <v>31.5</v>
      </c>
      <c r="CI144" s="33">
        <v>-15.8</v>
      </c>
      <c r="CJ144" s="33">
        <v>-14.2</v>
      </c>
      <c r="CK144" s="33">
        <v>11.9</v>
      </c>
      <c r="CL144" s="33">
        <v>9.4</v>
      </c>
      <c r="CM144" s="33">
        <v>3884.6279129999998</v>
      </c>
      <c r="CN144" s="33">
        <v>10510.01</v>
      </c>
      <c r="CO144" s="33">
        <v>1178.5056520000001</v>
      </c>
      <c r="CP144" s="33">
        <v>5.0369999999999999</v>
      </c>
      <c r="CQ144" s="33">
        <v>5.1100000000000003</v>
      </c>
      <c r="CR144" s="33">
        <v>85.2</v>
      </c>
      <c r="CS144" s="121">
        <f t="shared" si="27"/>
        <v>31.650000000000006</v>
      </c>
      <c r="CT144" s="33">
        <v>101.5</v>
      </c>
      <c r="CU144" s="33">
        <v>106.8</v>
      </c>
      <c r="CV144" s="33">
        <v>86.9</v>
      </c>
      <c r="CW144" s="33">
        <v>102.5</v>
      </c>
      <c r="CX144" s="33">
        <v>97.8</v>
      </c>
      <c r="CY144" s="33">
        <v>5.77</v>
      </c>
      <c r="CZ144" s="33">
        <v>27397.111000000001</v>
      </c>
      <c r="DA144" s="33">
        <v>3.86</v>
      </c>
      <c r="DB144" s="33">
        <v>19.190000000000001</v>
      </c>
      <c r="DC144" s="33">
        <v>30.5</v>
      </c>
      <c r="DD144" s="33">
        <v>9.33</v>
      </c>
      <c r="DE144" s="33">
        <v>6181.4830000000002</v>
      </c>
      <c r="DF144" s="33">
        <v>1285.019</v>
      </c>
      <c r="DG144" s="33">
        <v>968.81100000000004</v>
      </c>
      <c r="DH144" s="33">
        <v>1094.6579999999999</v>
      </c>
      <c r="DI144" s="33">
        <v>1216.2380000000001</v>
      </c>
      <c r="DJ144" s="33">
        <v>98.875900000000001</v>
      </c>
      <c r="DK144" s="33">
        <v>98.568200000000004</v>
      </c>
      <c r="DL144" s="33">
        <v>98.46</v>
      </c>
      <c r="DM144" s="33">
        <v>98.048400000000001</v>
      </c>
      <c r="DN144" s="33">
        <v>98.608000000000004</v>
      </c>
      <c r="DO144" s="33">
        <v>98.378</v>
      </c>
      <c r="DP144" s="33">
        <v>98.290800000000004</v>
      </c>
      <c r="DQ144" s="33">
        <v>98.119500000000002</v>
      </c>
      <c r="DR144" s="104">
        <v>75823</v>
      </c>
      <c r="DS144" s="103">
        <v>27815</v>
      </c>
      <c r="DT144" s="104">
        <v>92.807751598519715</v>
      </c>
      <c r="DU144">
        <v>73.70343017578125</v>
      </c>
      <c r="DV144">
        <v>88.275070190429688</v>
      </c>
      <c r="DW144">
        <v>1037</v>
      </c>
      <c r="DX144">
        <v>653575</v>
      </c>
      <c r="DY144" s="102">
        <f t="shared" si="26"/>
        <v>65.599999999999994</v>
      </c>
    </row>
    <row r="145" spans="1:129" x14ac:dyDescent="0.25">
      <c r="A145" s="1">
        <v>37135</v>
      </c>
      <c r="B145" s="33">
        <v>84.3</v>
      </c>
      <c r="C145" s="107">
        <v>3.99</v>
      </c>
      <c r="D145" s="33">
        <v>3.75</v>
      </c>
      <c r="E145" s="33">
        <v>4.2699999999999996</v>
      </c>
      <c r="F145" s="33">
        <v>4.07</v>
      </c>
      <c r="G145" s="33">
        <v>4.5</v>
      </c>
      <c r="H145" s="33">
        <v>4.8099999999999996</v>
      </c>
      <c r="I145" s="33">
        <f t="shared" si="28"/>
        <v>0.8199999999999994</v>
      </c>
      <c r="J145" s="33">
        <f t="shared" si="29"/>
        <v>1.0599999999999996</v>
      </c>
      <c r="K145" s="33">
        <f t="shared" si="30"/>
        <v>0.54</v>
      </c>
      <c r="L145" s="33">
        <f t="shared" si="31"/>
        <v>-0.24000000000000021</v>
      </c>
      <c r="M145" s="33">
        <v>93.1</v>
      </c>
      <c r="N145" s="33">
        <v>5094.1000000000004</v>
      </c>
      <c r="O145" s="33">
        <v>27.75</v>
      </c>
      <c r="P145" s="33">
        <v>494.5</v>
      </c>
      <c r="Q145" s="34">
        <f t="shared" ref="Q145:Q208" si="32">IF(ISNUMBER(P145),IF(ISNUMBER(AH145),P145/AH145,"NA"),"")</f>
        <v>6.2753807106598991</v>
      </c>
      <c r="R145" s="71">
        <v>1283.9843774808203</v>
      </c>
      <c r="S145" s="34">
        <f t="shared" ref="S145:S208" si="33">IF(ISNUMBER(R145),IF(ISNUMBER(AH145),R145/AH145*100,""),"")</f>
        <v>1629.4217988335283</v>
      </c>
      <c r="T145" s="71">
        <v>1371.6718074648525</v>
      </c>
      <c r="U145" s="34">
        <f t="shared" ref="U145:U208" si="34">IF(ISNUMBER(T145),IF(ISNUMBER(AH145),T145/AH145*100,""),"")</f>
        <v>1740.7002632802698</v>
      </c>
      <c r="V145" s="116">
        <v>345018</v>
      </c>
      <c r="W145" s="116">
        <v>2190698</v>
      </c>
      <c r="X145" s="117">
        <v>4533918</v>
      </c>
      <c r="Y145" s="117">
        <v>762311</v>
      </c>
      <c r="Z145" s="33">
        <v>78.7</v>
      </c>
      <c r="AA145" s="33">
        <v>65.400000000000006</v>
      </c>
      <c r="AB145" s="33">
        <v>78.400000000000006</v>
      </c>
      <c r="AC145" s="33">
        <v>63.2</v>
      </c>
      <c r="AD145" s="33">
        <v>39784</v>
      </c>
      <c r="AE145" s="33">
        <v>9.4</v>
      </c>
      <c r="AF145" s="33">
        <v>418</v>
      </c>
      <c r="AG145" s="33">
        <v>77.400000000000006</v>
      </c>
      <c r="AH145" s="33">
        <v>78.8</v>
      </c>
      <c r="AI145" s="33">
        <v>84.5</v>
      </c>
      <c r="AJ145" s="33">
        <v>83.3</v>
      </c>
      <c r="AK145" s="33">
        <v>166.62391199999999</v>
      </c>
      <c r="AL145" s="33">
        <v>63.2</v>
      </c>
      <c r="AM145" s="123">
        <v>20.705441764977184</v>
      </c>
      <c r="AN145" s="123">
        <v>35.863884224295617</v>
      </c>
      <c r="AO145" s="123">
        <v>51.56359822325593</v>
      </c>
      <c r="AP145" s="33">
        <v>28.37</v>
      </c>
      <c r="AQ145" s="33">
        <f t="shared" ref="AQ145:AQ208" si="35">AP145/AI145</f>
        <v>0.3357396449704142</v>
      </c>
      <c r="AR145" s="33">
        <v>84.4</v>
      </c>
      <c r="AS145" s="33">
        <v>87.2</v>
      </c>
      <c r="AT145" s="33">
        <v>81.599999999999994</v>
      </c>
      <c r="AU145" s="33">
        <v>86.1</v>
      </c>
      <c r="AV145" s="65">
        <v>86.7</v>
      </c>
      <c r="AW145" s="33">
        <v>85.5</v>
      </c>
      <c r="AX145" s="33">
        <v>-18.8</v>
      </c>
      <c r="AY145" s="33">
        <v>-19.600000000000001</v>
      </c>
      <c r="AZ145" s="33">
        <v>-17.899999999999999</v>
      </c>
      <c r="BA145" s="33">
        <v>-20.2</v>
      </c>
      <c r="BB145" s="33">
        <v>80</v>
      </c>
      <c r="BC145" s="33">
        <v>86.1</v>
      </c>
      <c r="BD145" s="33">
        <v>74.3</v>
      </c>
      <c r="BE145" s="33">
        <v>-60.2</v>
      </c>
      <c r="BF145" s="33">
        <v>13.7</v>
      </c>
      <c r="BG145" s="33">
        <v>-12.9</v>
      </c>
      <c r="BH145" s="33">
        <v>178.1</v>
      </c>
      <c r="BI145" s="33">
        <v>9.1999999999999993</v>
      </c>
      <c r="BJ145" s="34">
        <v>45.086662580000002</v>
      </c>
      <c r="BK145" s="45">
        <v>-50.148549343027355</v>
      </c>
      <c r="BL145" s="33">
        <v>9.9000000000000005E-2</v>
      </c>
      <c r="BM145" s="33">
        <v>98.2012</v>
      </c>
      <c r="BN145" s="33">
        <v>98.456100000000006</v>
      </c>
      <c r="BO145" s="33">
        <v>-28</v>
      </c>
      <c r="BP145" s="33">
        <v>-28</v>
      </c>
      <c r="BQ145" s="33">
        <v>16.399999999999999</v>
      </c>
      <c r="BR145" s="33">
        <v>-17.600000000000001</v>
      </c>
      <c r="BS145" s="33">
        <v>-1.5</v>
      </c>
      <c r="BT145" s="33">
        <v>-20.399999999999999</v>
      </c>
      <c r="BU145" s="33">
        <v>-20.6</v>
      </c>
      <c r="BV145" s="33">
        <v>7</v>
      </c>
      <c r="BW145" s="33">
        <v>-11.4</v>
      </c>
      <c r="BX145" s="33">
        <v>-29.8</v>
      </c>
      <c r="BY145" s="33">
        <v>-47.8</v>
      </c>
      <c r="BZ145" s="33">
        <v>89.2</v>
      </c>
      <c r="CA145" s="33">
        <v>-11.4</v>
      </c>
      <c r="CB145" s="33">
        <v>-7</v>
      </c>
      <c r="CC145" s="33">
        <v>1.3</v>
      </c>
      <c r="CD145" s="33">
        <v>-36.9</v>
      </c>
      <c r="CE145" s="33">
        <v>-26.4</v>
      </c>
      <c r="CF145" s="33">
        <v>41.2</v>
      </c>
      <c r="CG145" s="33">
        <v>53.5</v>
      </c>
      <c r="CH145" s="33">
        <v>33.9</v>
      </c>
      <c r="CI145" s="33">
        <v>-14.7</v>
      </c>
      <c r="CJ145" s="33">
        <v>-13.5</v>
      </c>
      <c r="CK145" s="33">
        <v>13.7</v>
      </c>
      <c r="CL145" s="33">
        <v>11.1</v>
      </c>
      <c r="CM145" s="33">
        <v>3276.9980999999998</v>
      </c>
      <c r="CN145" s="33">
        <v>9949.75</v>
      </c>
      <c r="CO145" s="33">
        <v>1058.67</v>
      </c>
      <c r="CP145" s="33">
        <v>4.8600000000000003</v>
      </c>
      <c r="CQ145" s="33">
        <v>4.8499999999999996</v>
      </c>
      <c r="CR145" s="33">
        <v>73.5</v>
      </c>
      <c r="CS145" s="121">
        <f t="shared" si="27"/>
        <v>34.950000000000003</v>
      </c>
      <c r="CT145" s="33">
        <v>98</v>
      </c>
      <c r="CU145" s="33">
        <v>106.8</v>
      </c>
      <c r="CV145" s="33">
        <v>83.4</v>
      </c>
      <c r="CW145" s="33">
        <v>102.5</v>
      </c>
      <c r="CX145" s="33">
        <v>99.6</v>
      </c>
      <c r="CY145" s="33">
        <v>5.45</v>
      </c>
      <c r="CZ145" s="33">
        <v>27509.254000000001</v>
      </c>
      <c r="DA145" s="33">
        <v>3.26</v>
      </c>
      <c r="DB145" s="33">
        <v>19.260000000000002</v>
      </c>
      <c r="DC145" s="33">
        <v>28.73</v>
      </c>
      <c r="DD145" s="33">
        <v>8.6999999999999993</v>
      </c>
      <c r="DE145" s="33">
        <v>5219.3209999999999</v>
      </c>
      <c r="DF145" s="33">
        <v>1102.546</v>
      </c>
      <c r="DG145" s="33">
        <v>880.93</v>
      </c>
      <c r="DH145" s="33">
        <v>983.05100000000004</v>
      </c>
      <c r="DI145" s="33">
        <v>942.79499999999996</v>
      </c>
      <c r="DJ145" s="33">
        <v>98.777900000000002</v>
      </c>
      <c r="DK145" s="33">
        <v>98.458299999999994</v>
      </c>
      <c r="DL145" s="33">
        <v>98.33</v>
      </c>
      <c r="DM145" s="33">
        <v>97.874300000000005</v>
      </c>
      <c r="DN145" s="33">
        <v>98.456100000000006</v>
      </c>
      <c r="DO145" s="33">
        <v>98.2012</v>
      </c>
      <c r="DP145" s="33">
        <v>98.253900000000002</v>
      </c>
      <c r="DQ145" s="33">
        <v>98.078999999999994</v>
      </c>
      <c r="DR145" s="104">
        <v>97223</v>
      </c>
      <c r="DS145" s="103">
        <v>27723</v>
      </c>
      <c r="DT145" s="104">
        <v>91.046165903842521</v>
      </c>
      <c r="DU145">
        <v>215.05122375488281</v>
      </c>
      <c r="DV145">
        <v>248.30523681640625</v>
      </c>
      <c r="DW145">
        <v>918</v>
      </c>
      <c r="DX145">
        <v>658725</v>
      </c>
      <c r="DY145" s="102">
        <f t="shared" si="26"/>
        <v>67.7</v>
      </c>
    </row>
    <row r="146" spans="1:129" x14ac:dyDescent="0.25">
      <c r="A146" s="1">
        <v>37165</v>
      </c>
      <c r="B146" s="33">
        <v>82.8</v>
      </c>
      <c r="C146" s="107">
        <v>3.97</v>
      </c>
      <c r="D146" s="33">
        <v>3.75</v>
      </c>
      <c r="E146" s="33">
        <v>3.98</v>
      </c>
      <c r="F146" s="33">
        <v>3.8</v>
      </c>
      <c r="G146" s="33">
        <v>4.2699999999999996</v>
      </c>
      <c r="H146" s="33">
        <v>4.5999999999999996</v>
      </c>
      <c r="I146" s="33">
        <f t="shared" si="28"/>
        <v>0.62999999999999945</v>
      </c>
      <c r="J146" s="33">
        <f t="shared" si="29"/>
        <v>0.84999999999999964</v>
      </c>
      <c r="K146" s="33">
        <f t="shared" si="30"/>
        <v>0.61999999999999966</v>
      </c>
      <c r="L146" s="33">
        <f t="shared" si="31"/>
        <v>-0.2200000000000002</v>
      </c>
      <c r="M146" s="33">
        <v>93</v>
      </c>
      <c r="N146" s="33">
        <v>4239.97</v>
      </c>
      <c r="O146" s="33">
        <v>41.95</v>
      </c>
      <c r="P146" s="33">
        <v>498.1</v>
      </c>
      <c r="Q146" s="34">
        <f t="shared" si="32"/>
        <v>6.2970922882427312</v>
      </c>
      <c r="R146" s="71">
        <v>1285.7006791884287</v>
      </c>
      <c r="S146" s="34">
        <f t="shared" si="33"/>
        <v>1625.4117309588228</v>
      </c>
      <c r="T146" s="71">
        <v>1377.9586365823998</v>
      </c>
      <c r="U146" s="34">
        <f t="shared" si="34"/>
        <v>1742.0463167919088</v>
      </c>
      <c r="V146" s="116">
        <v>344918</v>
      </c>
      <c r="W146" s="116">
        <v>2202764</v>
      </c>
      <c r="X146" s="117">
        <v>4553696</v>
      </c>
      <c r="Y146" s="117">
        <v>780347</v>
      </c>
      <c r="Z146" s="33">
        <v>77.8</v>
      </c>
      <c r="AA146" s="33">
        <v>64.599999999999994</v>
      </c>
      <c r="AB146" s="33">
        <v>80.400000000000006</v>
      </c>
      <c r="AC146" s="33">
        <v>62</v>
      </c>
      <c r="AD146" s="33">
        <v>39798</v>
      </c>
      <c r="AE146" s="33">
        <v>9.5</v>
      </c>
      <c r="AF146" s="33">
        <v>410</v>
      </c>
      <c r="AG146" s="33">
        <v>77.400000000000006</v>
      </c>
      <c r="AH146" s="33">
        <v>79.099999999999994</v>
      </c>
      <c r="AI146" s="33">
        <v>83.4</v>
      </c>
      <c r="AJ146" s="33">
        <v>83.2</v>
      </c>
      <c r="AK146" s="33">
        <v>165.021759</v>
      </c>
      <c r="AL146" s="33">
        <v>63.3</v>
      </c>
      <c r="AM146" s="123">
        <v>18.520445397818786</v>
      </c>
      <c r="AN146" s="123">
        <v>30.857712742185704</v>
      </c>
      <c r="AO146" s="123">
        <v>49.69781012965128</v>
      </c>
      <c r="AP146" s="33">
        <v>23.22</v>
      </c>
      <c r="AQ146" s="33">
        <f t="shared" si="35"/>
        <v>0.27841726618705032</v>
      </c>
      <c r="AR146" s="33">
        <v>83.9</v>
      </c>
      <c r="AS146" s="33">
        <v>87.7</v>
      </c>
      <c r="AT146" s="33">
        <v>80.3</v>
      </c>
      <c r="AU146" s="33">
        <v>85.4</v>
      </c>
      <c r="AV146" s="65">
        <v>86.7</v>
      </c>
      <c r="AW146" s="33">
        <v>84.1</v>
      </c>
      <c r="AX146" s="33">
        <v>-18.899999999999999</v>
      </c>
      <c r="AY146" s="33">
        <v>-27.9</v>
      </c>
      <c r="AZ146" s="33">
        <v>-19.100000000000001</v>
      </c>
      <c r="BA146" s="33">
        <v>-18.100000000000001</v>
      </c>
      <c r="BB146" s="33">
        <v>82.5</v>
      </c>
      <c r="BC146" s="33">
        <v>88.5</v>
      </c>
      <c r="BD146" s="33">
        <v>76.8</v>
      </c>
      <c r="BE146" s="33">
        <v>-64.099999999999994</v>
      </c>
      <c r="BF146" s="33">
        <v>9.8000000000000007</v>
      </c>
      <c r="BG146" s="33">
        <v>-18.7</v>
      </c>
      <c r="BH146" s="33">
        <v>178.1</v>
      </c>
      <c r="BI146" s="33">
        <v>3.8</v>
      </c>
      <c r="BJ146" s="34">
        <v>42.01873775</v>
      </c>
      <c r="BK146" s="45">
        <v>-41.735915919895007</v>
      </c>
      <c r="BL146" s="33">
        <v>0.09</v>
      </c>
      <c r="BM146" s="33">
        <v>98.154799999999994</v>
      </c>
      <c r="BN146" s="33">
        <v>98.416300000000007</v>
      </c>
      <c r="BO146" s="33">
        <v>-32.700000000000003</v>
      </c>
      <c r="BP146" s="33">
        <v>-31.1</v>
      </c>
      <c r="BQ146" s="33">
        <v>18</v>
      </c>
      <c r="BR146" s="33">
        <v>-19.600000000000001</v>
      </c>
      <c r="BS146" s="33">
        <v>-2.4</v>
      </c>
      <c r="BT146" s="33">
        <v>-21.7</v>
      </c>
      <c r="BU146" s="33">
        <v>-23.4</v>
      </c>
      <c r="BV146" s="33">
        <v>-0.8</v>
      </c>
      <c r="BW146" s="33">
        <v>-11</v>
      </c>
      <c r="BX146" s="33">
        <v>-32.299999999999997</v>
      </c>
      <c r="BY146" s="33">
        <v>-47</v>
      </c>
      <c r="BZ146" s="33">
        <v>85.9</v>
      </c>
      <c r="CA146" s="33">
        <v>-11</v>
      </c>
      <c r="CB146" s="33">
        <v>-5.0999999999999996</v>
      </c>
      <c r="CC146" s="33">
        <v>3.2</v>
      </c>
      <c r="CD146" s="33">
        <v>-38</v>
      </c>
      <c r="CE146" s="33">
        <v>-28.9</v>
      </c>
      <c r="CF146" s="33">
        <v>40.9</v>
      </c>
      <c r="CG146" s="33">
        <v>58</v>
      </c>
      <c r="CH146" s="33">
        <v>35.799999999999997</v>
      </c>
      <c r="CI146" s="33">
        <v>-16.3</v>
      </c>
      <c r="CJ146" s="33">
        <v>-13.3</v>
      </c>
      <c r="CK146" s="33">
        <v>17.2</v>
      </c>
      <c r="CL146" s="33">
        <v>9.6999999999999993</v>
      </c>
      <c r="CM146" s="33">
        <v>3440.9140000000002</v>
      </c>
      <c r="CN146" s="33">
        <v>8836.83</v>
      </c>
      <c r="CO146" s="33">
        <v>1076.5904350000001</v>
      </c>
      <c r="CP146" s="33">
        <v>4.9089999999999998</v>
      </c>
      <c r="CQ146" s="33">
        <v>4.55</v>
      </c>
      <c r="CR146" s="33">
        <v>75.5</v>
      </c>
      <c r="CS146" s="121">
        <f t="shared" si="27"/>
        <v>38.450000000000003</v>
      </c>
      <c r="CT146" s="33">
        <v>95</v>
      </c>
      <c r="CU146" s="33">
        <v>104.6</v>
      </c>
      <c r="CV146" s="33">
        <v>89.2</v>
      </c>
      <c r="CW146" s="33">
        <v>92.9</v>
      </c>
      <c r="CX146" s="33">
        <v>97.8</v>
      </c>
      <c r="CY146" s="33">
        <v>5.67</v>
      </c>
      <c r="CZ146" s="33">
        <v>31680.595000000001</v>
      </c>
      <c r="DA146" s="33">
        <v>3.53</v>
      </c>
      <c r="DB146" s="33">
        <v>19.04</v>
      </c>
      <c r="DC146" s="33">
        <v>29.49</v>
      </c>
      <c r="DD146" s="33">
        <v>8.85</v>
      </c>
      <c r="DE146" s="33">
        <v>6186.9679999999998</v>
      </c>
      <c r="DF146" s="33">
        <v>1255.3879999999999</v>
      </c>
      <c r="DG146" s="33">
        <v>1116.914</v>
      </c>
      <c r="DH146" s="33">
        <v>1272.7429999999999</v>
      </c>
      <c r="DI146" s="33">
        <v>1137.5409999999999</v>
      </c>
      <c r="DJ146" s="33">
        <v>98.717399999999998</v>
      </c>
      <c r="DK146" s="33">
        <v>98.391400000000004</v>
      </c>
      <c r="DL146" s="33">
        <v>98.24</v>
      </c>
      <c r="DM146" s="33">
        <v>97.761499999999998</v>
      </c>
      <c r="DN146" s="33">
        <v>98.416300000000007</v>
      </c>
      <c r="DO146" s="33">
        <v>98.154799999999994</v>
      </c>
      <c r="DP146" s="33">
        <v>98.3005</v>
      </c>
      <c r="DQ146" s="33">
        <v>98.130200000000002</v>
      </c>
      <c r="DR146" s="104">
        <v>122086</v>
      </c>
      <c r="DS146" s="103">
        <v>27880</v>
      </c>
      <c r="DT146" s="104">
        <v>89.377295245727282</v>
      </c>
      <c r="DU146">
        <v>204.65605163574219</v>
      </c>
      <c r="DV146">
        <v>276.72369384765625</v>
      </c>
      <c r="DW146">
        <v>939</v>
      </c>
      <c r="DX146">
        <v>728125</v>
      </c>
      <c r="DY146" s="102">
        <f t="shared" ref="DY146:DY177" si="36">DY147-(B146-B145)</f>
        <v>66.8</v>
      </c>
    </row>
    <row r="147" spans="1:129" x14ac:dyDescent="0.25">
      <c r="A147" s="1">
        <v>37196</v>
      </c>
      <c r="B147" s="33">
        <v>82.1</v>
      </c>
      <c r="C147" s="107">
        <v>3.51</v>
      </c>
      <c r="D147" s="33">
        <v>3.25</v>
      </c>
      <c r="E147" s="33">
        <v>3.66</v>
      </c>
      <c r="F147" s="33">
        <v>3.76</v>
      </c>
      <c r="G147" s="33">
        <v>4.18</v>
      </c>
      <c r="H147" s="33">
        <v>4.45</v>
      </c>
      <c r="I147" s="33">
        <f t="shared" si="28"/>
        <v>0.94000000000000039</v>
      </c>
      <c r="J147" s="33">
        <f t="shared" si="29"/>
        <v>1.2000000000000002</v>
      </c>
      <c r="K147" s="33">
        <f t="shared" si="30"/>
        <v>0.79</v>
      </c>
      <c r="L147" s="33">
        <f t="shared" si="31"/>
        <v>-0.25999999999999979</v>
      </c>
      <c r="M147" s="33">
        <v>92.5</v>
      </c>
      <c r="N147" s="33">
        <v>4636.13</v>
      </c>
      <c r="O147" s="33">
        <v>40.549999999999997</v>
      </c>
      <c r="P147" s="33">
        <v>505.8</v>
      </c>
      <c r="Q147" s="34">
        <f t="shared" si="32"/>
        <v>6.3944374209860939</v>
      </c>
      <c r="R147" s="71">
        <v>1285.7006791884287</v>
      </c>
      <c r="S147" s="34">
        <f t="shared" si="33"/>
        <v>1625.4117309588228</v>
      </c>
      <c r="T147" s="71">
        <v>1375.3867519434032</v>
      </c>
      <c r="U147" s="34">
        <f t="shared" si="34"/>
        <v>1738.7948823557565</v>
      </c>
      <c r="V147" s="116">
        <v>345065</v>
      </c>
      <c r="W147" s="116">
        <v>2220198</v>
      </c>
      <c r="X147" s="117">
        <v>4588671</v>
      </c>
      <c r="Y147" s="117">
        <v>782566</v>
      </c>
      <c r="Z147" s="33">
        <v>77.099999999999994</v>
      </c>
      <c r="AA147" s="33">
        <v>64.7</v>
      </c>
      <c r="AB147" s="33">
        <v>80.2</v>
      </c>
      <c r="AC147" s="33">
        <v>62.8</v>
      </c>
      <c r="AD147" s="33">
        <v>39821</v>
      </c>
      <c r="AE147" s="33">
        <v>9.6</v>
      </c>
      <c r="AF147" s="33">
        <v>399</v>
      </c>
      <c r="AG147" s="33">
        <v>77.3</v>
      </c>
      <c r="AH147" s="33">
        <v>79.099999999999994</v>
      </c>
      <c r="AI147" s="33">
        <v>83.3</v>
      </c>
      <c r="AJ147" s="33">
        <v>83.3</v>
      </c>
      <c r="AK147" s="33">
        <v>164.487708</v>
      </c>
      <c r="AL147" s="33">
        <v>102.7</v>
      </c>
      <c r="AM147" s="123">
        <v>17.129366288409717</v>
      </c>
      <c r="AN147" s="123">
        <v>28.256335795896792</v>
      </c>
      <c r="AO147" s="123">
        <v>49.174675286181255</v>
      </c>
      <c r="AP147" s="33">
        <v>21.51</v>
      </c>
      <c r="AQ147" s="33">
        <f t="shared" si="35"/>
        <v>0.2582232893157263</v>
      </c>
      <c r="AR147" s="33">
        <v>84.7</v>
      </c>
      <c r="AS147" s="33">
        <v>89.2</v>
      </c>
      <c r="AT147" s="33">
        <v>80.400000000000006</v>
      </c>
      <c r="AU147" s="33">
        <v>85.8</v>
      </c>
      <c r="AV147" s="65">
        <v>88.6</v>
      </c>
      <c r="AW147" s="33">
        <v>83.1</v>
      </c>
      <c r="AX147" s="33">
        <v>-17.899999999999999</v>
      </c>
      <c r="AY147" s="33">
        <v>-25.5</v>
      </c>
      <c r="AZ147" s="33">
        <v>-18.8</v>
      </c>
      <c r="BA147" s="33">
        <v>-12.8</v>
      </c>
      <c r="BB147" s="33">
        <v>83.2</v>
      </c>
      <c r="BC147" s="33">
        <v>89.7</v>
      </c>
      <c r="BD147" s="33">
        <v>77.099999999999994</v>
      </c>
      <c r="BE147" s="33">
        <v>-81</v>
      </c>
      <c r="BF147" s="33">
        <v>13.1</v>
      </c>
      <c r="BG147" s="33">
        <v>-26.9</v>
      </c>
      <c r="BH147" s="33">
        <v>177.2</v>
      </c>
      <c r="BI147" s="33">
        <v>18.899999999999999</v>
      </c>
      <c r="BJ147" s="34">
        <v>43.89887366</v>
      </c>
      <c r="BK147" s="45">
        <v>-26.878073771430429</v>
      </c>
      <c r="BL147" s="33">
        <v>3.9E-2</v>
      </c>
      <c r="BM147" s="33">
        <v>98.239099999999993</v>
      </c>
      <c r="BN147" s="33">
        <v>98.488699999999994</v>
      </c>
      <c r="BO147" s="33">
        <v>-33.799999999999997</v>
      </c>
      <c r="BP147" s="33">
        <v>-34.200000000000003</v>
      </c>
      <c r="BQ147" s="33">
        <v>18.7</v>
      </c>
      <c r="BR147" s="33">
        <v>-17.3</v>
      </c>
      <c r="BS147" s="33">
        <v>-4.5</v>
      </c>
      <c r="BT147" s="33">
        <v>-20.5</v>
      </c>
      <c r="BU147" s="33">
        <v>-23.3</v>
      </c>
      <c r="BV147" s="33">
        <v>-10.199999999999999</v>
      </c>
      <c r="BW147" s="33">
        <v>-12.4</v>
      </c>
      <c r="BX147" s="33">
        <v>-27.8</v>
      </c>
      <c r="BY147" s="33">
        <v>-45.6</v>
      </c>
      <c r="BZ147" s="33">
        <v>82.9</v>
      </c>
      <c r="CA147" s="33">
        <v>-12.4</v>
      </c>
      <c r="CB147" s="33">
        <v>-4.9000000000000004</v>
      </c>
      <c r="CC147" s="33">
        <v>0.2</v>
      </c>
      <c r="CD147" s="33">
        <v>-41.5</v>
      </c>
      <c r="CE147" s="33">
        <v>-29.5</v>
      </c>
      <c r="CF147" s="33">
        <v>39.1</v>
      </c>
      <c r="CG147" s="33">
        <v>56.4</v>
      </c>
      <c r="CH147" s="33">
        <v>38</v>
      </c>
      <c r="CI147" s="33">
        <v>-16.899999999999999</v>
      </c>
      <c r="CJ147" s="33">
        <v>-15.4</v>
      </c>
      <c r="CK147" s="33">
        <v>12.3</v>
      </c>
      <c r="CL147" s="33">
        <v>9.4</v>
      </c>
      <c r="CM147" s="33">
        <v>3674.6296819999998</v>
      </c>
      <c r="CN147" s="33">
        <v>9263.9</v>
      </c>
      <c r="CO147" s="33">
        <v>1130.0172729999999</v>
      </c>
      <c r="CP147" s="33">
        <v>4.4459999999999997</v>
      </c>
      <c r="CQ147" s="33">
        <v>4.24</v>
      </c>
      <c r="CR147" s="33">
        <v>76.599999999999994</v>
      </c>
      <c r="CS147" s="121">
        <f t="shared" si="27"/>
        <v>41.45</v>
      </c>
      <c r="CT147" s="33">
        <v>92.1</v>
      </c>
      <c r="CU147" s="33">
        <v>103.3</v>
      </c>
      <c r="CV147" s="33">
        <v>87.9</v>
      </c>
      <c r="CW147" s="33">
        <v>92.5</v>
      </c>
      <c r="CX147" s="33">
        <v>92.4</v>
      </c>
      <c r="CY147" s="33">
        <v>4.95</v>
      </c>
      <c r="CZ147" s="33">
        <v>30846.901000000002</v>
      </c>
      <c r="DA147" s="33">
        <v>3.69</v>
      </c>
      <c r="DB147" s="33">
        <v>18.68</v>
      </c>
      <c r="DC147" s="33">
        <v>28.53</v>
      </c>
      <c r="DD147" s="33">
        <v>8.6199999999999992</v>
      </c>
      <c r="DE147" s="33">
        <v>5882.5259999999998</v>
      </c>
      <c r="DF147" s="33">
        <v>1362.693</v>
      </c>
      <c r="DG147" s="33">
        <v>1039.3119999999999</v>
      </c>
      <c r="DH147" s="33">
        <v>1017.341</v>
      </c>
      <c r="DI147" s="33">
        <v>1131.5899999999999</v>
      </c>
      <c r="DJ147" s="33">
        <v>98.705500000000001</v>
      </c>
      <c r="DK147" s="33">
        <v>98.381699999999995</v>
      </c>
      <c r="DL147" s="33">
        <v>98.22</v>
      </c>
      <c r="DM147" s="33">
        <v>97.731499999999997</v>
      </c>
      <c r="DN147" s="33">
        <v>98.488699999999994</v>
      </c>
      <c r="DO147" s="33">
        <v>98.239099999999993</v>
      </c>
      <c r="DP147" s="33">
        <v>98.453900000000004</v>
      </c>
      <c r="DQ147" s="33">
        <v>98.299000000000007</v>
      </c>
      <c r="DR147" s="104">
        <v>148827</v>
      </c>
      <c r="DS147" s="103">
        <v>27878</v>
      </c>
      <c r="DT147" s="104">
        <v>90.675305757594685</v>
      </c>
      <c r="DU147">
        <v>165.27178955078125</v>
      </c>
      <c r="DV147">
        <v>177.75169372558594</v>
      </c>
      <c r="DW147">
        <v>853</v>
      </c>
      <c r="DX147">
        <v>737400</v>
      </c>
      <c r="DY147" s="102">
        <f t="shared" si="36"/>
        <v>65.3</v>
      </c>
    </row>
    <row r="148" spans="1:129" x14ac:dyDescent="0.25">
      <c r="A148" s="1">
        <v>37226</v>
      </c>
      <c r="B148" s="33">
        <v>82.8</v>
      </c>
      <c r="C148" s="107">
        <v>3.34</v>
      </c>
      <c r="D148" s="33">
        <v>3.25</v>
      </c>
      <c r="E148" s="33">
        <v>3.44</v>
      </c>
      <c r="F148" s="33">
        <v>4.08</v>
      </c>
      <c r="G148" s="33">
        <v>4.4800000000000004</v>
      </c>
      <c r="H148" s="33">
        <v>4.74</v>
      </c>
      <c r="I148" s="33">
        <f t="shared" si="28"/>
        <v>1.4000000000000004</v>
      </c>
      <c r="J148" s="33">
        <f t="shared" si="29"/>
        <v>1.4900000000000002</v>
      </c>
      <c r="K148" s="33">
        <f t="shared" si="30"/>
        <v>1.3000000000000003</v>
      </c>
      <c r="L148" s="33">
        <f t="shared" si="31"/>
        <v>-8.9999999999999858E-2</v>
      </c>
      <c r="M148" s="33">
        <v>92.8</v>
      </c>
      <c r="N148" s="33">
        <v>4988.4399999999996</v>
      </c>
      <c r="O148" s="33">
        <v>30.71</v>
      </c>
      <c r="P148" s="33">
        <v>513.70000000000005</v>
      </c>
      <c r="Q148" s="34">
        <f t="shared" si="32"/>
        <v>6.4779319041614132</v>
      </c>
      <c r="R148" s="71">
        <v>1270.7307142942886</v>
      </c>
      <c r="S148" s="34">
        <f t="shared" si="33"/>
        <v>1602.4346964619024</v>
      </c>
      <c r="T148" s="71">
        <v>1365.3849783473052</v>
      </c>
      <c r="U148" s="34">
        <f t="shared" si="34"/>
        <v>1721.7969462134995</v>
      </c>
      <c r="V148" s="116">
        <v>348867</v>
      </c>
      <c r="W148" s="116">
        <v>2221922</v>
      </c>
      <c r="X148" s="117">
        <v>4615510</v>
      </c>
      <c r="Y148" s="117">
        <v>787373</v>
      </c>
      <c r="Z148" s="33">
        <v>76.8</v>
      </c>
      <c r="AA148" s="33">
        <v>67.599999999999994</v>
      </c>
      <c r="AB148" s="33">
        <v>80.7</v>
      </c>
      <c r="AC148" s="33">
        <v>65.400000000000006</v>
      </c>
      <c r="AD148" s="33">
        <v>39836</v>
      </c>
      <c r="AE148" s="33">
        <v>9.6</v>
      </c>
      <c r="AF148" s="33">
        <v>393</v>
      </c>
      <c r="AG148" s="33">
        <v>77.5</v>
      </c>
      <c r="AH148" s="33">
        <v>79.3</v>
      </c>
      <c r="AI148" s="33">
        <v>83.3</v>
      </c>
      <c r="AJ148" s="33">
        <v>83.4</v>
      </c>
      <c r="AK148" s="33">
        <v>164.131674</v>
      </c>
      <c r="AL148" s="33">
        <v>63.3</v>
      </c>
      <c r="AM148" s="123">
        <v>17.370200963817936</v>
      </c>
      <c r="AN148" s="123">
        <v>27.963017431233503</v>
      </c>
      <c r="AO148" s="123">
        <v>53.802880018998323</v>
      </c>
      <c r="AP148" s="33">
        <v>20.97</v>
      </c>
      <c r="AQ148" s="33">
        <f t="shared" si="35"/>
        <v>0.25174069627851142</v>
      </c>
      <c r="AR148" s="33">
        <v>86.3</v>
      </c>
      <c r="AS148" s="33">
        <v>91.1</v>
      </c>
      <c r="AT148" s="33">
        <v>81.7</v>
      </c>
      <c r="AU148" s="33">
        <v>88.2</v>
      </c>
      <c r="AV148" s="65">
        <v>92.2</v>
      </c>
      <c r="AW148" s="33">
        <v>84.4</v>
      </c>
      <c r="AX148" s="33">
        <v>-13.8</v>
      </c>
      <c r="AY148" s="33">
        <v>-14.3</v>
      </c>
      <c r="AZ148" s="33">
        <v>-13.5</v>
      </c>
      <c r="BA148" s="33">
        <v>-6.6</v>
      </c>
      <c r="BB148" s="33">
        <v>82.6</v>
      </c>
      <c r="BC148" s="33">
        <v>87.8</v>
      </c>
      <c r="BD148" s="33">
        <v>77.7</v>
      </c>
      <c r="BE148" s="33">
        <v>-87.8</v>
      </c>
      <c r="BF148" s="33">
        <v>25.8</v>
      </c>
      <c r="BG148" s="33">
        <v>-20.399999999999999</v>
      </c>
      <c r="BH148" s="33">
        <v>171.9</v>
      </c>
      <c r="BI148" s="33">
        <v>48.3</v>
      </c>
      <c r="BJ148" s="34">
        <v>43.518105939999998</v>
      </c>
      <c r="BK148" s="45">
        <v>-14.641946109090728</v>
      </c>
      <c r="BL148" s="33">
        <v>6.9000000000000006E-2</v>
      </c>
      <c r="BM148" s="33">
        <v>98.429599999999994</v>
      </c>
      <c r="BN148" s="33">
        <v>98.652299999999997</v>
      </c>
      <c r="BO148" s="33">
        <v>-33.9</v>
      </c>
      <c r="BP148" s="33">
        <v>-32.5</v>
      </c>
      <c r="BQ148" s="33">
        <v>16.5</v>
      </c>
      <c r="BR148" s="33">
        <v>-8.1</v>
      </c>
      <c r="BS148" s="33">
        <v>-4.0999999999999996</v>
      </c>
      <c r="BT148" s="33">
        <v>-21.1</v>
      </c>
      <c r="BU148" s="33">
        <v>-19.5</v>
      </c>
      <c r="BV148" s="33">
        <v>-7</v>
      </c>
      <c r="BW148" s="33">
        <v>-13.1</v>
      </c>
      <c r="BX148" s="33">
        <v>-28.5</v>
      </c>
      <c r="BY148" s="33">
        <v>-43</v>
      </c>
      <c r="BZ148" s="33">
        <v>85.5</v>
      </c>
      <c r="CA148" s="33">
        <v>-13.1</v>
      </c>
      <c r="CB148" s="33">
        <v>-7.6</v>
      </c>
      <c r="CC148" s="33">
        <v>-0.3</v>
      </c>
      <c r="CD148" s="33">
        <v>-45.4</v>
      </c>
      <c r="CE148" s="33">
        <v>-30.1</v>
      </c>
      <c r="CF148" s="33">
        <v>38.9</v>
      </c>
      <c r="CG148" s="33">
        <v>56.6</v>
      </c>
      <c r="CH148" s="33">
        <v>38.6</v>
      </c>
      <c r="CI148" s="33">
        <v>-16.399999999999999</v>
      </c>
      <c r="CJ148" s="33">
        <v>-14.3</v>
      </c>
      <c r="CK148" s="33">
        <v>10.8</v>
      </c>
      <c r="CL148" s="33">
        <v>10.3</v>
      </c>
      <c r="CM148" s="33">
        <v>3711.0860480000001</v>
      </c>
      <c r="CN148" s="33">
        <v>9763.9599999999991</v>
      </c>
      <c r="CO148" s="33">
        <v>1144.916667</v>
      </c>
      <c r="CP148" s="33">
        <v>4.625</v>
      </c>
      <c r="CQ148" s="33">
        <v>4.75</v>
      </c>
      <c r="CR148" s="33">
        <v>82.3</v>
      </c>
      <c r="CS148" s="121">
        <f t="shared" si="27"/>
        <v>44.350000000000009</v>
      </c>
      <c r="CT148" s="33">
        <v>94.3</v>
      </c>
      <c r="CU148" s="33">
        <v>106.1</v>
      </c>
      <c r="CV148" s="33">
        <v>85.8</v>
      </c>
      <c r="CW148" s="33">
        <v>99.4</v>
      </c>
      <c r="CX148" s="33">
        <v>95.3</v>
      </c>
      <c r="CY148" s="33">
        <v>5.56</v>
      </c>
      <c r="CZ148" s="33">
        <v>26405.37</v>
      </c>
      <c r="DA148" s="33">
        <v>3.39</v>
      </c>
      <c r="DB148" s="33">
        <v>18.13</v>
      </c>
      <c r="DC148" s="33">
        <v>29.53</v>
      </c>
      <c r="DD148" s="33">
        <v>8.98</v>
      </c>
      <c r="DE148" s="33">
        <v>5506.835</v>
      </c>
      <c r="DF148" s="33">
        <v>1282.3820000000001</v>
      </c>
      <c r="DG148" s="33">
        <v>1028.796</v>
      </c>
      <c r="DH148" s="33">
        <v>999.17600000000004</v>
      </c>
      <c r="DI148" s="33">
        <v>1013.973</v>
      </c>
      <c r="DJ148" s="33">
        <v>98.746600000000001</v>
      </c>
      <c r="DK148" s="33">
        <v>98.4358</v>
      </c>
      <c r="DL148" s="33">
        <v>98.26</v>
      </c>
      <c r="DM148" s="33">
        <v>97.790700000000001</v>
      </c>
      <c r="DN148" s="33">
        <v>98.652299999999997</v>
      </c>
      <c r="DO148" s="33">
        <v>98.429599999999994</v>
      </c>
      <c r="DP148" s="33">
        <v>98.695099999999996</v>
      </c>
      <c r="DQ148" s="33">
        <v>98.564300000000003</v>
      </c>
      <c r="DR148" s="104">
        <v>152438</v>
      </c>
      <c r="DS148" s="103">
        <v>27874</v>
      </c>
      <c r="DT148" s="104">
        <v>90.026300501660984</v>
      </c>
      <c r="DU148">
        <v>111.50605773925781</v>
      </c>
      <c r="DV148">
        <v>108.11981201171875</v>
      </c>
      <c r="DW148">
        <v>868</v>
      </c>
      <c r="DX148">
        <v>779525</v>
      </c>
      <c r="DY148" s="102">
        <f t="shared" si="36"/>
        <v>64.599999999999994</v>
      </c>
    </row>
    <row r="149" spans="1:129" x14ac:dyDescent="0.25">
      <c r="A149" s="1">
        <v>37257</v>
      </c>
      <c r="B149" s="33">
        <v>82.3</v>
      </c>
      <c r="C149" s="107">
        <v>3.29</v>
      </c>
      <c r="D149" s="33">
        <v>3.25</v>
      </c>
      <c r="E149" s="33">
        <v>3.36</v>
      </c>
      <c r="F149" s="33">
        <v>4.2699999999999996</v>
      </c>
      <c r="G149" s="33">
        <v>4.67</v>
      </c>
      <c r="H149" s="33">
        <v>4.8600000000000003</v>
      </c>
      <c r="I149" s="33">
        <f t="shared" si="28"/>
        <v>1.5700000000000003</v>
      </c>
      <c r="J149" s="33">
        <f t="shared" si="29"/>
        <v>1.6100000000000003</v>
      </c>
      <c r="K149" s="33">
        <f t="shared" si="30"/>
        <v>1.5000000000000004</v>
      </c>
      <c r="L149" s="33">
        <f t="shared" si="31"/>
        <v>-4.0000000000000036E-2</v>
      </c>
      <c r="M149" s="33">
        <v>92.9</v>
      </c>
      <c r="N149" s="33">
        <v>5160.1000000000004</v>
      </c>
      <c r="O149" s="33">
        <v>28.34</v>
      </c>
      <c r="P149" s="33">
        <v>519.4</v>
      </c>
      <c r="Q149" s="34">
        <f t="shared" si="32"/>
        <v>6.5498108448928116</v>
      </c>
      <c r="R149" s="60">
        <v>1269</v>
      </c>
      <c r="S149" s="34">
        <f t="shared" si="33"/>
        <v>1600.2522068095839</v>
      </c>
      <c r="T149" s="60">
        <v>1365.4</v>
      </c>
      <c r="U149" s="34">
        <f t="shared" si="34"/>
        <v>1721.8158890290038</v>
      </c>
      <c r="V149" s="116">
        <v>348451</v>
      </c>
      <c r="W149" s="116">
        <v>2247196</v>
      </c>
      <c r="X149" s="117">
        <v>4645232</v>
      </c>
      <c r="Y149" s="117">
        <v>779565</v>
      </c>
      <c r="Z149" s="33">
        <v>76.900000000000006</v>
      </c>
      <c r="AA149" s="33">
        <v>66.2</v>
      </c>
      <c r="AB149" s="33">
        <v>81.7</v>
      </c>
      <c r="AC149" s="33">
        <v>63.5</v>
      </c>
      <c r="AD149" s="33">
        <v>39859</v>
      </c>
      <c r="AE149" s="33">
        <v>9.6</v>
      </c>
      <c r="AF149" s="33">
        <v>395</v>
      </c>
      <c r="AG149" s="33">
        <v>77.599999999999994</v>
      </c>
      <c r="AH149" s="33">
        <v>79.3</v>
      </c>
      <c r="AI149" s="33">
        <v>83.5</v>
      </c>
      <c r="AJ149" s="33">
        <v>83.4</v>
      </c>
      <c r="AK149" s="33">
        <v>164.84374199999999</v>
      </c>
      <c r="AL149" s="33">
        <v>63.5</v>
      </c>
      <c r="AM149" s="123">
        <v>18.145656363988383</v>
      </c>
      <c r="AN149" s="123">
        <v>29.418341758509595</v>
      </c>
      <c r="AO149" s="123">
        <v>53.015520799208097</v>
      </c>
      <c r="AP149" s="33">
        <v>22.68</v>
      </c>
      <c r="AQ149" s="33">
        <f t="shared" si="35"/>
        <v>0.27161676646706584</v>
      </c>
      <c r="AR149" s="33">
        <v>84.9</v>
      </c>
      <c r="AS149" s="33">
        <v>89.1</v>
      </c>
      <c r="AT149" s="33">
        <v>80.8</v>
      </c>
      <c r="AU149" s="33">
        <v>86.6</v>
      </c>
      <c r="AV149" s="65">
        <v>90.4</v>
      </c>
      <c r="AW149" s="33">
        <v>83</v>
      </c>
      <c r="AX149" s="33">
        <v>-17.399999999999999</v>
      </c>
      <c r="AY149" s="33">
        <v>-21.1</v>
      </c>
      <c r="AZ149" s="33">
        <v>-17.100000000000001</v>
      </c>
      <c r="BA149" s="33">
        <v>-12.4</v>
      </c>
      <c r="BB149" s="33">
        <v>81.7</v>
      </c>
      <c r="BC149" s="33">
        <v>86.4</v>
      </c>
      <c r="BD149" s="33">
        <v>77.3</v>
      </c>
      <c r="BE149" s="33">
        <v>-83.9</v>
      </c>
      <c r="BF149" s="33">
        <v>35.9</v>
      </c>
      <c r="BG149" s="33">
        <v>-15.1</v>
      </c>
      <c r="BH149" s="33">
        <v>172.6</v>
      </c>
      <c r="BI149" s="33">
        <v>51.2</v>
      </c>
      <c r="BJ149" s="34">
        <v>44.283002629999999</v>
      </c>
      <c r="BK149" s="45">
        <v>1.4101496498689023</v>
      </c>
      <c r="BL149" s="33">
        <v>0.127</v>
      </c>
      <c r="BM149" s="33">
        <v>98.678299999999993</v>
      </c>
      <c r="BN149" s="33">
        <v>98.866</v>
      </c>
      <c r="BO149" s="33">
        <v>-34.1</v>
      </c>
      <c r="BP149" s="33">
        <v>-31.9</v>
      </c>
      <c r="BQ149" s="33">
        <v>17.399999999999999</v>
      </c>
      <c r="BR149" s="33">
        <v>-13.8</v>
      </c>
      <c r="BS149" s="33">
        <v>-3.8</v>
      </c>
      <c r="BT149" s="33">
        <v>-24.2</v>
      </c>
      <c r="BU149" s="33">
        <v>-21.8</v>
      </c>
      <c r="BV149" s="33">
        <v>-5.3</v>
      </c>
      <c r="BW149" s="33">
        <v>-14.3</v>
      </c>
      <c r="BX149" s="33">
        <v>-29.9</v>
      </c>
      <c r="BY149" s="33">
        <v>-52.2</v>
      </c>
      <c r="BZ149" s="33">
        <v>84.1</v>
      </c>
      <c r="CA149" s="33">
        <v>-14.3</v>
      </c>
      <c r="CB149" s="33">
        <v>-10.3</v>
      </c>
      <c r="CC149" s="33">
        <v>0</v>
      </c>
      <c r="CD149" s="33">
        <v>-49</v>
      </c>
      <c r="CE149" s="33">
        <v>-28</v>
      </c>
      <c r="CF149" s="33">
        <v>52.6</v>
      </c>
      <c r="CG149" s="33">
        <v>46.2</v>
      </c>
      <c r="CH149" s="33">
        <v>37.700000000000003</v>
      </c>
      <c r="CI149" s="33">
        <v>-27.8</v>
      </c>
      <c r="CJ149" s="33">
        <v>-18.899999999999999</v>
      </c>
      <c r="CK149" s="33">
        <v>12.4</v>
      </c>
      <c r="CL149" s="33">
        <v>10.199999999999999</v>
      </c>
      <c r="CM149" s="33">
        <v>3690.130435</v>
      </c>
      <c r="CN149" s="33">
        <v>10021.5</v>
      </c>
      <c r="CO149" s="33">
        <v>1140.0008700000001</v>
      </c>
      <c r="CP149" s="33">
        <v>5.0599999999999996</v>
      </c>
      <c r="CQ149" s="33">
        <v>5.07</v>
      </c>
      <c r="CR149" s="33">
        <v>91.3</v>
      </c>
      <c r="CS149" s="121">
        <f t="shared" si="27"/>
        <v>42.150000000000006</v>
      </c>
      <c r="CT149" s="33">
        <v>99.3</v>
      </c>
      <c r="CU149" s="33">
        <v>105.3</v>
      </c>
      <c r="CV149" s="33">
        <v>85.2</v>
      </c>
      <c r="CW149" s="33">
        <v>105.3</v>
      </c>
      <c r="CX149" s="33">
        <v>99.8</v>
      </c>
      <c r="CY149" s="33">
        <v>5.53</v>
      </c>
      <c r="CZ149" s="33">
        <v>28292.874</v>
      </c>
      <c r="DA149" s="33">
        <v>3.07</v>
      </c>
      <c r="DB149" s="33">
        <v>17.52</v>
      </c>
      <c r="DC149" s="33">
        <v>28.85</v>
      </c>
      <c r="DD149" s="33">
        <v>8.9700000000000006</v>
      </c>
      <c r="DE149" s="33">
        <v>5469.6970000000001</v>
      </c>
      <c r="DF149" s="33">
        <v>1211.0540000000001</v>
      </c>
      <c r="DG149" s="33">
        <v>788.19799999999998</v>
      </c>
      <c r="DH149" s="33">
        <v>953.71400000000006</v>
      </c>
      <c r="DI149" s="33">
        <v>1087.3800000000001</v>
      </c>
      <c r="DJ149" s="33">
        <v>98.836600000000004</v>
      </c>
      <c r="DK149" s="33">
        <v>98.5501</v>
      </c>
      <c r="DL149" s="33">
        <v>98.37</v>
      </c>
      <c r="DM149" s="33">
        <v>97.923100000000005</v>
      </c>
      <c r="DN149" s="33">
        <v>98.866</v>
      </c>
      <c r="DO149" s="33">
        <v>98.678299999999993</v>
      </c>
      <c r="DP149" s="33">
        <v>98.974400000000003</v>
      </c>
      <c r="DQ149" s="33">
        <v>98.871499999999997</v>
      </c>
      <c r="DR149" s="104">
        <v>177487</v>
      </c>
      <c r="DS149" s="103">
        <v>27918</v>
      </c>
      <c r="DT149" s="104">
        <v>91.9</v>
      </c>
      <c r="DU149">
        <v>105.63607788085938</v>
      </c>
      <c r="DV149">
        <v>95.479484558105469</v>
      </c>
      <c r="DW149">
        <v>876</v>
      </c>
      <c r="DX149">
        <v>799225</v>
      </c>
      <c r="DY149" s="102">
        <f t="shared" si="36"/>
        <v>65.3</v>
      </c>
    </row>
    <row r="150" spans="1:129" x14ac:dyDescent="0.25">
      <c r="A150" s="1">
        <v>37288</v>
      </c>
      <c r="B150" s="33">
        <v>83</v>
      </c>
      <c r="C150" s="107">
        <v>3.28</v>
      </c>
      <c r="D150" s="33">
        <v>3.25</v>
      </c>
      <c r="E150" s="33">
        <v>3.35</v>
      </c>
      <c r="F150" s="33">
        <v>4.3899999999999997</v>
      </c>
      <c r="G150" s="33">
        <v>4.74</v>
      </c>
      <c r="H150" s="33">
        <v>4.92</v>
      </c>
      <c r="I150" s="33">
        <f t="shared" si="28"/>
        <v>1.6400000000000001</v>
      </c>
      <c r="J150" s="33">
        <f t="shared" si="29"/>
        <v>1.67</v>
      </c>
      <c r="K150" s="33">
        <f t="shared" si="30"/>
        <v>1.5699999999999998</v>
      </c>
      <c r="L150" s="33">
        <f t="shared" si="31"/>
        <v>-2.9999999999999805E-2</v>
      </c>
      <c r="M150" s="33">
        <v>92.6</v>
      </c>
      <c r="N150" s="33">
        <v>5097.0600000000004</v>
      </c>
      <c r="O150" s="33">
        <v>25.33</v>
      </c>
      <c r="P150" s="33">
        <v>518.4</v>
      </c>
      <c r="Q150" s="34">
        <f t="shared" si="32"/>
        <v>6.5125628140703515</v>
      </c>
      <c r="R150" s="60">
        <v>1266.3</v>
      </c>
      <c r="S150" s="34">
        <f t="shared" si="33"/>
        <v>1590.8291457286432</v>
      </c>
      <c r="T150" s="60">
        <v>1362.6</v>
      </c>
      <c r="U150" s="34">
        <f t="shared" si="34"/>
        <v>1711.8090452261306</v>
      </c>
      <c r="V150" s="116">
        <v>345737</v>
      </c>
      <c r="W150" s="116">
        <v>2248416</v>
      </c>
      <c r="X150" s="117">
        <v>4650397</v>
      </c>
      <c r="Y150" s="117">
        <v>781059</v>
      </c>
      <c r="Z150" s="33">
        <v>78</v>
      </c>
      <c r="AA150" s="33">
        <v>65.8</v>
      </c>
      <c r="AB150" s="33">
        <v>78.099999999999994</v>
      </c>
      <c r="AC150" s="33">
        <v>62.1</v>
      </c>
      <c r="AD150" s="33">
        <v>39842</v>
      </c>
      <c r="AE150" s="33">
        <v>9.6</v>
      </c>
      <c r="AF150" s="33">
        <v>400</v>
      </c>
      <c r="AG150" s="33">
        <v>77.8</v>
      </c>
      <c r="AH150" s="33">
        <v>79.599999999999994</v>
      </c>
      <c r="AI150" s="33">
        <v>83.7</v>
      </c>
      <c r="AJ150" s="33">
        <v>83.2</v>
      </c>
      <c r="AK150" s="33">
        <v>164.84374199999999</v>
      </c>
      <c r="AL150" s="33">
        <v>63.6</v>
      </c>
      <c r="AM150" s="123">
        <v>17.910761135975591</v>
      </c>
      <c r="AN150" s="123">
        <v>30.390426094877739</v>
      </c>
      <c r="AO150" s="123">
        <v>55.043940725438659</v>
      </c>
      <c r="AP150" s="33">
        <v>23.6</v>
      </c>
      <c r="AQ150" s="33">
        <f t="shared" si="35"/>
        <v>0.2819593787335723</v>
      </c>
      <c r="AR150" s="33">
        <v>86.1</v>
      </c>
      <c r="AS150" s="33">
        <v>94.2</v>
      </c>
      <c r="AT150" s="33">
        <v>78.599999999999994</v>
      </c>
      <c r="AU150" s="33">
        <v>89.1</v>
      </c>
      <c r="AV150" s="65">
        <v>97.1</v>
      </c>
      <c r="AW150" s="33">
        <v>81.8</v>
      </c>
      <c r="AX150" s="33">
        <v>-8.3000000000000007</v>
      </c>
      <c r="AY150" s="33">
        <v>-7.1</v>
      </c>
      <c r="AZ150" s="33">
        <v>-11.2</v>
      </c>
      <c r="BA150" s="33">
        <v>-4.9000000000000004</v>
      </c>
      <c r="BB150" s="33">
        <v>82.8</v>
      </c>
      <c r="BC150" s="33">
        <v>91.8</v>
      </c>
      <c r="BD150" s="33">
        <v>74.8</v>
      </c>
      <c r="BE150" s="33">
        <v>-87</v>
      </c>
      <c r="BF150" s="33">
        <v>50.2</v>
      </c>
      <c r="BG150" s="33">
        <v>-11</v>
      </c>
      <c r="BH150" s="33">
        <v>168.5</v>
      </c>
      <c r="BI150" s="33">
        <v>40</v>
      </c>
      <c r="BJ150" s="34">
        <v>47.261186860000002</v>
      </c>
      <c r="BK150" s="45">
        <v>18.245758584832526</v>
      </c>
      <c r="BL150" s="33">
        <v>0.23799999999999999</v>
      </c>
      <c r="BM150" s="33">
        <v>98.947000000000003</v>
      </c>
      <c r="BN150" s="33">
        <v>99.096800000000002</v>
      </c>
      <c r="BO150" s="33">
        <v>-33.700000000000003</v>
      </c>
      <c r="BP150" s="33">
        <v>-29.7</v>
      </c>
      <c r="BQ150" s="33">
        <v>15.2</v>
      </c>
      <c r="BR150" s="33">
        <v>-8.1</v>
      </c>
      <c r="BS150" s="33">
        <v>-2.4</v>
      </c>
      <c r="BT150" s="33">
        <v>-22.2</v>
      </c>
      <c r="BU150" s="33">
        <v>-19</v>
      </c>
      <c r="BV150" s="33">
        <v>-2</v>
      </c>
      <c r="BW150" s="33">
        <v>-15.3</v>
      </c>
      <c r="BX150" s="33">
        <v>-33.299999999999997</v>
      </c>
      <c r="BY150" s="33">
        <v>-49.1</v>
      </c>
      <c r="BZ150" s="33">
        <v>86.1</v>
      </c>
      <c r="CA150" s="33">
        <v>-15.3</v>
      </c>
      <c r="CB150" s="33">
        <v>-13.5</v>
      </c>
      <c r="CC150" s="33">
        <v>-1</v>
      </c>
      <c r="CD150" s="33">
        <v>-51.9</v>
      </c>
      <c r="CE150" s="33">
        <v>-27.9</v>
      </c>
      <c r="CF150" s="33">
        <v>63.5</v>
      </c>
      <c r="CG150" s="33">
        <v>41</v>
      </c>
      <c r="CH150" s="33">
        <v>35.9</v>
      </c>
      <c r="CI150" s="33">
        <v>-33.200000000000003</v>
      </c>
      <c r="CJ150" s="33">
        <v>-18.8</v>
      </c>
      <c r="CK150" s="33">
        <v>7.9</v>
      </c>
      <c r="CL150" s="33">
        <v>6.1</v>
      </c>
      <c r="CM150" s="33">
        <v>3537.6015000000002</v>
      </c>
      <c r="CN150" s="33">
        <v>9907.26</v>
      </c>
      <c r="CO150" s="33">
        <v>1100.8444999999999</v>
      </c>
      <c r="CP150" s="33">
        <v>4.8710000000000004</v>
      </c>
      <c r="CQ150" s="33">
        <v>5.0199999999999996</v>
      </c>
      <c r="CR150" s="33">
        <v>87.2</v>
      </c>
      <c r="CS150" s="121">
        <f t="shared" si="27"/>
        <v>37.150000000000006</v>
      </c>
      <c r="CT150" s="33">
        <v>100.8</v>
      </c>
      <c r="CU150" s="33">
        <v>105.5</v>
      </c>
      <c r="CV150" s="33">
        <v>84.4</v>
      </c>
      <c r="CW150" s="33">
        <v>99.1</v>
      </c>
      <c r="CX150" s="33">
        <v>106.8</v>
      </c>
      <c r="CY150" s="33">
        <v>5.61</v>
      </c>
      <c r="CZ150" s="33">
        <v>28825.965</v>
      </c>
      <c r="DA150" s="33">
        <v>3.39</v>
      </c>
      <c r="DB150" s="33">
        <v>18.91</v>
      </c>
      <c r="DC150" s="33">
        <v>29.31</v>
      </c>
      <c r="DD150" s="33">
        <v>10.039999999999999</v>
      </c>
      <c r="DE150" s="33">
        <v>5421.2370000000001</v>
      </c>
      <c r="DF150" s="33">
        <v>1177.883</v>
      </c>
      <c r="DG150" s="33">
        <v>876.05200000000002</v>
      </c>
      <c r="DH150" s="33">
        <v>977.40899999999999</v>
      </c>
      <c r="DI150" s="33">
        <v>984.30399999999997</v>
      </c>
      <c r="DJ150" s="33">
        <v>98.971199999999996</v>
      </c>
      <c r="DK150" s="33">
        <v>98.720600000000005</v>
      </c>
      <c r="DL150" s="33">
        <v>98.53</v>
      </c>
      <c r="DM150" s="33">
        <v>98.1374</v>
      </c>
      <c r="DN150" s="33">
        <v>99.096800000000002</v>
      </c>
      <c r="DO150" s="33">
        <v>98.947000000000003</v>
      </c>
      <c r="DP150" s="33">
        <v>99.239199999999997</v>
      </c>
      <c r="DQ150" s="33">
        <v>99.162800000000004</v>
      </c>
      <c r="DR150" s="104">
        <v>201261</v>
      </c>
      <c r="DS150" s="103">
        <v>27913</v>
      </c>
      <c r="DT150" s="73">
        <v>92.1</v>
      </c>
      <c r="DU150">
        <v>101.53128051757813</v>
      </c>
      <c r="DV150">
        <v>86.479423522949219</v>
      </c>
      <c r="DW150">
        <v>908</v>
      </c>
      <c r="DX150">
        <v>855500</v>
      </c>
      <c r="DY150" s="102">
        <f t="shared" si="36"/>
        <v>64.8</v>
      </c>
    </row>
    <row r="151" spans="1:129" x14ac:dyDescent="0.25">
      <c r="A151" s="1">
        <v>37316</v>
      </c>
      <c r="B151" s="33">
        <v>83.4</v>
      </c>
      <c r="C151" s="107">
        <v>3.26</v>
      </c>
      <c r="D151" s="33">
        <v>3.25</v>
      </c>
      <c r="E151" s="33">
        <v>3.36</v>
      </c>
      <c r="F151" s="33">
        <v>4.66</v>
      </c>
      <c r="G151" s="33">
        <v>5</v>
      </c>
      <c r="H151" s="33">
        <v>5.16</v>
      </c>
      <c r="I151" s="33">
        <f t="shared" si="28"/>
        <v>1.9000000000000004</v>
      </c>
      <c r="J151" s="33">
        <f t="shared" si="29"/>
        <v>1.9100000000000001</v>
      </c>
      <c r="K151" s="33">
        <f t="shared" si="30"/>
        <v>1.8000000000000003</v>
      </c>
      <c r="L151" s="33">
        <f t="shared" si="31"/>
        <v>-9.9999999999997868E-3</v>
      </c>
      <c r="M151" s="33">
        <v>92.5</v>
      </c>
      <c r="N151" s="33">
        <v>5097.41</v>
      </c>
      <c r="O151" s="33">
        <v>24.15</v>
      </c>
      <c r="P151" s="33">
        <v>520</v>
      </c>
      <c r="Q151" s="34">
        <f t="shared" si="32"/>
        <v>6.5326633165829149</v>
      </c>
      <c r="R151" s="60">
        <v>1270.4000000000001</v>
      </c>
      <c r="S151" s="34">
        <f t="shared" si="33"/>
        <v>1595.9798994974876</v>
      </c>
      <c r="T151" s="60">
        <v>1367.8</v>
      </c>
      <c r="U151" s="34">
        <f t="shared" si="34"/>
        <v>1718.3417085427138</v>
      </c>
      <c r="V151" s="116">
        <v>344173</v>
      </c>
      <c r="W151" s="116">
        <v>2238965</v>
      </c>
      <c r="X151" s="117">
        <v>4662027</v>
      </c>
      <c r="Y151" s="117">
        <v>791941</v>
      </c>
      <c r="Z151" s="33">
        <v>78.3</v>
      </c>
      <c r="AA151" s="33">
        <v>67.2</v>
      </c>
      <c r="AB151" s="33">
        <v>82.1</v>
      </c>
      <c r="AC151" s="33">
        <v>64.400000000000006</v>
      </c>
      <c r="AD151" s="33">
        <v>39817</v>
      </c>
      <c r="AE151" s="33">
        <v>9.6</v>
      </c>
      <c r="AF151" s="33">
        <v>401</v>
      </c>
      <c r="AG151" s="33">
        <v>78</v>
      </c>
      <c r="AH151" s="33">
        <v>79.599999999999994</v>
      </c>
      <c r="AI151" s="33">
        <v>84.2</v>
      </c>
      <c r="AJ151" s="33">
        <v>83.4</v>
      </c>
      <c r="AK151" s="33">
        <v>165.55581000000001</v>
      </c>
      <c r="AL151" s="33">
        <v>63.7</v>
      </c>
      <c r="AM151" s="123">
        <v>19.427528295238389</v>
      </c>
      <c r="AN151" s="123">
        <v>36.528100384627557</v>
      </c>
      <c r="AO151" s="123">
        <v>55.401950096010623</v>
      </c>
      <c r="AP151" s="33">
        <v>27.38</v>
      </c>
      <c r="AQ151" s="33">
        <f t="shared" si="35"/>
        <v>0.32517814726840855</v>
      </c>
      <c r="AR151" s="33">
        <v>87.9</v>
      </c>
      <c r="AS151" s="33">
        <v>98.2</v>
      </c>
      <c r="AT151" s="33">
        <v>78.7</v>
      </c>
      <c r="AU151" s="33">
        <v>91.5</v>
      </c>
      <c r="AV151" s="65">
        <v>102.8</v>
      </c>
      <c r="AW151" s="33">
        <v>81.400000000000006</v>
      </c>
      <c r="AX151" s="33">
        <v>0.4</v>
      </c>
      <c r="AY151" s="33">
        <v>3.1</v>
      </c>
      <c r="AZ151" s="33">
        <v>-8.8000000000000007</v>
      </c>
      <c r="BA151" s="33">
        <v>3.6</v>
      </c>
      <c r="BB151" s="33">
        <v>83</v>
      </c>
      <c r="BC151" s="33">
        <v>91.2</v>
      </c>
      <c r="BD151" s="33">
        <v>75.5</v>
      </c>
      <c r="BE151" s="33">
        <v>-80</v>
      </c>
      <c r="BF151" s="33">
        <v>71.2</v>
      </c>
      <c r="BG151" s="33">
        <v>-3.4</v>
      </c>
      <c r="BH151" s="33">
        <v>162.19999999999999</v>
      </c>
      <c r="BI151" s="33">
        <v>35.200000000000003</v>
      </c>
      <c r="BJ151" s="34">
        <v>48.202536360000003</v>
      </c>
      <c r="BK151" s="45">
        <v>25.395044438904588</v>
      </c>
      <c r="BL151" s="33">
        <v>0.32900000000000001</v>
      </c>
      <c r="BM151" s="33">
        <v>99.169799999999995</v>
      </c>
      <c r="BN151" s="33">
        <v>99.288300000000007</v>
      </c>
      <c r="BO151" s="33">
        <v>-34.6</v>
      </c>
      <c r="BP151" s="33">
        <v>-31.3</v>
      </c>
      <c r="BQ151" s="33">
        <v>15.9</v>
      </c>
      <c r="BR151" s="33">
        <v>0.9</v>
      </c>
      <c r="BS151" s="33">
        <v>0.1</v>
      </c>
      <c r="BT151" s="33">
        <v>-22.4</v>
      </c>
      <c r="BU151" s="33">
        <v>-16.5</v>
      </c>
      <c r="BV151" s="33">
        <v>0.9</v>
      </c>
      <c r="BW151" s="33">
        <v>-14.8</v>
      </c>
      <c r="BX151" s="33">
        <v>-33.5</v>
      </c>
      <c r="BY151" s="33">
        <v>-49.3</v>
      </c>
      <c r="BZ151" s="33">
        <v>88.2</v>
      </c>
      <c r="CA151" s="33">
        <v>-14.8</v>
      </c>
      <c r="CB151" s="33">
        <v>-14.7</v>
      </c>
      <c r="CC151" s="33">
        <v>0.1</v>
      </c>
      <c r="CD151" s="33">
        <v>-51</v>
      </c>
      <c r="CE151" s="33">
        <v>-25.2</v>
      </c>
      <c r="CF151" s="33">
        <v>66</v>
      </c>
      <c r="CG151" s="33">
        <v>34.6</v>
      </c>
      <c r="CH151" s="33">
        <v>34.1</v>
      </c>
      <c r="CI151" s="33">
        <v>-34.9</v>
      </c>
      <c r="CJ151" s="33">
        <v>-19.2</v>
      </c>
      <c r="CK151" s="33">
        <v>10</v>
      </c>
      <c r="CL151" s="33">
        <v>6.4</v>
      </c>
      <c r="CM151" s="33">
        <v>3744.2446190000001</v>
      </c>
      <c r="CN151" s="33">
        <v>10368.86</v>
      </c>
      <c r="CO151" s="33">
        <v>1153.4861900000001</v>
      </c>
      <c r="CP151" s="33">
        <v>5.0490000000000004</v>
      </c>
      <c r="CQ151" s="33">
        <v>4.9800000000000004</v>
      </c>
      <c r="CR151" s="33">
        <v>92.7</v>
      </c>
      <c r="CS151" s="121">
        <f t="shared" si="27"/>
        <v>35.650000000000006</v>
      </c>
      <c r="CT151" s="33">
        <v>103.2</v>
      </c>
      <c r="CU151" s="33">
        <v>103</v>
      </c>
      <c r="CV151" s="33">
        <v>86.7</v>
      </c>
      <c r="CW151" s="33">
        <v>107.2</v>
      </c>
      <c r="CX151" s="33">
        <v>106</v>
      </c>
      <c r="CY151" s="33">
        <v>6.05</v>
      </c>
      <c r="CZ151" s="33">
        <v>29878.891</v>
      </c>
      <c r="DA151" s="33">
        <v>3.59</v>
      </c>
      <c r="DB151" s="33">
        <v>17.55</v>
      </c>
      <c r="DC151" s="33">
        <v>29.24</v>
      </c>
      <c r="DD151" s="33">
        <v>9.44</v>
      </c>
      <c r="DE151" s="33">
        <v>6008.3090000000002</v>
      </c>
      <c r="DF151" s="33">
        <v>1213.4849999999999</v>
      </c>
      <c r="DG151" s="33">
        <v>888.76099999999997</v>
      </c>
      <c r="DH151" s="33">
        <v>1002.2</v>
      </c>
      <c r="DI151" s="33">
        <v>1140.7380000000001</v>
      </c>
      <c r="DJ151" s="33">
        <v>99.1297</v>
      </c>
      <c r="DK151" s="33">
        <v>98.923000000000002</v>
      </c>
      <c r="DL151" s="33">
        <v>98.76</v>
      </c>
      <c r="DM151" s="33">
        <v>98.418700000000001</v>
      </c>
      <c r="DN151" s="33">
        <v>99.288300000000007</v>
      </c>
      <c r="DO151" s="33">
        <v>99.169799999999995</v>
      </c>
      <c r="DP151" s="33">
        <v>99.438199999999995</v>
      </c>
      <c r="DQ151" s="33">
        <v>99.381699999999995</v>
      </c>
      <c r="DR151" s="104">
        <v>210571</v>
      </c>
      <c r="DS151" s="103">
        <v>27856</v>
      </c>
      <c r="DT151" s="73">
        <v>92.5</v>
      </c>
      <c r="DU151">
        <v>85.988838195800781</v>
      </c>
      <c r="DV151">
        <v>73.089767456054688</v>
      </c>
      <c r="DW151">
        <v>1033</v>
      </c>
      <c r="DX151">
        <v>910050</v>
      </c>
      <c r="DY151" s="102">
        <f t="shared" si="36"/>
        <v>65.5</v>
      </c>
    </row>
    <row r="152" spans="1:129" x14ac:dyDescent="0.25">
      <c r="A152" s="1">
        <v>37347</v>
      </c>
      <c r="B152" s="33">
        <v>83.3</v>
      </c>
      <c r="C152" s="107">
        <v>3.32</v>
      </c>
      <c r="D152" s="33">
        <v>3.25</v>
      </c>
      <c r="E152" s="33">
        <v>3.39</v>
      </c>
      <c r="F152" s="33">
        <v>4.6500000000000004</v>
      </c>
      <c r="G152" s="33">
        <v>4.9800000000000004</v>
      </c>
      <c r="H152" s="33">
        <v>5.15</v>
      </c>
      <c r="I152" s="33">
        <f t="shared" si="28"/>
        <v>1.8300000000000005</v>
      </c>
      <c r="J152" s="33">
        <f t="shared" si="29"/>
        <v>1.9000000000000004</v>
      </c>
      <c r="K152" s="33">
        <f t="shared" si="30"/>
        <v>1.7600000000000002</v>
      </c>
      <c r="L152" s="33">
        <f t="shared" si="31"/>
        <v>-6.999999999999984E-2</v>
      </c>
      <c r="M152" s="33">
        <v>92.6</v>
      </c>
      <c r="N152" s="33">
        <v>5397.29</v>
      </c>
      <c r="O152" s="33">
        <v>20.010000000000002</v>
      </c>
      <c r="P152" s="33">
        <v>526.70000000000005</v>
      </c>
      <c r="Q152" s="34">
        <f t="shared" si="32"/>
        <v>6.6168341708542728</v>
      </c>
      <c r="R152" s="60">
        <v>1271.0999999999999</v>
      </c>
      <c r="S152" s="34">
        <f t="shared" si="33"/>
        <v>1596.859296482412</v>
      </c>
      <c r="T152" s="60">
        <v>1369.7</v>
      </c>
      <c r="U152" s="34">
        <f t="shared" si="34"/>
        <v>1720.7286432160806</v>
      </c>
      <c r="V152" s="116">
        <v>343672</v>
      </c>
      <c r="W152" s="116">
        <v>2273547</v>
      </c>
      <c r="X152" s="117">
        <v>4697507</v>
      </c>
      <c r="Y152" s="117">
        <v>785358</v>
      </c>
      <c r="Z152" s="33">
        <v>78.2</v>
      </c>
      <c r="AA152" s="33">
        <v>67.400000000000006</v>
      </c>
      <c r="AB152" s="33">
        <v>80.5</v>
      </c>
      <c r="AC152" s="33">
        <v>64.099999999999994</v>
      </c>
      <c r="AD152" s="33">
        <v>39828</v>
      </c>
      <c r="AE152" s="33">
        <v>9.5</v>
      </c>
      <c r="AF152" s="33">
        <v>396</v>
      </c>
      <c r="AG152" s="33">
        <v>78.099999999999994</v>
      </c>
      <c r="AH152" s="33">
        <v>79.599999999999994</v>
      </c>
      <c r="AI152" s="33">
        <v>84.2</v>
      </c>
      <c r="AJ152" s="33">
        <v>83.4</v>
      </c>
      <c r="AK152" s="33">
        <v>165.19977600000001</v>
      </c>
      <c r="AL152" s="33">
        <v>63.9</v>
      </c>
      <c r="AM152" s="123">
        <v>22.004303426893042</v>
      </c>
      <c r="AN152" s="123">
        <v>38.919821243144838</v>
      </c>
      <c r="AO152" s="123">
        <v>56.582647393138728</v>
      </c>
      <c r="AP152" s="33">
        <v>29.27</v>
      </c>
      <c r="AQ152" s="33">
        <f t="shared" si="35"/>
        <v>0.34762470308788596</v>
      </c>
      <c r="AR152" s="33">
        <v>87.4</v>
      </c>
      <c r="AS152" s="33">
        <v>97.7</v>
      </c>
      <c r="AT152" s="33">
        <v>78.099999999999994</v>
      </c>
      <c r="AU152" s="33">
        <v>91.8</v>
      </c>
      <c r="AV152" s="65">
        <v>102.8</v>
      </c>
      <c r="AW152" s="33">
        <v>82</v>
      </c>
      <c r="AX152" s="33">
        <v>2.5</v>
      </c>
      <c r="AY152" s="33">
        <v>7</v>
      </c>
      <c r="AZ152" s="33">
        <v>-7.3</v>
      </c>
      <c r="BA152" s="33">
        <v>2.2999999999999998</v>
      </c>
      <c r="BB152" s="33">
        <v>80</v>
      </c>
      <c r="BC152" s="33">
        <v>90.3</v>
      </c>
      <c r="BD152" s="33">
        <v>70.900000000000006</v>
      </c>
      <c r="BE152" s="33">
        <v>-76.7</v>
      </c>
      <c r="BF152" s="33">
        <v>70.599999999999994</v>
      </c>
      <c r="BG152" s="33">
        <v>-5.8</v>
      </c>
      <c r="BH152" s="33">
        <v>160.6</v>
      </c>
      <c r="BI152" s="33">
        <v>13.5</v>
      </c>
      <c r="BJ152" s="34">
        <v>49.024340860000002</v>
      </c>
      <c r="BK152" s="45">
        <v>21.598996568906735</v>
      </c>
      <c r="BL152" s="33">
        <v>0.37</v>
      </c>
      <c r="BM152" s="33">
        <v>99.299099999999996</v>
      </c>
      <c r="BN152" s="33">
        <v>99.399299999999997</v>
      </c>
      <c r="BO152" s="33">
        <v>-34.6</v>
      </c>
      <c r="BP152" s="33">
        <v>-30.8</v>
      </c>
      <c r="BQ152" s="33">
        <v>15.5</v>
      </c>
      <c r="BR152" s="33">
        <v>2.1</v>
      </c>
      <c r="BS152" s="33">
        <v>2.9</v>
      </c>
      <c r="BT152" s="33">
        <v>-19.600000000000001</v>
      </c>
      <c r="BU152" s="33">
        <v>-16</v>
      </c>
      <c r="BV152" s="33">
        <v>-2.1</v>
      </c>
      <c r="BW152" s="33">
        <v>-15.9</v>
      </c>
      <c r="BX152" s="33">
        <v>-32.5</v>
      </c>
      <c r="BY152" s="33">
        <v>-50.4</v>
      </c>
      <c r="BZ152" s="33">
        <v>87.2</v>
      </c>
      <c r="CA152" s="33">
        <v>-15.9</v>
      </c>
      <c r="CB152" s="33">
        <v>-17.100000000000001</v>
      </c>
      <c r="CC152" s="33">
        <v>-1.8</v>
      </c>
      <c r="CD152" s="33">
        <v>-53.7</v>
      </c>
      <c r="CE152" s="33">
        <v>-26.2</v>
      </c>
      <c r="CF152" s="33">
        <v>70.900000000000006</v>
      </c>
      <c r="CG152" s="33">
        <v>35.5</v>
      </c>
      <c r="CH152" s="33">
        <v>33.200000000000003</v>
      </c>
      <c r="CI152" s="33">
        <v>-37.6</v>
      </c>
      <c r="CJ152" s="33">
        <v>-18.7</v>
      </c>
      <c r="CK152" s="33">
        <v>5.2</v>
      </c>
      <c r="CL152" s="33">
        <v>5.5</v>
      </c>
      <c r="CM152" s="33">
        <v>3658.6166360000002</v>
      </c>
      <c r="CN152" s="33">
        <v>10362.700000000001</v>
      </c>
      <c r="CO152" s="33">
        <v>1112.034091</v>
      </c>
      <c r="CP152" s="33">
        <v>5.2930000000000001</v>
      </c>
      <c r="CQ152" s="33">
        <v>5.44</v>
      </c>
      <c r="CR152" s="33">
        <v>89.1</v>
      </c>
      <c r="CS152" s="121">
        <f t="shared" si="27"/>
        <v>33.25</v>
      </c>
      <c r="CT152" s="33">
        <v>104</v>
      </c>
      <c r="CU152" s="33">
        <v>104.6</v>
      </c>
      <c r="CV152" s="33">
        <v>87.6</v>
      </c>
      <c r="CW152" s="33">
        <v>102.6</v>
      </c>
      <c r="CX152" s="33">
        <v>104.6</v>
      </c>
      <c r="CY152" s="33">
        <v>5.69</v>
      </c>
      <c r="CZ152" s="33">
        <v>31348.614000000001</v>
      </c>
      <c r="DA152" s="33">
        <v>3.57</v>
      </c>
      <c r="DB152" s="33">
        <v>18.5</v>
      </c>
      <c r="DC152" s="33">
        <v>30.05</v>
      </c>
      <c r="DD152" s="33">
        <v>9.2200000000000006</v>
      </c>
      <c r="DE152" s="33">
        <v>6220.1120000000001</v>
      </c>
      <c r="DF152" s="33">
        <v>1308.835</v>
      </c>
      <c r="DG152" s="33">
        <v>943.91499999999996</v>
      </c>
      <c r="DH152" s="33">
        <v>1053.336</v>
      </c>
      <c r="DI152" s="33">
        <v>1217.92</v>
      </c>
      <c r="DJ152" s="33">
        <v>99.285700000000006</v>
      </c>
      <c r="DK152" s="33">
        <v>99.122299999999996</v>
      </c>
      <c r="DL152" s="33">
        <v>99</v>
      </c>
      <c r="DM152" s="33">
        <v>98.734999999999999</v>
      </c>
      <c r="DN152" s="33">
        <v>99.399299999999997</v>
      </c>
      <c r="DO152" s="33">
        <v>99.299099999999996</v>
      </c>
      <c r="DP152" s="33">
        <v>99.520799999999994</v>
      </c>
      <c r="DQ152" s="33">
        <v>99.472499999999997</v>
      </c>
      <c r="DR152" s="104">
        <v>204800</v>
      </c>
      <c r="DS152" s="103">
        <v>27842</v>
      </c>
      <c r="DT152" s="73">
        <v>92</v>
      </c>
      <c r="DU152">
        <v>108.53878784179688</v>
      </c>
      <c r="DV152">
        <v>106.96279144287109</v>
      </c>
      <c r="DW152">
        <v>1082</v>
      </c>
      <c r="DX152">
        <v>950650</v>
      </c>
      <c r="DY152" s="102">
        <f t="shared" si="36"/>
        <v>65.900000000000006</v>
      </c>
    </row>
    <row r="153" spans="1:129" x14ac:dyDescent="0.25">
      <c r="A153" s="1">
        <v>37377</v>
      </c>
      <c r="B153" s="33">
        <v>82.6</v>
      </c>
      <c r="C153" s="107">
        <v>3.31</v>
      </c>
      <c r="D153" s="33">
        <v>3.25</v>
      </c>
      <c r="E153" s="33">
        <v>3.42</v>
      </c>
      <c r="F153" s="33">
        <v>4.6900000000000004</v>
      </c>
      <c r="G153" s="33">
        <v>4.99</v>
      </c>
      <c r="H153" s="33">
        <v>5.17</v>
      </c>
      <c r="I153" s="33">
        <f t="shared" si="28"/>
        <v>1.8599999999999999</v>
      </c>
      <c r="J153" s="33">
        <f t="shared" si="29"/>
        <v>1.92</v>
      </c>
      <c r="K153" s="33">
        <f t="shared" si="30"/>
        <v>1.75</v>
      </c>
      <c r="L153" s="33">
        <f t="shared" si="31"/>
        <v>-6.0000000000000053E-2</v>
      </c>
      <c r="M153" s="33">
        <v>93.1</v>
      </c>
      <c r="N153" s="33">
        <v>5041.2</v>
      </c>
      <c r="O153" s="33">
        <v>25.14</v>
      </c>
      <c r="P153" s="33">
        <v>534.70000000000005</v>
      </c>
      <c r="Q153" s="34">
        <f t="shared" si="32"/>
        <v>6.7173366834170869</v>
      </c>
      <c r="R153" s="60">
        <v>1279</v>
      </c>
      <c r="S153" s="34">
        <f t="shared" si="33"/>
        <v>1606.78391959799</v>
      </c>
      <c r="T153" s="60">
        <v>1382</v>
      </c>
      <c r="U153" s="34">
        <f t="shared" si="34"/>
        <v>1736.1809045226132</v>
      </c>
      <c r="V153" s="116">
        <v>342980</v>
      </c>
      <c r="W153" s="116">
        <v>2293570</v>
      </c>
      <c r="X153" s="117">
        <v>4719009</v>
      </c>
      <c r="Y153" s="117">
        <v>804442</v>
      </c>
      <c r="Z153" s="33">
        <v>78.2</v>
      </c>
      <c r="AA153" s="33">
        <v>69.2</v>
      </c>
      <c r="AB153" s="33">
        <v>78.3</v>
      </c>
      <c r="AC153" s="33">
        <v>67.7</v>
      </c>
      <c r="AD153" s="33">
        <v>39776</v>
      </c>
      <c r="AE153" s="33">
        <v>9.6999999999999993</v>
      </c>
      <c r="AF153" s="33">
        <v>392</v>
      </c>
      <c r="AG153" s="33">
        <v>78</v>
      </c>
      <c r="AH153" s="33">
        <v>79.599999999999994</v>
      </c>
      <c r="AI153" s="33">
        <v>83.7</v>
      </c>
      <c r="AJ153" s="33">
        <v>83.3</v>
      </c>
      <c r="AK153" s="33">
        <v>165.19977600000001</v>
      </c>
      <c r="AL153" s="33">
        <v>64.8</v>
      </c>
      <c r="AM153" s="123">
        <v>21.793879760242426</v>
      </c>
      <c r="AN153" s="123">
        <v>37.066496422042704</v>
      </c>
      <c r="AO153" s="123">
        <v>54.774069622581784</v>
      </c>
      <c r="AP153" s="33">
        <v>27.87</v>
      </c>
      <c r="AQ153" s="33">
        <f t="shared" si="35"/>
        <v>0.33297491039426524</v>
      </c>
      <c r="AR153" s="33">
        <v>88.6</v>
      </c>
      <c r="AS153" s="33">
        <v>99.4</v>
      </c>
      <c r="AT153" s="33">
        <v>79</v>
      </c>
      <c r="AU153" s="33">
        <v>93.5</v>
      </c>
      <c r="AV153" s="65">
        <v>105.4</v>
      </c>
      <c r="AW153" s="33">
        <v>82.9</v>
      </c>
      <c r="AX153" s="33">
        <v>2.4</v>
      </c>
      <c r="AY153" s="33">
        <v>2.6</v>
      </c>
      <c r="AZ153" s="33">
        <v>-0.7</v>
      </c>
      <c r="BA153" s="33">
        <v>4.9000000000000004</v>
      </c>
      <c r="BB153" s="33">
        <v>81.900000000000006</v>
      </c>
      <c r="BC153" s="33">
        <v>90.6</v>
      </c>
      <c r="BD153" s="33">
        <v>74</v>
      </c>
      <c r="BE153" s="33">
        <v>-80.7</v>
      </c>
      <c r="BF153" s="33">
        <v>66.3</v>
      </c>
      <c r="BG153" s="33">
        <v>2.9</v>
      </c>
      <c r="BH153" s="33">
        <v>156.80000000000001</v>
      </c>
      <c r="BI153" s="33">
        <v>6</v>
      </c>
      <c r="BJ153" s="34">
        <v>49.801582099999997</v>
      </c>
      <c r="BK153" s="45">
        <v>10.888654423359055</v>
      </c>
      <c r="BL153" s="33">
        <v>0.39400000000000002</v>
      </c>
      <c r="BM153" s="33">
        <v>99.324799999999996</v>
      </c>
      <c r="BN153" s="33">
        <v>99.421400000000006</v>
      </c>
      <c r="BO153" s="33">
        <v>-31.3</v>
      </c>
      <c r="BP153" s="33">
        <v>-28.6</v>
      </c>
      <c r="BQ153" s="33">
        <v>14.9</v>
      </c>
      <c r="BR153" s="33">
        <v>2.5</v>
      </c>
      <c r="BS153" s="33">
        <v>4.4000000000000004</v>
      </c>
      <c r="BT153" s="33">
        <v>-20.3</v>
      </c>
      <c r="BU153" s="33">
        <v>-14.6</v>
      </c>
      <c r="BV153" s="33">
        <v>-6.5</v>
      </c>
      <c r="BW153" s="33">
        <v>-16.2</v>
      </c>
      <c r="BX153" s="33">
        <v>-32.700000000000003</v>
      </c>
      <c r="BY153" s="33">
        <v>-50.3</v>
      </c>
      <c r="BZ153" s="33">
        <v>86.2</v>
      </c>
      <c r="CA153" s="33">
        <v>-16.2</v>
      </c>
      <c r="CB153" s="33">
        <v>-19.8</v>
      </c>
      <c r="CC153" s="33">
        <v>-0.7</v>
      </c>
      <c r="CD153" s="33">
        <v>-52.9</v>
      </c>
      <c r="CE153" s="33">
        <v>-23.3</v>
      </c>
      <c r="CF153" s="33">
        <v>72.5</v>
      </c>
      <c r="CG153" s="33">
        <v>29.4</v>
      </c>
      <c r="CH153" s="33">
        <v>32.9</v>
      </c>
      <c r="CI153" s="33">
        <v>-34.9</v>
      </c>
      <c r="CJ153" s="33">
        <v>-20.9</v>
      </c>
      <c r="CK153" s="33">
        <v>5</v>
      </c>
      <c r="CL153" s="33">
        <v>3.4</v>
      </c>
      <c r="CM153" s="33">
        <v>3503.4543039999999</v>
      </c>
      <c r="CN153" s="33">
        <v>10059.629999999999</v>
      </c>
      <c r="CO153" s="33">
        <v>1079.4647829999999</v>
      </c>
      <c r="CP153" s="33">
        <v>5.1619999999999999</v>
      </c>
      <c r="CQ153" s="33">
        <v>5.08</v>
      </c>
      <c r="CR153" s="33">
        <v>92.7</v>
      </c>
      <c r="CS153" s="121">
        <f t="shared" si="27"/>
        <v>32.450000000000003</v>
      </c>
      <c r="CT153" s="33">
        <v>108.6</v>
      </c>
      <c r="CU153" s="33">
        <v>107.2</v>
      </c>
      <c r="CV153" s="33">
        <v>90.4</v>
      </c>
      <c r="CW153" s="33">
        <v>108.9</v>
      </c>
      <c r="CX153" s="33">
        <v>108.1</v>
      </c>
      <c r="CY153" s="33">
        <v>5.47</v>
      </c>
      <c r="CZ153" s="33">
        <v>28108.723000000002</v>
      </c>
      <c r="DA153" s="33">
        <v>3.27</v>
      </c>
      <c r="DB153" s="33">
        <v>16.760000000000002</v>
      </c>
      <c r="DC153" s="33">
        <v>28.39</v>
      </c>
      <c r="DD153" s="33">
        <v>8.56</v>
      </c>
      <c r="DE153" s="33">
        <v>5664.692</v>
      </c>
      <c r="DF153" s="33">
        <v>1180.443</v>
      </c>
      <c r="DG153" s="33">
        <v>873.22299999999996</v>
      </c>
      <c r="DH153" s="33">
        <v>987.71500000000003</v>
      </c>
      <c r="DI153" s="33">
        <v>1004.44</v>
      </c>
      <c r="DJ153" s="33">
        <v>99.418000000000006</v>
      </c>
      <c r="DK153" s="33">
        <v>99.290800000000004</v>
      </c>
      <c r="DL153" s="33">
        <v>99.26</v>
      </c>
      <c r="DM153" s="33">
        <v>99.060500000000005</v>
      </c>
      <c r="DN153" s="33">
        <v>99.421400000000006</v>
      </c>
      <c r="DO153" s="33">
        <v>99.324799999999996</v>
      </c>
      <c r="DP153" s="33">
        <v>99.469099999999997</v>
      </c>
      <c r="DQ153" s="33">
        <v>99.415700000000001</v>
      </c>
      <c r="DR153" s="104">
        <v>166551</v>
      </c>
      <c r="DS153" s="103">
        <v>27798</v>
      </c>
      <c r="DT153" s="73">
        <v>92.1</v>
      </c>
      <c r="DU153">
        <v>99.754425048828125</v>
      </c>
      <c r="DV153">
        <v>80.444557189941406</v>
      </c>
      <c r="DW153">
        <v>1020</v>
      </c>
      <c r="DX153">
        <v>973100</v>
      </c>
      <c r="DY153" s="102">
        <f t="shared" si="36"/>
        <v>65.8</v>
      </c>
    </row>
    <row r="154" spans="1:129" x14ac:dyDescent="0.25">
      <c r="A154" s="1">
        <v>37408</v>
      </c>
      <c r="B154" s="33">
        <v>84.1</v>
      </c>
      <c r="C154" s="107">
        <v>3.35</v>
      </c>
      <c r="D154" s="33">
        <v>3.25</v>
      </c>
      <c r="E154" s="33">
        <v>3.45</v>
      </c>
      <c r="F154" s="33">
        <v>4.5</v>
      </c>
      <c r="G154" s="33">
        <v>4.8099999999999996</v>
      </c>
      <c r="H154" s="33">
        <v>5.0199999999999996</v>
      </c>
      <c r="I154" s="33">
        <f t="shared" si="28"/>
        <v>1.6699999999999995</v>
      </c>
      <c r="J154" s="33">
        <f t="shared" si="29"/>
        <v>1.7699999999999996</v>
      </c>
      <c r="K154" s="33">
        <f t="shared" si="30"/>
        <v>1.5699999999999994</v>
      </c>
      <c r="L154" s="33">
        <f t="shared" si="31"/>
        <v>-0.10000000000000009</v>
      </c>
      <c r="M154" s="33">
        <v>93.9</v>
      </c>
      <c r="N154" s="33">
        <v>4747.95</v>
      </c>
      <c r="O154" s="33">
        <v>27</v>
      </c>
      <c r="P154" s="33">
        <v>542.5</v>
      </c>
      <c r="Q154" s="34">
        <f t="shared" si="32"/>
        <v>6.8153266331658298</v>
      </c>
      <c r="R154" s="60">
        <v>1291.9000000000001</v>
      </c>
      <c r="S154" s="34">
        <f t="shared" si="33"/>
        <v>1622.989949748744</v>
      </c>
      <c r="T154" s="60">
        <v>1391.6</v>
      </c>
      <c r="U154" s="34">
        <f t="shared" si="34"/>
        <v>1748.2412060301506</v>
      </c>
      <c r="V154" s="116">
        <v>339194</v>
      </c>
      <c r="W154" s="116">
        <v>2304238</v>
      </c>
      <c r="X154" s="117">
        <v>4735880</v>
      </c>
      <c r="Y154" s="117">
        <v>803199</v>
      </c>
      <c r="Z154" s="33">
        <v>79</v>
      </c>
      <c r="AA154" s="33">
        <v>68.599999999999994</v>
      </c>
      <c r="AB154" s="33">
        <v>77.8</v>
      </c>
      <c r="AC154" s="33">
        <v>66.400000000000006</v>
      </c>
      <c r="AD154" s="33">
        <v>39686</v>
      </c>
      <c r="AE154" s="33">
        <v>9.8000000000000007</v>
      </c>
      <c r="AF154" s="33">
        <v>386</v>
      </c>
      <c r="AG154" s="33">
        <v>78</v>
      </c>
      <c r="AH154" s="33">
        <v>79.599999999999994</v>
      </c>
      <c r="AI154" s="33">
        <v>83.2</v>
      </c>
      <c r="AJ154" s="33">
        <v>83.3</v>
      </c>
      <c r="AK154" s="33">
        <v>165.19977600000001</v>
      </c>
      <c r="AL154" s="33">
        <v>64.5</v>
      </c>
      <c r="AM154" s="123">
        <v>20.139003433531613</v>
      </c>
      <c r="AN154" s="123">
        <v>34.398470972641164</v>
      </c>
      <c r="AO154" s="123">
        <v>55.042569963868942</v>
      </c>
      <c r="AP154" s="33">
        <v>25.47</v>
      </c>
      <c r="AQ154" s="33">
        <f t="shared" si="35"/>
        <v>0.30612980769230769</v>
      </c>
      <c r="AR154" s="33">
        <v>88.5</v>
      </c>
      <c r="AS154" s="33">
        <v>99</v>
      </c>
      <c r="AT154" s="33">
        <v>79</v>
      </c>
      <c r="AU154" s="33">
        <v>94</v>
      </c>
      <c r="AV154" s="65">
        <v>105.2</v>
      </c>
      <c r="AW154" s="33">
        <v>84</v>
      </c>
      <c r="AX154" s="33">
        <v>4.8</v>
      </c>
      <c r="AY154" s="33">
        <v>3.4</v>
      </c>
      <c r="AZ154" s="33">
        <v>-2</v>
      </c>
      <c r="BA154" s="33">
        <v>4.5</v>
      </c>
      <c r="BB154" s="33">
        <v>80.599999999999994</v>
      </c>
      <c r="BC154" s="33">
        <v>90.3</v>
      </c>
      <c r="BD154" s="33">
        <v>72</v>
      </c>
      <c r="BE154" s="33">
        <v>-75.900000000000006</v>
      </c>
      <c r="BF154" s="33">
        <v>69.599999999999994</v>
      </c>
      <c r="BG154" s="33">
        <v>8.3000000000000007</v>
      </c>
      <c r="BH154" s="33">
        <v>158</v>
      </c>
      <c r="BI154" s="33">
        <v>2.7</v>
      </c>
      <c r="BJ154" s="34">
        <v>50.188029839999999</v>
      </c>
      <c r="BK154" s="45">
        <v>-5.4788425997814798</v>
      </c>
      <c r="BL154" s="33">
        <v>0.35</v>
      </c>
      <c r="BM154" s="33">
        <v>99.252399999999994</v>
      </c>
      <c r="BN154" s="33">
        <v>99.359200000000001</v>
      </c>
      <c r="BO154" s="33">
        <v>-32.6</v>
      </c>
      <c r="BP154" s="33">
        <v>-26.9</v>
      </c>
      <c r="BQ154" s="33">
        <v>14.9</v>
      </c>
      <c r="BR154" s="33">
        <v>2.9</v>
      </c>
      <c r="BS154" s="33">
        <v>4.2</v>
      </c>
      <c r="BT154" s="33">
        <v>-19.100000000000001</v>
      </c>
      <c r="BU154" s="33">
        <v>-14.9</v>
      </c>
      <c r="BV154" s="33">
        <v>-10.3</v>
      </c>
      <c r="BW154" s="33">
        <v>-17.2</v>
      </c>
      <c r="BX154" s="33">
        <v>-37.5</v>
      </c>
      <c r="BY154" s="33">
        <v>-49.6</v>
      </c>
      <c r="BZ154" s="33">
        <v>84.6</v>
      </c>
      <c r="CA154" s="33">
        <v>-17.2</v>
      </c>
      <c r="CB154" s="33">
        <v>-21.9</v>
      </c>
      <c r="CC154" s="33">
        <v>-1</v>
      </c>
      <c r="CD154" s="33">
        <v>-52.1</v>
      </c>
      <c r="CE154" s="33">
        <v>-24.5</v>
      </c>
      <c r="CF154" s="33">
        <v>77.2</v>
      </c>
      <c r="CG154" s="33">
        <v>26.1</v>
      </c>
      <c r="CH154" s="33">
        <v>33.1</v>
      </c>
      <c r="CI154" s="33">
        <v>-40.5</v>
      </c>
      <c r="CJ154" s="33">
        <v>-21.6</v>
      </c>
      <c r="CK154" s="33">
        <v>6.1</v>
      </c>
      <c r="CL154" s="33">
        <v>4.0999999999999996</v>
      </c>
      <c r="CM154" s="33">
        <v>3143.1095500000001</v>
      </c>
      <c r="CN154" s="33">
        <v>9709.7900000000009</v>
      </c>
      <c r="CO154" s="33">
        <v>1014.047</v>
      </c>
      <c r="CP154" s="33">
        <v>5.258</v>
      </c>
      <c r="CQ154" s="33">
        <v>5.0599999999999996</v>
      </c>
      <c r="CR154" s="33">
        <v>87.9</v>
      </c>
      <c r="CS154" s="121">
        <f t="shared" si="27"/>
        <v>27.850000000000009</v>
      </c>
      <c r="CT154" s="33">
        <v>105.2</v>
      </c>
      <c r="CU154" s="33">
        <v>105.3</v>
      </c>
      <c r="CV154" s="33">
        <v>85.5</v>
      </c>
      <c r="CW154" s="33">
        <v>108.8</v>
      </c>
      <c r="CX154" s="33">
        <v>107.7</v>
      </c>
      <c r="CY154" s="33">
        <v>5.56</v>
      </c>
      <c r="CZ154" s="33">
        <v>32138.237000000001</v>
      </c>
      <c r="DA154" s="33">
        <v>3.59</v>
      </c>
      <c r="DB154" s="33">
        <v>19.46</v>
      </c>
      <c r="DC154" s="33">
        <v>31.21</v>
      </c>
      <c r="DD154" s="33">
        <v>9.08</v>
      </c>
      <c r="DE154" s="33">
        <v>6262.884</v>
      </c>
      <c r="DF154" s="33">
        <v>1251.0309999999999</v>
      </c>
      <c r="DG154" s="33">
        <v>985.17700000000002</v>
      </c>
      <c r="DH154" s="33">
        <v>1108.0309999999999</v>
      </c>
      <c r="DI154" s="33">
        <v>1197.665</v>
      </c>
      <c r="DJ154" s="33">
        <v>99.513300000000001</v>
      </c>
      <c r="DK154" s="33">
        <v>99.411000000000001</v>
      </c>
      <c r="DL154" s="33">
        <v>99.51</v>
      </c>
      <c r="DM154" s="33">
        <v>99.3797</v>
      </c>
      <c r="DN154" s="33">
        <v>99.359200000000001</v>
      </c>
      <c r="DO154" s="33">
        <v>99.252399999999994</v>
      </c>
      <c r="DP154" s="33">
        <v>99.291200000000003</v>
      </c>
      <c r="DQ154" s="33">
        <v>99.22</v>
      </c>
      <c r="DR154" s="104">
        <v>172904</v>
      </c>
      <c r="DS154" s="103">
        <v>27715</v>
      </c>
      <c r="DT154" s="73">
        <v>90.8</v>
      </c>
      <c r="DU154">
        <v>140.04006958007813</v>
      </c>
      <c r="DV154">
        <v>120.43537902832031</v>
      </c>
      <c r="DW154">
        <v>1042</v>
      </c>
      <c r="DX154">
        <v>958025</v>
      </c>
      <c r="DY154" s="102">
        <f t="shared" si="36"/>
        <v>65.099999999999994</v>
      </c>
    </row>
    <row r="155" spans="1:129" x14ac:dyDescent="0.25">
      <c r="A155" s="1">
        <v>37438</v>
      </c>
      <c r="B155" s="33">
        <v>82.9</v>
      </c>
      <c r="C155" s="107">
        <v>3.3</v>
      </c>
      <c r="D155" s="33">
        <v>3.25</v>
      </c>
      <c r="E155" s="33">
        <v>3.45</v>
      </c>
      <c r="F155" s="33">
        <v>4.2699999999999996</v>
      </c>
      <c r="G155" s="33">
        <v>4.66</v>
      </c>
      <c r="H155" s="33">
        <v>4.87</v>
      </c>
      <c r="I155" s="33">
        <f t="shared" si="28"/>
        <v>1.5700000000000003</v>
      </c>
      <c r="J155" s="33">
        <f t="shared" si="29"/>
        <v>1.62</v>
      </c>
      <c r="K155" s="33">
        <f t="shared" si="30"/>
        <v>1.42</v>
      </c>
      <c r="L155" s="33">
        <f t="shared" si="31"/>
        <v>-4.9999999999999822E-2</v>
      </c>
      <c r="M155" s="33">
        <v>94.3</v>
      </c>
      <c r="N155" s="33">
        <v>4366.8100000000004</v>
      </c>
      <c r="O155" s="33">
        <v>36.6</v>
      </c>
      <c r="P155" s="33">
        <v>546.20000000000005</v>
      </c>
      <c r="Q155" s="34">
        <f t="shared" si="32"/>
        <v>6.8446115288220559</v>
      </c>
      <c r="R155" s="60">
        <v>1295.3</v>
      </c>
      <c r="S155" s="34">
        <f t="shared" si="33"/>
        <v>1623.1829573934838</v>
      </c>
      <c r="T155" s="60">
        <v>1397</v>
      </c>
      <c r="U155" s="34">
        <f t="shared" si="34"/>
        <v>1750.6265664160403</v>
      </c>
      <c r="V155" s="116">
        <v>340926</v>
      </c>
      <c r="W155" s="116">
        <v>2323079</v>
      </c>
      <c r="X155" s="117">
        <v>4761547</v>
      </c>
      <c r="Y155" s="117">
        <v>806643</v>
      </c>
      <c r="Z155" s="33">
        <v>78.8</v>
      </c>
      <c r="AA155" s="33">
        <v>67.5</v>
      </c>
      <c r="AB155" s="33">
        <v>79</v>
      </c>
      <c r="AC155" s="33">
        <v>65.099999999999994</v>
      </c>
      <c r="AD155" s="33">
        <v>39683</v>
      </c>
      <c r="AE155" s="33">
        <v>9.8000000000000007</v>
      </c>
      <c r="AF155" s="33">
        <v>370</v>
      </c>
      <c r="AG155" s="33">
        <v>78.2</v>
      </c>
      <c r="AH155" s="33">
        <v>79.8</v>
      </c>
      <c r="AI155" s="33">
        <v>82.6</v>
      </c>
      <c r="AJ155" s="33">
        <v>83.2</v>
      </c>
      <c r="AK155" s="33">
        <v>164.84374199999999</v>
      </c>
      <c r="AL155" s="33">
        <v>86.9</v>
      </c>
      <c r="AM155" s="123">
        <v>19.749409617109123</v>
      </c>
      <c r="AN155" s="123">
        <v>34.398470972641164</v>
      </c>
      <c r="AO155" s="123">
        <v>53.317097551208484</v>
      </c>
      <c r="AP155" s="33">
        <v>26.05</v>
      </c>
      <c r="AQ155" s="33">
        <f t="shared" si="35"/>
        <v>0.31537530266343827</v>
      </c>
      <c r="AR155" s="33">
        <v>87.5</v>
      </c>
      <c r="AS155" s="33">
        <v>96.9</v>
      </c>
      <c r="AT155" s="33">
        <v>79</v>
      </c>
      <c r="AU155" s="33">
        <v>92.9</v>
      </c>
      <c r="AV155" s="65">
        <v>102.7</v>
      </c>
      <c r="AW155" s="33">
        <v>84.1</v>
      </c>
      <c r="AX155" s="33">
        <v>0.3</v>
      </c>
      <c r="AY155" s="33">
        <v>-1.5</v>
      </c>
      <c r="AZ155" s="33">
        <v>-4.5</v>
      </c>
      <c r="BA155" s="33">
        <v>2.4</v>
      </c>
      <c r="BB155" s="33">
        <v>81.099999999999994</v>
      </c>
      <c r="BC155" s="33">
        <v>89.4</v>
      </c>
      <c r="BD155" s="33">
        <v>73.599999999999994</v>
      </c>
      <c r="BE155" s="33">
        <v>-71.8</v>
      </c>
      <c r="BF155" s="33">
        <v>69.099999999999994</v>
      </c>
      <c r="BG155" s="33">
        <v>12.4</v>
      </c>
      <c r="BH155" s="33">
        <v>160.19999999999999</v>
      </c>
      <c r="BI155" s="33">
        <v>1.9</v>
      </c>
      <c r="BJ155" s="34">
        <v>50.064219690000002</v>
      </c>
      <c r="BK155" s="45">
        <v>-21.382573337776421</v>
      </c>
      <c r="BL155" s="33">
        <v>0.29899999999999999</v>
      </c>
      <c r="BM155" s="33">
        <v>99.108400000000003</v>
      </c>
      <c r="BN155" s="33">
        <v>99.235500000000002</v>
      </c>
      <c r="BO155" s="33">
        <v>-32.1</v>
      </c>
      <c r="BP155" s="33">
        <v>-28</v>
      </c>
      <c r="BQ155" s="33">
        <v>13.7</v>
      </c>
      <c r="BR155" s="33">
        <v>0.5</v>
      </c>
      <c r="BS155" s="33">
        <v>2.5</v>
      </c>
      <c r="BT155" s="33">
        <v>-18.3</v>
      </c>
      <c r="BU155" s="33">
        <v>-15.1</v>
      </c>
      <c r="BV155" s="33">
        <v>-12.6</v>
      </c>
      <c r="BW155" s="33">
        <v>-15.6</v>
      </c>
      <c r="BX155" s="33">
        <v>-39.1</v>
      </c>
      <c r="BY155" s="33">
        <v>-51.2</v>
      </c>
      <c r="BZ155" s="33">
        <v>84.2</v>
      </c>
      <c r="CA155" s="33">
        <v>-15.6</v>
      </c>
      <c r="CB155" s="33">
        <v>-18.5</v>
      </c>
      <c r="CC155" s="33">
        <v>1</v>
      </c>
      <c r="CD155" s="33">
        <v>-54.6</v>
      </c>
      <c r="CE155" s="33">
        <v>-22.6</v>
      </c>
      <c r="CF155" s="33">
        <v>75.5</v>
      </c>
      <c r="CG155" s="33">
        <v>21.4</v>
      </c>
      <c r="CH155" s="33">
        <v>33.6</v>
      </c>
      <c r="CI155" s="33">
        <v>-34</v>
      </c>
      <c r="CJ155" s="33">
        <v>-22.2</v>
      </c>
      <c r="CK155" s="33">
        <v>6.7</v>
      </c>
      <c r="CL155" s="33">
        <v>6.4</v>
      </c>
      <c r="CM155" s="33">
        <v>2810.6470869999998</v>
      </c>
      <c r="CN155" s="33">
        <v>9109.7900000000009</v>
      </c>
      <c r="CO155" s="33">
        <v>905.78173900000002</v>
      </c>
      <c r="CP155" s="33">
        <v>5.0140000000000002</v>
      </c>
      <c r="CQ155" s="33">
        <v>4.8499999999999996</v>
      </c>
      <c r="CR155" s="33">
        <v>81</v>
      </c>
      <c r="CS155" s="121">
        <f t="shared" si="27"/>
        <v>31.25</v>
      </c>
      <c r="CT155" s="33">
        <v>101.2</v>
      </c>
      <c r="CU155" s="33">
        <v>106</v>
      </c>
      <c r="CV155" s="33">
        <v>88.1</v>
      </c>
      <c r="CW155" s="33">
        <v>111.7</v>
      </c>
      <c r="CX155" s="33">
        <v>106.9</v>
      </c>
      <c r="CY155" s="33">
        <v>5.85</v>
      </c>
      <c r="CZ155" s="33">
        <v>30148.661</v>
      </c>
      <c r="DA155" s="33">
        <v>3.08</v>
      </c>
      <c r="DB155" s="33">
        <v>18.260000000000002</v>
      </c>
      <c r="DC155" s="33">
        <v>29.93</v>
      </c>
      <c r="DD155" s="33">
        <v>8.5399999999999991</v>
      </c>
      <c r="DE155" s="33">
        <v>6334.6480000000001</v>
      </c>
      <c r="DF155" s="33">
        <v>1254.855</v>
      </c>
      <c r="DG155" s="33">
        <v>954.13499999999999</v>
      </c>
      <c r="DH155" s="33">
        <v>1143.8589999999999</v>
      </c>
      <c r="DI155" s="33">
        <v>1270.377</v>
      </c>
      <c r="DJ155" s="33">
        <v>99.573400000000007</v>
      </c>
      <c r="DK155" s="33">
        <v>99.484099999999998</v>
      </c>
      <c r="DL155" s="33">
        <v>99.75</v>
      </c>
      <c r="DM155" s="33">
        <v>99.681299999999993</v>
      </c>
      <c r="DN155" s="33">
        <v>99.235500000000002</v>
      </c>
      <c r="DO155" s="33">
        <v>99.108400000000003</v>
      </c>
      <c r="DP155" s="33">
        <v>99.034899999999993</v>
      </c>
      <c r="DQ155" s="33">
        <v>98.938100000000006</v>
      </c>
      <c r="DR155" s="104">
        <v>146518</v>
      </c>
      <c r="DS155" s="103">
        <v>27726</v>
      </c>
      <c r="DT155" s="73">
        <v>89.9</v>
      </c>
      <c r="DU155">
        <v>127.35619354248047</v>
      </c>
      <c r="DV155">
        <v>124.33026123046875</v>
      </c>
      <c r="DW155">
        <v>1005</v>
      </c>
      <c r="DX155">
        <v>890475</v>
      </c>
      <c r="DY155" s="102">
        <f t="shared" si="36"/>
        <v>66.599999999999994</v>
      </c>
    </row>
    <row r="156" spans="1:129" x14ac:dyDescent="0.25">
      <c r="A156" s="1">
        <v>37469</v>
      </c>
      <c r="B156" s="33">
        <v>84.6</v>
      </c>
      <c r="C156" s="107">
        <v>3.29</v>
      </c>
      <c r="D156" s="33">
        <v>3.25</v>
      </c>
      <c r="E156" s="33">
        <v>3.41</v>
      </c>
      <c r="F156" s="33">
        <v>3.96</v>
      </c>
      <c r="G156" s="33">
        <v>4.3499999999999996</v>
      </c>
      <c r="H156" s="33">
        <v>4.59</v>
      </c>
      <c r="I156" s="33">
        <f t="shared" si="28"/>
        <v>1.2999999999999998</v>
      </c>
      <c r="J156" s="33">
        <f t="shared" si="29"/>
        <v>1.3399999999999999</v>
      </c>
      <c r="K156" s="33">
        <f t="shared" si="30"/>
        <v>1.1799999999999997</v>
      </c>
      <c r="L156" s="33">
        <f t="shared" si="31"/>
        <v>-4.0000000000000036E-2</v>
      </c>
      <c r="M156" s="33">
        <v>93.8</v>
      </c>
      <c r="N156" s="33">
        <v>3606.45</v>
      </c>
      <c r="O156" s="33">
        <v>50.1</v>
      </c>
      <c r="P156" s="33">
        <v>546.6</v>
      </c>
      <c r="Q156" s="34">
        <f t="shared" si="32"/>
        <v>6.8496240601503766</v>
      </c>
      <c r="R156" s="60">
        <v>1295.4000000000001</v>
      </c>
      <c r="S156" s="34">
        <f t="shared" si="33"/>
        <v>1623.3082706766918</v>
      </c>
      <c r="T156" s="60">
        <v>1399</v>
      </c>
      <c r="U156" s="34">
        <f t="shared" si="34"/>
        <v>1753.1328320802004</v>
      </c>
      <c r="V156" s="116">
        <v>341128</v>
      </c>
      <c r="W156" s="116">
        <v>2340395</v>
      </c>
      <c r="X156" s="117">
        <v>4785365</v>
      </c>
      <c r="Y156" s="117">
        <v>821409</v>
      </c>
      <c r="Z156" s="33">
        <v>79.8</v>
      </c>
      <c r="AA156" s="33">
        <v>69</v>
      </c>
      <c r="AB156" s="33">
        <v>78.7</v>
      </c>
      <c r="AC156" s="33">
        <v>67.8</v>
      </c>
      <c r="AD156" s="33">
        <v>39602</v>
      </c>
      <c r="AE156" s="33">
        <v>9.8000000000000007</v>
      </c>
      <c r="AF156" s="33">
        <v>364</v>
      </c>
      <c r="AG156" s="33">
        <v>78.2</v>
      </c>
      <c r="AH156" s="33">
        <v>79.8</v>
      </c>
      <c r="AI156" s="33">
        <v>82.8</v>
      </c>
      <c r="AJ156" s="33">
        <v>83.3</v>
      </c>
      <c r="AK156" s="33">
        <v>164.66572500000001</v>
      </c>
      <c r="AL156" s="33">
        <v>64.599999999999994</v>
      </c>
      <c r="AM156" s="123">
        <v>19.841553052336696</v>
      </c>
      <c r="AN156" s="123">
        <v>35.740065004335435</v>
      </c>
      <c r="AO156" s="123">
        <v>54.131790043501994</v>
      </c>
      <c r="AP156" s="33">
        <v>27.22</v>
      </c>
      <c r="AQ156" s="33">
        <f t="shared" si="35"/>
        <v>0.32874396135265699</v>
      </c>
      <c r="AR156" s="33">
        <v>86.6</v>
      </c>
      <c r="AS156" s="33">
        <v>95.6</v>
      </c>
      <c r="AT156" s="33">
        <v>78.400000000000006</v>
      </c>
      <c r="AU156" s="33">
        <v>91.2</v>
      </c>
      <c r="AV156" s="65">
        <v>100.9</v>
      </c>
      <c r="AW156" s="33">
        <v>82.4</v>
      </c>
      <c r="AX156" s="33">
        <v>-1.3</v>
      </c>
      <c r="AY156" s="33">
        <v>-6.4</v>
      </c>
      <c r="AZ156" s="33">
        <v>-7.8</v>
      </c>
      <c r="BA156" s="33">
        <v>-1.1000000000000001</v>
      </c>
      <c r="BB156" s="33">
        <v>80.099999999999994</v>
      </c>
      <c r="BC156" s="33">
        <v>88.7</v>
      </c>
      <c r="BD156" s="33">
        <v>72.3</v>
      </c>
      <c r="BE156" s="33">
        <v>-78.8</v>
      </c>
      <c r="BF156" s="33">
        <v>43.4</v>
      </c>
      <c r="BG156" s="33">
        <v>7.8</v>
      </c>
      <c r="BH156" s="33">
        <v>164.4</v>
      </c>
      <c r="BI156" s="33">
        <v>6.5</v>
      </c>
      <c r="BJ156" s="34">
        <v>49.0728078</v>
      </c>
      <c r="BK156" s="45">
        <v>-7.3879765858259141</v>
      </c>
      <c r="BL156" s="33">
        <v>0.20699999999999999</v>
      </c>
      <c r="BM156" s="33">
        <v>98.925399999999996</v>
      </c>
      <c r="BN156" s="33">
        <v>99.078299999999999</v>
      </c>
      <c r="BO156" s="33">
        <v>-33.6</v>
      </c>
      <c r="BP156" s="33">
        <v>-28.4</v>
      </c>
      <c r="BQ156" s="33">
        <v>13.9</v>
      </c>
      <c r="BR156" s="33">
        <v>-1.3</v>
      </c>
      <c r="BS156" s="33">
        <v>-0.3</v>
      </c>
      <c r="BT156" s="33">
        <v>-18.899999999999999</v>
      </c>
      <c r="BU156" s="33">
        <v>-16.3</v>
      </c>
      <c r="BV156" s="33">
        <v>-14.8</v>
      </c>
      <c r="BW156" s="33">
        <v>-17.100000000000001</v>
      </c>
      <c r="BX156" s="33">
        <v>-33.799999999999997</v>
      </c>
      <c r="BY156" s="33">
        <v>-48.3</v>
      </c>
      <c r="BZ156" s="33">
        <v>82.9</v>
      </c>
      <c r="CA156" s="33">
        <v>-17.100000000000001</v>
      </c>
      <c r="CB156" s="33">
        <v>-21.5</v>
      </c>
      <c r="CC156" s="33">
        <v>1.1000000000000001</v>
      </c>
      <c r="CD156" s="33">
        <v>-59.9</v>
      </c>
      <c r="CE156" s="33">
        <v>-25.6</v>
      </c>
      <c r="CF156" s="33">
        <v>74.5</v>
      </c>
      <c r="CG156" s="33">
        <v>25.9</v>
      </c>
      <c r="CH156" s="33">
        <v>33.1</v>
      </c>
      <c r="CI156" s="33">
        <v>-35.1</v>
      </c>
      <c r="CJ156" s="33">
        <v>-22.3</v>
      </c>
      <c r="CK156" s="33">
        <v>4.2</v>
      </c>
      <c r="CL156" s="33">
        <v>2.6</v>
      </c>
      <c r="CM156" s="33">
        <v>2697.447909</v>
      </c>
      <c r="CN156" s="33">
        <v>8506.6200000000008</v>
      </c>
      <c r="CO156" s="33">
        <v>912.55318199999999</v>
      </c>
      <c r="CP156" s="33">
        <v>4.8</v>
      </c>
      <c r="CQ156" s="33">
        <v>4.47</v>
      </c>
      <c r="CR156" s="33">
        <v>80.599999999999994</v>
      </c>
      <c r="CS156" s="121">
        <f t="shared" si="27"/>
        <v>35.25</v>
      </c>
      <c r="CT156" s="33">
        <v>100.1</v>
      </c>
      <c r="CU156" s="33">
        <v>104</v>
      </c>
      <c r="CV156" s="33">
        <v>89.6</v>
      </c>
      <c r="CW156" s="33">
        <v>105.8</v>
      </c>
      <c r="CX156" s="33">
        <v>110.8</v>
      </c>
      <c r="CY156" s="33">
        <v>6.19</v>
      </c>
      <c r="CZ156" s="33">
        <v>27252.863000000001</v>
      </c>
      <c r="DA156" s="33">
        <v>3.32</v>
      </c>
      <c r="DB156" s="33">
        <v>19.12</v>
      </c>
      <c r="DC156" s="33">
        <v>30.91</v>
      </c>
      <c r="DD156" s="33">
        <v>9.8800000000000008</v>
      </c>
      <c r="DE156" s="33">
        <v>6189.0140000000001</v>
      </c>
      <c r="DF156" s="33">
        <v>1202.403</v>
      </c>
      <c r="DG156" s="33">
        <v>930.05899999999997</v>
      </c>
      <c r="DH156" s="33">
        <v>969.65499999999997</v>
      </c>
      <c r="DI156" s="33">
        <v>1444.8689999999999</v>
      </c>
      <c r="DJ156" s="33">
        <v>99.5976</v>
      </c>
      <c r="DK156" s="33">
        <v>99.508600000000001</v>
      </c>
      <c r="DL156" s="33">
        <v>99.95</v>
      </c>
      <c r="DM156" s="33">
        <v>99.937100000000001</v>
      </c>
      <c r="DN156" s="33">
        <v>99.078299999999999</v>
      </c>
      <c r="DO156" s="33">
        <v>98.925399999999996</v>
      </c>
      <c r="DP156" s="33">
        <v>98.761200000000002</v>
      </c>
      <c r="DQ156" s="33">
        <v>98.637</v>
      </c>
      <c r="DR156" s="104">
        <v>121144</v>
      </c>
      <c r="DS156" s="103">
        <v>27664</v>
      </c>
      <c r="DT156" s="73">
        <v>89.5</v>
      </c>
      <c r="DU156">
        <v>130.79627990722656</v>
      </c>
      <c r="DV156">
        <v>107.22740173339844</v>
      </c>
      <c r="DW156">
        <v>970</v>
      </c>
      <c r="DX156">
        <v>893375</v>
      </c>
      <c r="DY156" s="102">
        <f t="shared" si="36"/>
        <v>65.400000000000006</v>
      </c>
    </row>
    <row r="157" spans="1:129" x14ac:dyDescent="0.25">
      <c r="A157" s="1">
        <v>37500</v>
      </c>
      <c r="B157" s="33">
        <v>83.9</v>
      </c>
      <c r="C157" s="107">
        <v>3.32</v>
      </c>
      <c r="D157" s="33">
        <v>3.25</v>
      </c>
      <c r="E157" s="33">
        <v>3.36</v>
      </c>
      <c r="F157" s="33">
        <v>3.67</v>
      </c>
      <c r="G157" s="33">
        <v>4.09</v>
      </c>
      <c r="H157" s="33">
        <v>4.38</v>
      </c>
      <c r="I157" s="33">
        <f t="shared" si="28"/>
        <v>1.06</v>
      </c>
      <c r="J157" s="33">
        <f t="shared" si="29"/>
        <v>1.1299999999999999</v>
      </c>
      <c r="K157" s="33">
        <f t="shared" si="30"/>
        <v>1.02</v>
      </c>
      <c r="L157" s="33">
        <f t="shared" si="31"/>
        <v>-6.999999999999984E-2</v>
      </c>
      <c r="M157" s="33">
        <v>93.7</v>
      </c>
      <c r="N157" s="33">
        <v>3609.41</v>
      </c>
      <c r="O157" s="33">
        <v>50.66</v>
      </c>
      <c r="P157" s="33">
        <v>552.6</v>
      </c>
      <c r="Q157" s="34">
        <f t="shared" si="32"/>
        <v>6.9335006273525721</v>
      </c>
      <c r="R157" s="60">
        <v>1299.9000000000001</v>
      </c>
      <c r="S157" s="34">
        <f t="shared" si="33"/>
        <v>1630.99121706399</v>
      </c>
      <c r="T157" s="60">
        <v>1407</v>
      </c>
      <c r="U157" s="34">
        <f t="shared" si="34"/>
        <v>1765.3701380175658</v>
      </c>
      <c r="V157" s="116">
        <v>340798</v>
      </c>
      <c r="W157" s="116">
        <v>2369110</v>
      </c>
      <c r="X157" s="117">
        <v>4821013</v>
      </c>
      <c r="Y157" s="117">
        <v>839656</v>
      </c>
      <c r="Z157" s="33">
        <v>79.599999999999994</v>
      </c>
      <c r="AA157" s="33">
        <v>68.099999999999994</v>
      </c>
      <c r="AB157" s="33">
        <v>81.2</v>
      </c>
      <c r="AC157" s="33">
        <v>64.8</v>
      </c>
      <c r="AD157" s="33">
        <v>39568</v>
      </c>
      <c r="AE157" s="33">
        <v>9.9</v>
      </c>
      <c r="AF157" s="33">
        <v>351</v>
      </c>
      <c r="AG157" s="33">
        <v>78.2</v>
      </c>
      <c r="AH157" s="33">
        <v>79.7</v>
      </c>
      <c r="AI157" s="33">
        <v>83.2</v>
      </c>
      <c r="AJ157" s="33">
        <v>83.3</v>
      </c>
      <c r="AK157" s="33">
        <v>164.84374199999999</v>
      </c>
      <c r="AL157" s="33">
        <v>64.599999999999994</v>
      </c>
      <c r="AM157" s="123">
        <v>21.006799234855652</v>
      </c>
      <c r="AN157" s="123">
        <v>38.467889280367274</v>
      </c>
      <c r="AO157" s="123">
        <v>55.038520194984443</v>
      </c>
      <c r="AP157" s="33">
        <v>28.92</v>
      </c>
      <c r="AQ157" s="33">
        <f t="shared" si="35"/>
        <v>0.34759615384615383</v>
      </c>
      <c r="AR157" s="33">
        <v>86.3</v>
      </c>
      <c r="AS157" s="33">
        <v>95.1</v>
      </c>
      <c r="AT157" s="33">
        <v>78.400000000000006</v>
      </c>
      <c r="AU157" s="33">
        <v>91.7</v>
      </c>
      <c r="AV157" s="65">
        <v>100.3</v>
      </c>
      <c r="AW157" s="33">
        <v>83.9</v>
      </c>
      <c r="AX157" s="33">
        <v>-0.3</v>
      </c>
      <c r="AY157" s="33">
        <v>-6.7</v>
      </c>
      <c r="AZ157" s="33">
        <v>-7.9</v>
      </c>
      <c r="BA157" s="33">
        <v>1.5</v>
      </c>
      <c r="BB157" s="33">
        <v>78.400000000000006</v>
      </c>
      <c r="BC157" s="33">
        <v>87.1</v>
      </c>
      <c r="BD157" s="33">
        <v>70.5</v>
      </c>
      <c r="BE157" s="33">
        <v>-84.3</v>
      </c>
      <c r="BF157" s="33">
        <v>39.5</v>
      </c>
      <c r="BG157" s="33">
        <v>11.3</v>
      </c>
      <c r="BH157" s="33">
        <v>163.9</v>
      </c>
      <c r="BI157" s="33">
        <v>3.6</v>
      </c>
      <c r="BJ157" s="34">
        <v>46.044031750000002</v>
      </c>
      <c r="BK157" s="45">
        <v>-14.253934064602191</v>
      </c>
      <c r="BL157" s="33">
        <v>0.13400000000000001</v>
      </c>
      <c r="BM157" s="33">
        <v>98.733099999999993</v>
      </c>
      <c r="BN157" s="33">
        <v>98.9131</v>
      </c>
      <c r="BO157" s="33">
        <v>-33.700000000000003</v>
      </c>
      <c r="BP157" s="33">
        <v>-27.7</v>
      </c>
      <c r="BQ157" s="33">
        <v>15.5</v>
      </c>
      <c r="BR157" s="33">
        <v>-1.1000000000000001</v>
      </c>
      <c r="BS157" s="33">
        <v>0.4</v>
      </c>
      <c r="BT157" s="33">
        <v>-18.899999999999999</v>
      </c>
      <c r="BU157" s="33">
        <v>-16.8</v>
      </c>
      <c r="BV157" s="33">
        <v>-11.7</v>
      </c>
      <c r="BW157" s="33">
        <v>-16.3</v>
      </c>
      <c r="BX157" s="33">
        <v>-39.1</v>
      </c>
      <c r="BY157" s="33">
        <v>-46.5</v>
      </c>
      <c r="BZ157" s="33">
        <v>83.7</v>
      </c>
      <c r="CA157" s="33">
        <v>-16.3</v>
      </c>
      <c r="CB157" s="33">
        <v>-21.5</v>
      </c>
      <c r="CC157" s="33">
        <v>0.6</v>
      </c>
      <c r="CD157" s="33">
        <v>-57.4</v>
      </c>
      <c r="CE157" s="33">
        <v>-24.1</v>
      </c>
      <c r="CF157" s="33">
        <v>72.400000000000006</v>
      </c>
      <c r="CG157" s="33">
        <v>23.1</v>
      </c>
      <c r="CH157" s="33">
        <v>32.1</v>
      </c>
      <c r="CI157" s="33">
        <v>-35.1</v>
      </c>
      <c r="CJ157" s="33">
        <v>-20.100000000000001</v>
      </c>
      <c r="CK157" s="33">
        <v>8.1999999999999993</v>
      </c>
      <c r="CL157" s="33">
        <v>5.3</v>
      </c>
      <c r="CM157" s="33">
        <v>2450.1574289999999</v>
      </c>
      <c r="CN157" s="33">
        <v>8663.5</v>
      </c>
      <c r="CO157" s="33">
        <v>870.11</v>
      </c>
      <c r="CP157" s="33">
        <v>4.5490000000000004</v>
      </c>
      <c r="CQ157" s="33">
        <v>4.1399999999999997</v>
      </c>
      <c r="CR157" s="33">
        <v>79.900000000000006</v>
      </c>
      <c r="CS157" s="121">
        <f t="shared" si="27"/>
        <v>36.350000000000009</v>
      </c>
      <c r="CT157" s="33">
        <v>99</v>
      </c>
      <c r="CU157" s="33">
        <v>104.6</v>
      </c>
      <c r="CV157" s="33">
        <v>93.2</v>
      </c>
      <c r="CW157" s="33">
        <v>104.3</v>
      </c>
      <c r="CX157" s="33">
        <v>108.1</v>
      </c>
      <c r="CY157" s="33">
        <v>5.84</v>
      </c>
      <c r="CZ157" s="33">
        <v>30204.953000000001</v>
      </c>
      <c r="DA157" s="33">
        <v>3.16</v>
      </c>
      <c r="DB157" s="33">
        <v>19.579999999999998</v>
      </c>
      <c r="DC157" s="33">
        <v>30.76</v>
      </c>
      <c r="DD157" s="33">
        <v>9.7100000000000009</v>
      </c>
      <c r="DE157" s="33">
        <v>6348.2</v>
      </c>
      <c r="DF157" s="33">
        <v>1251.2159999999999</v>
      </c>
      <c r="DG157" s="33">
        <v>1034.3499999999999</v>
      </c>
      <c r="DH157" s="33">
        <v>1119.7919999999999</v>
      </c>
      <c r="DI157" s="33">
        <v>1273.4449999999999</v>
      </c>
      <c r="DJ157" s="33">
        <v>99.591399999999993</v>
      </c>
      <c r="DK157" s="33">
        <v>99.4923</v>
      </c>
      <c r="DL157" s="33">
        <v>100.11</v>
      </c>
      <c r="DM157" s="33">
        <v>100.1395</v>
      </c>
      <c r="DN157" s="33">
        <v>98.9131</v>
      </c>
      <c r="DO157" s="33">
        <v>98.733099999999993</v>
      </c>
      <c r="DP157" s="33">
        <v>98.507099999999994</v>
      </c>
      <c r="DQ157" s="33">
        <v>98.357500000000002</v>
      </c>
      <c r="DR157" s="104">
        <v>185552</v>
      </c>
      <c r="DS157" s="103">
        <v>27585</v>
      </c>
      <c r="DT157" s="73">
        <v>91</v>
      </c>
      <c r="DU157">
        <v>178.16191101074219</v>
      </c>
      <c r="DV157">
        <v>115.53994750976563</v>
      </c>
      <c r="DW157">
        <v>1039</v>
      </c>
      <c r="DX157">
        <v>895700</v>
      </c>
      <c r="DY157" s="102">
        <f t="shared" si="36"/>
        <v>67.099999999999994</v>
      </c>
    </row>
    <row r="158" spans="1:129" x14ac:dyDescent="0.25">
      <c r="A158" s="1">
        <v>37530</v>
      </c>
      <c r="B158" s="33">
        <v>83</v>
      </c>
      <c r="C158" s="107">
        <v>3.3</v>
      </c>
      <c r="D158" s="33">
        <v>3.25</v>
      </c>
      <c r="E158" s="33">
        <v>3.31</v>
      </c>
      <c r="F158" s="33">
        <v>3.65</v>
      </c>
      <c r="G158" s="33">
        <v>4.12</v>
      </c>
      <c r="H158" s="33">
        <v>4.46</v>
      </c>
      <c r="I158" s="33">
        <f t="shared" si="28"/>
        <v>1.1600000000000001</v>
      </c>
      <c r="J158" s="33">
        <f t="shared" si="29"/>
        <v>1.21</v>
      </c>
      <c r="K158" s="33">
        <f t="shared" si="30"/>
        <v>1.1499999999999999</v>
      </c>
      <c r="L158" s="33">
        <f t="shared" si="31"/>
        <v>-4.9999999999999822E-2</v>
      </c>
      <c r="M158" s="33">
        <v>93.7</v>
      </c>
      <c r="N158" s="33">
        <v>2865.23</v>
      </c>
      <c r="O158" s="33">
        <v>58.66</v>
      </c>
      <c r="P158" s="33">
        <v>557.4</v>
      </c>
      <c r="Q158" s="34">
        <f t="shared" si="32"/>
        <v>6.9849624060150379</v>
      </c>
      <c r="R158" s="60">
        <v>1310.8</v>
      </c>
      <c r="S158" s="34">
        <f t="shared" si="33"/>
        <v>1642.6065162907269</v>
      </c>
      <c r="T158" s="60">
        <v>1421.1</v>
      </c>
      <c r="U158" s="34">
        <f t="shared" si="34"/>
        <v>1780.8270676691729</v>
      </c>
      <c r="V158" s="116">
        <v>337235</v>
      </c>
      <c r="W158" s="116">
        <v>2380902</v>
      </c>
      <c r="X158" s="117">
        <v>4847022</v>
      </c>
      <c r="Y158" s="117">
        <v>833895</v>
      </c>
      <c r="Z158" s="33">
        <v>79</v>
      </c>
      <c r="AA158" s="33">
        <v>67.599999999999994</v>
      </c>
      <c r="AB158" s="33">
        <v>79.8</v>
      </c>
      <c r="AC158" s="33">
        <v>65.2</v>
      </c>
      <c r="AD158" s="33">
        <v>39519</v>
      </c>
      <c r="AE158" s="33">
        <v>10</v>
      </c>
      <c r="AF158" s="33">
        <v>343</v>
      </c>
      <c r="AG158" s="33">
        <v>78.3</v>
      </c>
      <c r="AH158" s="33">
        <v>79.8</v>
      </c>
      <c r="AI158" s="33">
        <v>83.3</v>
      </c>
      <c r="AJ158" s="33">
        <v>83.3</v>
      </c>
      <c r="AK158" s="33">
        <v>165.19977600000001</v>
      </c>
      <c r="AL158" s="33">
        <v>64.7</v>
      </c>
      <c r="AM158" s="123">
        <v>21.968942711261256</v>
      </c>
      <c r="AN158" s="123">
        <v>37.357267805081072</v>
      </c>
      <c r="AO158" s="123">
        <v>55.038520194984443</v>
      </c>
      <c r="AP158" s="33">
        <v>28.04</v>
      </c>
      <c r="AQ158" s="33">
        <f t="shared" si="35"/>
        <v>0.33661464585834333</v>
      </c>
      <c r="AR158" s="33">
        <v>86.3</v>
      </c>
      <c r="AS158" s="33">
        <v>93.2</v>
      </c>
      <c r="AT158" s="33">
        <v>79.900000000000006</v>
      </c>
      <c r="AU158" s="33">
        <v>91.3</v>
      </c>
      <c r="AV158" s="65">
        <v>98</v>
      </c>
      <c r="AW158" s="33">
        <v>85</v>
      </c>
      <c r="AX158" s="33">
        <v>-4.5</v>
      </c>
      <c r="AY158" s="33">
        <v>-2.1</v>
      </c>
      <c r="AZ158" s="33">
        <v>-7.4</v>
      </c>
      <c r="BA158" s="33">
        <v>-3.2</v>
      </c>
      <c r="BB158" s="33">
        <v>79.599999999999994</v>
      </c>
      <c r="BC158" s="33">
        <v>88</v>
      </c>
      <c r="BD158" s="33">
        <v>71.900000000000006</v>
      </c>
      <c r="BE158" s="33">
        <v>-90.5</v>
      </c>
      <c r="BF158" s="33">
        <v>23.4</v>
      </c>
      <c r="BG158" s="33">
        <v>1.5</v>
      </c>
      <c r="BH158" s="33">
        <v>168.4</v>
      </c>
      <c r="BI158" s="33">
        <v>3.3</v>
      </c>
      <c r="BJ158" s="34">
        <v>48.356335999999999</v>
      </c>
      <c r="BK158" s="45">
        <v>-30.766246191615505</v>
      </c>
      <c r="BL158" s="33">
        <v>9.2999999999999999E-2</v>
      </c>
      <c r="BM158" s="33">
        <v>98.557400000000001</v>
      </c>
      <c r="BN158" s="33">
        <v>98.762100000000004</v>
      </c>
      <c r="BO158" s="33">
        <v>-31.8</v>
      </c>
      <c r="BP158" s="33">
        <v>-24.8</v>
      </c>
      <c r="BQ158" s="33">
        <v>14.2</v>
      </c>
      <c r="BR158" s="33">
        <v>-2.1</v>
      </c>
      <c r="BS158" s="33">
        <v>0.4</v>
      </c>
      <c r="BT158" s="33">
        <v>-20.3</v>
      </c>
      <c r="BU158" s="33">
        <v>-16</v>
      </c>
      <c r="BV158" s="33">
        <v>-15.2</v>
      </c>
      <c r="BW158" s="33">
        <v>-18.600000000000001</v>
      </c>
      <c r="BX158" s="33">
        <v>-39.1</v>
      </c>
      <c r="BY158" s="33">
        <v>-49.1</v>
      </c>
      <c r="BZ158" s="33">
        <v>81.900000000000006</v>
      </c>
      <c r="CA158" s="33">
        <v>-18.600000000000001</v>
      </c>
      <c r="CB158" s="33">
        <v>-21</v>
      </c>
      <c r="CC158" s="33">
        <v>-2</v>
      </c>
      <c r="CD158" s="33">
        <v>-56.2</v>
      </c>
      <c r="CE158" s="33">
        <v>-28.6</v>
      </c>
      <c r="CF158" s="33">
        <v>67.2</v>
      </c>
      <c r="CG158" s="33">
        <v>27.8</v>
      </c>
      <c r="CH158" s="33">
        <v>34.6</v>
      </c>
      <c r="CI158" s="33">
        <v>-36</v>
      </c>
      <c r="CJ158" s="33">
        <v>-22.8</v>
      </c>
      <c r="CK158" s="33">
        <v>2.2000000000000002</v>
      </c>
      <c r="CL158" s="33">
        <v>3.7</v>
      </c>
      <c r="CM158" s="33">
        <v>2384.7313909999998</v>
      </c>
      <c r="CN158" s="33">
        <v>7938.79</v>
      </c>
      <c r="CO158" s="33">
        <v>854.631304</v>
      </c>
      <c r="CP158" s="33">
        <v>4.3940000000000001</v>
      </c>
      <c r="CQ158" s="33">
        <v>3.72</v>
      </c>
      <c r="CR158" s="33">
        <v>73.099999999999994</v>
      </c>
      <c r="CS158" s="121">
        <f t="shared" si="27"/>
        <v>37.450000000000003</v>
      </c>
      <c r="CT158" s="33">
        <v>98.7</v>
      </c>
      <c r="CU158" s="33">
        <v>104.5</v>
      </c>
      <c r="CV158" s="33">
        <v>92.8</v>
      </c>
      <c r="CW158" s="33">
        <v>107</v>
      </c>
      <c r="CX158" s="33">
        <v>112.1</v>
      </c>
      <c r="CY158" s="33">
        <v>5.81</v>
      </c>
      <c r="CZ158" s="33">
        <v>32676.489000000001</v>
      </c>
      <c r="DA158" s="33">
        <v>3.34</v>
      </c>
      <c r="DB158" s="33">
        <v>18.600000000000001</v>
      </c>
      <c r="DC158" s="33">
        <v>30.42</v>
      </c>
      <c r="DD158" s="33">
        <v>9.07</v>
      </c>
      <c r="DE158" s="33">
        <v>6554.4040000000005</v>
      </c>
      <c r="DF158" s="33">
        <v>1342.768</v>
      </c>
      <c r="DG158" s="33">
        <v>1079.6369999999999</v>
      </c>
      <c r="DH158" s="33">
        <v>1239.116</v>
      </c>
      <c r="DI158" s="33">
        <v>1292.5150000000001</v>
      </c>
      <c r="DJ158" s="33">
        <v>99.566599999999994</v>
      </c>
      <c r="DK158" s="33">
        <v>99.450599999999994</v>
      </c>
      <c r="DL158" s="33">
        <v>100.23</v>
      </c>
      <c r="DM158" s="33">
        <v>100.294</v>
      </c>
      <c r="DN158" s="33">
        <v>98.762100000000004</v>
      </c>
      <c r="DO158" s="33">
        <v>98.557400000000001</v>
      </c>
      <c r="DP158" s="33">
        <v>98.307199999999995</v>
      </c>
      <c r="DQ158" s="33">
        <v>98.137600000000006</v>
      </c>
      <c r="DR158" s="104">
        <v>186878</v>
      </c>
      <c r="DS158" s="103">
        <v>27500</v>
      </c>
      <c r="DT158" s="73">
        <v>88.7</v>
      </c>
      <c r="DU158">
        <v>160.96029663085938</v>
      </c>
      <c r="DV158">
        <v>96.346488952636719</v>
      </c>
      <c r="DW158">
        <v>1371</v>
      </c>
      <c r="DX158">
        <v>868500</v>
      </c>
      <c r="DY158" s="102">
        <f t="shared" si="36"/>
        <v>66.400000000000006</v>
      </c>
    </row>
    <row r="159" spans="1:129" x14ac:dyDescent="0.25">
      <c r="A159" s="1">
        <v>37561</v>
      </c>
      <c r="B159" s="33">
        <v>84.4</v>
      </c>
      <c r="C159" s="107">
        <v>3.3</v>
      </c>
      <c r="D159" s="33">
        <v>3.25</v>
      </c>
      <c r="E159" s="33">
        <v>3.23</v>
      </c>
      <c r="F159" s="33">
        <v>3.61</v>
      </c>
      <c r="G159" s="33">
        <v>4.09</v>
      </c>
      <c r="H159" s="33">
        <v>4.4800000000000004</v>
      </c>
      <c r="I159" s="33">
        <f t="shared" si="28"/>
        <v>1.1800000000000006</v>
      </c>
      <c r="J159" s="33">
        <f t="shared" si="29"/>
        <v>1.2300000000000004</v>
      </c>
      <c r="K159" s="33">
        <f t="shared" si="30"/>
        <v>1.2500000000000004</v>
      </c>
      <c r="L159" s="33">
        <f t="shared" si="31"/>
        <v>-4.9999999999999822E-2</v>
      </c>
      <c r="M159" s="33">
        <v>94</v>
      </c>
      <c r="N159" s="33">
        <v>3165.16</v>
      </c>
      <c r="O159" s="33">
        <v>48</v>
      </c>
      <c r="P159" s="33">
        <v>569.1</v>
      </c>
      <c r="Q159" s="34">
        <f t="shared" si="32"/>
        <v>7.1315789473684212</v>
      </c>
      <c r="R159" s="60">
        <v>1321</v>
      </c>
      <c r="S159" s="34">
        <f t="shared" si="33"/>
        <v>1655.3884711779449</v>
      </c>
      <c r="T159" s="60">
        <v>1431.8</v>
      </c>
      <c r="U159" s="34">
        <f t="shared" si="34"/>
        <v>1794.2355889724311</v>
      </c>
      <c r="V159" s="116">
        <v>330992</v>
      </c>
      <c r="W159" s="116">
        <v>2417288</v>
      </c>
      <c r="X159" s="117">
        <v>4890882</v>
      </c>
      <c r="Y159" s="117">
        <v>842296</v>
      </c>
      <c r="Z159" s="33">
        <v>79.900000000000006</v>
      </c>
      <c r="AA159" s="33">
        <v>68.7</v>
      </c>
      <c r="AB159" s="33">
        <v>81</v>
      </c>
      <c r="AC159" s="33">
        <v>66.099999999999994</v>
      </c>
      <c r="AD159" s="33">
        <v>39469</v>
      </c>
      <c r="AE159" s="33">
        <v>10.1</v>
      </c>
      <c r="AF159" s="33">
        <v>333</v>
      </c>
      <c r="AG159" s="33">
        <v>78.099999999999994</v>
      </c>
      <c r="AH159" s="33">
        <v>79.8</v>
      </c>
      <c r="AI159" s="33">
        <v>82.4</v>
      </c>
      <c r="AJ159" s="33">
        <v>83.3</v>
      </c>
      <c r="AK159" s="33">
        <v>164.84374199999999</v>
      </c>
      <c r="AL159" s="33">
        <v>105.5</v>
      </c>
      <c r="AM159" s="123">
        <v>20.189966630529305</v>
      </c>
      <c r="AN159" s="123">
        <v>33.361341149313695</v>
      </c>
      <c r="AO159" s="123">
        <v>55.397662251721705</v>
      </c>
      <c r="AP159" s="33">
        <v>24.21</v>
      </c>
      <c r="AQ159" s="33">
        <f t="shared" si="35"/>
        <v>0.29381067961165047</v>
      </c>
      <c r="AR159" s="33">
        <v>84.6</v>
      </c>
      <c r="AS159" s="33">
        <v>90.9</v>
      </c>
      <c r="AT159" s="33">
        <v>78.7</v>
      </c>
      <c r="AU159" s="33">
        <v>89.2</v>
      </c>
      <c r="AV159" s="65">
        <v>95.1</v>
      </c>
      <c r="AW159" s="33">
        <v>83.7</v>
      </c>
      <c r="AX159" s="33">
        <v>-4.2</v>
      </c>
      <c r="AY159" s="33">
        <v>-3.4</v>
      </c>
      <c r="AZ159" s="33">
        <v>-13.1</v>
      </c>
      <c r="BA159" s="33">
        <v>-3.3</v>
      </c>
      <c r="BB159" s="33">
        <v>77.5</v>
      </c>
      <c r="BC159" s="33">
        <v>82.9</v>
      </c>
      <c r="BD159" s="33">
        <v>72.400000000000006</v>
      </c>
      <c r="BE159" s="33">
        <v>-94.1</v>
      </c>
      <c r="BF159" s="33">
        <v>4.2</v>
      </c>
      <c r="BG159" s="33">
        <v>-25.7</v>
      </c>
      <c r="BH159" s="33">
        <v>173.2</v>
      </c>
      <c r="BI159" s="33">
        <v>15.3</v>
      </c>
      <c r="BJ159" s="34">
        <v>48.696401680000001</v>
      </c>
      <c r="BK159" s="45">
        <v>-39.795759763763556</v>
      </c>
      <c r="BL159" s="33">
        <v>6.6000000000000003E-2</v>
      </c>
      <c r="BM159" s="33">
        <v>98.430099999999996</v>
      </c>
      <c r="BN159" s="33">
        <v>98.652799999999999</v>
      </c>
      <c r="BO159" s="33">
        <v>-29.5</v>
      </c>
      <c r="BP159" s="33">
        <v>-25.9</v>
      </c>
      <c r="BQ159" s="33">
        <v>13.7</v>
      </c>
      <c r="BR159" s="33">
        <v>-2.9</v>
      </c>
      <c r="BS159" s="33">
        <v>-3.1</v>
      </c>
      <c r="BT159" s="33">
        <v>-20.5</v>
      </c>
      <c r="BU159" s="33">
        <v>-15.4</v>
      </c>
      <c r="BV159" s="33">
        <v>-13.9</v>
      </c>
      <c r="BW159" s="33">
        <v>-23.7</v>
      </c>
      <c r="BX159" s="33">
        <v>-35.299999999999997</v>
      </c>
      <c r="BY159" s="33">
        <v>-50.2</v>
      </c>
      <c r="BZ159" s="33">
        <v>80.900000000000006</v>
      </c>
      <c r="CA159" s="33">
        <v>-23.7</v>
      </c>
      <c r="CB159" s="33">
        <v>-25.8</v>
      </c>
      <c r="CC159" s="33">
        <v>-8.3000000000000007</v>
      </c>
      <c r="CD159" s="33">
        <v>-63.5</v>
      </c>
      <c r="CE159" s="33">
        <v>-33.9</v>
      </c>
      <c r="CF159" s="33">
        <v>67.5</v>
      </c>
      <c r="CG159" s="33">
        <v>32.4</v>
      </c>
      <c r="CH159" s="33">
        <v>39.1</v>
      </c>
      <c r="CI159" s="33">
        <v>-40</v>
      </c>
      <c r="CJ159" s="33">
        <v>-26.8</v>
      </c>
      <c r="CK159" s="33">
        <v>-2.2000000000000002</v>
      </c>
      <c r="CL159" s="33">
        <v>0.7</v>
      </c>
      <c r="CM159" s="33">
        <v>2558.9978569999998</v>
      </c>
      <c r="CN159" s="33">
        <v>8517.64</v>
      </c>
      <c r="CO159" s="33">
        <v>911.30523800000003</v>
      </c>
      <c r="CP159" s="33">
        <v>4.5970000000000004</v>
      </c>
      <c r="CQ159" s="33">
        <v>4.01</v>
      </c>
      <c r="CR159" s="33">
        <v>78.5</v>
      </c>
      <c r="CS159" s="121">
        <f t="shared" si="27"/>
        <v>37.75</v>
      </c>
      <c r="CT159" s="33">
        <v>97.7</v>
      </c>
      <c r="CU159" s="33">
        <v>103.3</v>
      </c>
      <c r="CV159" s="33">
        <v>93.8</v>
      </c>
      <c r="CW159" s="33">
        <v>107.5</v>
      </c>
      <c r="CX159" s="33">
        <v>108.7</v>
      </c>
      <c r="CY159" s="33">
        <v>5.71</v>
      </c>
      <c r="CZ159" s="33">
        <v>33316.938000000002</v>
      </c>
      <c r="DA159" s="33">
        <v>3.94</v>
      </c>
      <c r="DB159" s="33">
        <v>18.54</v>
      </c>
      <c r="DC159" s="33">
        <v>31.34</v>
      </c>
      <c r="DD159" s="33">
        <v>9.4700000000000006</v>
      </c>
      <c r="DE159" s="33">
        <v>6408.1859999999997</v>
      </c>
      <c r="DF159" s="33">
        <v>1393.2429999999999</v>
      </c>
      <c r="DG159" s="33">
        <v>1037.4780000000001</v>
      </c>
      <c r="DH159" s="33">
        <v>1075.163</v>
      </c>
      <c r="DI159" s="33">
        <v>1304.739</v>
      </c>
      <c r="DJ159" s="33">
        <v>99.537599999999998</v>
      </c>
      <c r="DK159" s="33">
        <v>99.403099999999995</v>
      </c>
      <c r="DL159" s="33">
        <v>100.32</v>
      </c>
      <c r="DM159" s="33">
        <v>100.4147</v>
      </c>
      <c r="DN159" s="33">
        <v>98.652799999999999</v>
      </c>
      <c r="DO159" s="33">
        <v>98.430099999999996</v>
      </c>
      <c r="DP159" s="33">
        <v>98.175200000000004</v>
      </c>
      <c r="DQ159" s="33">
        <v>97.992400000000004</v>
      </c>
      <c r="DR159" s="104">
        <v>176195</v>
      </c>
      <c r="DS159" s="103">
        <v>27423</v>
      </c>
      <c r="DT159" s="73">
        <v>89.9</v>
      </c>
      <c r="DU159">
        <v>155.94650268554688</v>
      </c>
      <c r="DV159">
        <v>103.23679351806641</v>
      </c>
      <c r="DW159">
        <v>1428</v>
      </c>
      <c r="DX159">
        <v>861325</v>
      </c>
      <c r="DY159" s="102">
        <f t="shared" si="36"/>
        <v>65.5</v>
      </c>
    </row>
    <row r="160" spans="1:129" x14ac:dyDescent="0.25">
      <c r="A160" s="1">
        <v>37591</v>
      </c>
      <c r="B160" s="33">
        <v>82.5</v>
      </c>
      <c r="C160" s="107">
        <v>3.09</v>
      </c>
      <c r="D160" s="33">
        <v>2.75</v>
      </c>
      <c r="E160" s="33">
        <v>3.11</v>
      </c>
      <c r="F160" s="33">
        <v>3.43</v>
      </c>
      <c r="G160" s="33">
        <v>3.93</v>
      </c>
      <c r="H160" s="33">
        <v>4.33</v>
      </c>
      <c r="I160" s="33">
        <f t="shared" si="28"/>
        <v>1.2400000000000002</v>
      </c>
      <c r="J160" s="33">
        <f t="shared" si="29"/>
        <v>1.58</v>
      </c>
      <c r="K160" s="33">
        <f t="shared" si="30"/>
        <v>1.2200000000000002</v>
      </c>
      <c r="L160" s="33">
        <f t="shared" si="31"/>
        <v>-0.33999999999999986</v>
      </c>
      <c r="M160" s="33">
        <v>94.2</v>
      </c>
      <c r="N160" s="33">
        <v>3380.2</v>
      </c>
      <c r="O160" s="33">
        <v>37.630000000000003</v>
      </c>
      <c r="P160" s="33">
        <v>581.9</v>
      </c>
      <c r="Q160" s="34">
        <f t="shared" si="32"/>
        <v>7.282853566958698</v>
      </c>
      <c r="R160" s="60">
        <v>1338</v>
      </c>
      <c r="S160" s="34">
        <f t="shared" si="33"/>
        <v>1674.5932415519399</v>
      </c>
      <c r="T160" s="60">
        <v>1453.1</v>
      </c>
      <c r="U160" s="34">
        <f t="shared" si="34"/>
        <v>1818.6483103879848</v>
      </c>
      <c r="V160" s="116">
        <v>331312</v>
      </c>
      <c r="W160" s="116">
        <v>2442884</v>
      </c>
      <c r="X160" s="117">
        <v>4915147</v>
      </c>
      <c r="Y160" s="117">
        <v>852284</v>
      </c>
      <c r="Z160" s="33">
        <v>78.599999999999994</v>
      </c>
      <c r="AA160" s="33">
        <v>66.400000000000006</v>
      </c>
      <c r="AB160" s="33">
        <v>77.7</v>
      </c>
      <c r="AC160" s="33">
        <v>63.2</v>
      </c>
      <c r="AD160" s="33">
        <v>39439</v>
      </c>
      <c r="AE160" s="33">
        <v>10.199999999999999</v>
      </c>
      <c r="AF160" s="33">
        <v>324</v>
      </c>
      <c r="AG160" s="33">
        <v>78.2</v>
      </c>
      <c r="AH160" s="33">
        <v>79.900000000000006</v>
      </c>
      <c r="AI160" s="33">
        <v>83.3</v>
      </c>
      <c r="AJ160" s="33">
        <v>83.4</v>
      </c>
      <c r="AK160" s="33">
        <v>165.021759</v>
      </c>
      <c r="AL160" s="33">
        <v>65.2</v>
      </c>
      <c r="AM160" s="123">
        <v>20.345994193361836</v>
      </c>
      <c r="AN160" s="123">
        <v>36.925337314126537</v>
      </c>
      <c r="AO160" s="123">
        <v>56.30433430166805</v>
      </c>
      <c r="AP160" s="33">
        <v>27.73</v>
      </c>
      <c r="AQ160" s="33">
        <f t="shared" si="35"/>
        <v>0.33289315726290519</v>
      </c>
      <c r="AR160" s="33">
        <v>84</v>
      </c>
      <c r="AS160" s="33">
        <v>90.3</v>
      </c>
      <c r="AT160" s="33">
        <v>78.099999999999994</v>
      </c>
      <c r="AU160" s="33">
        <v>89.2</v>
      </c>
      <c r="AV160" s="65">
        <v>95.3</v>
      </c>
      <c r="AW160" s="33">
        <v>83.5</v>
      </c>
      <c r="AX160" s="33">
        <v>-2.7</v>
      </c>
      <c r="AY160" s="33">
        <v>-1.5</v>
      </c>
      <c r="AZ160" s="33">
        <v>-14.4</v>
      </c>
      <c r="BA160" s="33">
        <v>-8.6999999999999993</v>
      </c>
      <c r="BB160" s="33">
        <v>74.5</v>
      </c>
      <c r="BC160" s="33">
        <v>81</v>
      </c>
      <c r="BD160" s="33">
        <v>68.599999999999994</v>
      </c>
      <c r="BE160" s="33">
        <v>-95.4</v>
      </c>
      <c r="BF160" s="33">
        <v>0.6</v>
      </c>
      <c r="BG160" s="33">
        <v>-26.5</v>
      </c>
      <c r="BH160" s="33">
        <v>169.8</v>
      </c>
      <c r="BI160" s="33">
        <v>21.3</v>
      </c>
      <c r="BJ160" s="34">
        <v>46.987059649999999</v>
      </c>
      <c r="BK160" s="45">
        <v>-26.299803600981964</v>
      </c>
      <c r="BL160" s="33">
        <v>5.6000000000000001E-2</v>
      </c>
      <c r="BM160" s="33">
        <v>98.372900000000001</v>
      </c>
      <c r="BN160" s="33">
        <v>98.6036</v>
      </c>
      <c r="BO160" s="33">
        <v>-30.8</v>
      </c>
      <c r="BP160" s="33">
        <v>-27.2</v>
      </c>
      <c r="BQ160" s="33">
        <v>14</v>
      </c>
      <c r="BR160" s="33">
        <v>-6</v>
      </c>
      <c r="BS160" s="33">
        <v>-8.1999999999999993</v>
      </c>
      <c r="BT160" s="33">
        <v>-22.3</v>
      </c>
      <c r="BU160" s="33">
        <v>-16.899999999999999</v>
      </c>
      <c r="BV160" s="33">
        <v>-14.5</v>
      </c>
      <c r="BW160" s="33">
        <v>-24.5</v>
      </c>
      <c r="BX160" s="33">
        <v>-39.299999999999997</v>
      </c>
      <c r="BY160" s="33">
        <v>-51.3</v>
      </c>
      <c r="BZ160" s="33">
        <v>79.7</v>
      </c>
      <c r="CA160" s="33">
        <v>-24.5</v>
      </c>
      <c r="CB160" s="33">
        <v>-27.2</v>
      </c>
      <c r="CC160" s="33">
        <v>-8.1999999999999993</v>
      </c>
      <c r="CD160" s="33">
        <v>-71.599999999999994</v>
      </c>
      <c r="CE160" s="33">
        <v>-37.1</v>
      </c>
      <c r="CF160" s="33">
        <v>68.3</v>
      </c>
      <c r="CG160" s="33">
        <v>30.2</v>
      </c>
      <c r="CH160" s="33">
        <v>42.9</v>
      </c>
      <c r="CI160" s="33">
        <v>-34.4</v>
      </c>
      <c r="CJ160" s="33">
        <v>-25.2</v>
      </c>
      <c r="CK160" s="33">
        <v>-4.8</v>
      </c>
      <c r="CL160" s="33">
        <v>-0.4</v>
      </c>
      <c r="CM160" s="33">
        <v>2477.0302270000002</v>
      </c>
      <c r="CN160" s="33">
        <v>8862.57</v>
      </c>
      <c r="CO160" s="33">
        <v>898.87318200000004</v>
      </c>
      <c r="CP160" s="33">
        <v>4.7110000000000003</v>
      </c>
      <c r="CQ160" s="33">
        <v>4.22</v>
      </c>
      <c r="CR160" s="33">
        <v>80.8</v>
      </c>
      <c r="CS160" s="121">
        <f t="shared" si="27"/>
        <v>38.75</v>
      </c>
      <c r="CT160" s="33">
        <v>102</v>
      </c>
      <c r="CU160" s="33">
        <v>100.7</v>
      </c>
      <c r="CV160" s="33">
        <v>91.6</v>
      </c>
      <c r="CW160" s="33">
        <v>108.5</v>
      </c>
      <c r="CX160" s="33">
        <v>107.6</v>
      </c>
      <c r="CY160" s="33">
        <v>5.39</v>
      </c>
      <c r="CZ160" s="33">
        <v>28607.469000000001</v>
      </c>
      <c r="DA160" s="33">
        <v>3.17</v>
      </c>
      <c r="DB160" s="33">
        <v>19.559999999999999</v>
      </c>
      <c r="DC160" s="33">
        <v>31.53</v>
      </c>
      <c r="DD160" s="33">
        <v>8.89</v>
      </c>
      <c r="DE160" s="33">
        <v>6033.5929999999998</v>
      </c>
      <c r="DF160" s="33">
        <v>1257.356</v>
      </c>
      <c r="DG160" s="33">
        <v>982.68</v>
      </c>
      <c r="DH160" s="33">
        <v>946.28300000000002</v>
      </c>
      <c r="DI160" s="33">
        <v>1352.34</v>
      </c>
      <c r="DJ160" s="33">
        <v>99.514200000000002</v>
      </c>
      <c r="DK160" s="33">
        <v>99.363500000000002</v>
      </c>
      <c r="DL160" s="33">
        <v>100.4</v>
      </c>
      <c r="DM160" s="33">
        <v>100.5142</v>
      </c>
      <c r="DN160" s="33">
        <v>98.6036</v>
      </c>
      <c r="DO160" s="33">
        <v>98.372900000000001</v>
      </c>
      <c r="DP160" s="33">
        <v>98.086699999999993</v>
      </c>
      <c r="DQ160" s="33">
        <v>97.895099999999999</v>
      </c>
      <c r="DR160" s="104">
        <v>138703</v>
      </c>
      <c r="DS160" s="103">
        <v>27373</v>
      </c>
      <c r="DT160" s="73">
        <v>89.2</v>
      </c>
      <c r="DU160">
        <v>138.5657958984375</v>
      </c>
      <c r="DV160">
        <v>128.241455078125</v>
      </c>
      <c r="DW160">
        <v>1573</v>
      </c>
      <c r="DX160">
        <v>862500</v>
      </c>
      <c r="DY160" s="102">
        <f t="shared" si="36"/>
        <v>66.900000000000006</v>
      </c>
    </row>
    <row r="161" spans="1:129" x14ac:dyDescent="0.25">
      <c r="A161" s="1">
        <v>37622</v>
      </c>
      <c r="B161" s="33">
        <v>83.4</v>
      </c>
      <c r="C161" s="107">
        <v>2.79</v>
      </c>
      <c r="D161" s="33">
        <v>2.75</v>
      </c>
      <c r="E161" s="33">
        <v>2.97</v>
      </c>
      <c r="F161" s="33">
        <v>3.22</v>
      </c>
      <c r="G161" s="33">
        <v>3.78</v>
      </c>
      <c r="H161" s="33">
        <v>4.18</v>
      </c>
      <c r="I161" s="33">
        <f t="shared" si="28"/>
        <v>1.3899999999999997</v>
      </c>
      <c r="J161" s="33">
        <f t="shared" si="29"/>
        <v>1.4299999999999997</v>
      </c>
      <c r="K161" s="33">
        <f t="shared" si="30"/>
        <v>1.2099999999999995</v>
      </c>
      <c r="L161" s="33">
        <f t="shared" si="31"/>
        <v>-4.0000000000000036E-2</v>
      </c>
      <c r="M161" s="33">
        <v>95.6</v>
      </c>
      <c r="N161" s="33">
        <v>2892.63</v>
      </c>
      <c r="O161" s="33">
        <v>51.13</v>
      </c>
      <c r="P161" s="33">
        <v>572.20000000000005</v>
      </c>
      <c r="Q161" s="34">
        <f t="shared" si="32"/>
        <v>7.1614518147684603</v>
      </c>
      <c r="R161" s="60">
        <v>1334.5</v>
      </c>
      <c r="S161" s="34">
        <f t="shared" si="33"/>
        <v>1670.2127659574464</v>
      </c>
      <c r="T161" s="60">
        <v>1444.5</v>
      </c>
      <c r="U161" s="34">
        <f t="shared" si="34"/>
        <v>1807.8848560700874</v>
      </c>
      <c r="V161" s="116">
        <v>333124</v>
      </c>
      <c r="W161" s="116">
        <v>2454715</v>
      </c>
      <c r="X161" s="117">
        <v>4922129</v>
      </c>
      <c r="Y161" s="117">
        <v>887057</v>
      </c>
      <c r="Z161" s="33">
        <v>78.7</v>
      </c>
      <c r="AA161" s="33">
        <v>68.3</v>
      </c>
      <c r="AB161" s="33">
        <v>79.599999999999994</v>
      </c>
      <c r="AC161" s="33">
        <v>66</v>
      </c>
      <c r="AD161" s="33">
        <v>39392</v>
      </c>
      <c r="AE161" s="33">
        <v>10.4</v>
      </c>
      <c r="AF161" s="33">
        <v>315</v>
      </c>
      <c r="AG161" s="33">
        <v>78.599999999999994</v>
      </c>
      <c r="AH161" s="33">
        <v>79.900000000000006</v>
      </c>
      <c r="AI161" s="33">
        <v>83.5</v>
      </c>
      <c r="AJ161" s="33">
        <v>83.6</v>
      </c>
      <c r="AK161" s="33">
        <v>167.33598000000001</v>
      </c>
      <c r="AL161" s="33">
        <v>65.099999999999994</v>
      </c>
      <c r="AM161" s="123">
        <v>21.842023178167857</v>
      </c>
      <c r="AN161" s="123">
        <v>38.889451001048165</v>
      </c>
      <c r="AO161" s="123">
        <v>52.634125843485243</v>
      </c>
      <c r="AP161" s="33">
        <v>29.02</v>
      </c>
      <c r="AQ161" s="33">
        <f t="shared" si="35"/>
        <v>0.34754491017964073</v>
      </c>
      <c r="AR161" s="33">
        <v>84.4</v>
      </c>
      <c r="AS161" s="33">
        <v>90.2</v>
      </c>
      <c r="AT161" s="33">
        <v>78.900000000000006</v>
      </c>
      <c r="AU161" s="33">
        <v>88.5</v>
      </c>
      <c r="AV161" s="65">
        <v>94.4</v>
      </c>
      <c r="AW161" s="33">
        <v>83.1</v>
      </c>
      <c r="AX161" s="33">
        <v>-9.4</v>
      </c>
      <c r="AY161" s="33">
        <v>-9.6999999999999993</v>
      </c>
      <c r="AZ161" s="33">
        <v>-14</v>
      </c>
      <c r="BA161" s="33">
        <v>-4</v>
      </c>
      <c r="BB161" s="33">
        <v>77.5</v>
      </c>
      <c r="BC161" s="33">
        <v>82.5</v>
      </c>
      <c r="BD161" s="33">
        <v>72.8</v>
      </c>
      <c r="BE161" s="33">
        <v>-94.7</v>
      </c>
      <c r="BF161" s="33">
        <v>14</v>
      </c>
      <c r="BG161" s="33">
        <v>-29.2</v>
      </c>
      <c r="BH161" s="33">
        <v>173.2</v>
      </c>
      <c r="BI161" s="33">
        <v>48.4</v>
      </c>
      <c r="BJ161" s="34">
        <v>48.264299680000001</v>
      </c>
      <c r="BK161" s="45">
        <v>-30.049152562994283</v>
      </c>
      <c r="BL161" s="33">
        <v>3.9E-2</v>
      </c>
      <c r="BM161" s="33">
        <v>98.388000000000005</v>
      </c>
      <c r="BN161" s="33">
        <v>98.616600000000005</v>
      </c>
      <c r="BO161" s="33">
        <v>-31.6</v>
      </c>
      <c r="BP161" s="33">
        <v>-26.7</v>
      </c>
      <c r="BQ161" s="33">
        <v>15.1</v>
      </c>
      <c r="BR161" s="33">
        <v>-6.9</v>
      </c>
      <c r="BS161" s="33">
        <v>-3.8</v>
      </c>
      <c r="BT161" s="33">
        <v>-22.2</v>
      </c>
      <c r="BU161" s="33">
        <v>-17.8</v>
      </c>
      <c r="BV161" s="33">
        <v>-15.1</v>
      </c>
      <c r="BW161" s="33">
        <v>-22.6</v>
      </c>
      <c r="BX161" s="33">
        <v>-39</v>
      </c>
      <c r="BY161" s="33">
        <v>-52.1</v>
      </c>
      <c r="BZ161" s="33">
        <v>80</v>
      </c>
      <c r="CA161" s="33">
        <v>-22.6</v>
      </c>
      <c r="CB161" s="33">
        <v>-25.1</v>
      </c>
      <c r="CC161" s="33">
        <v>-6</v>
      </c>
      <c r="CD161" s="33">
        <v>-68.900000000000006</v>
      </c>
      <c r="CE161" s="33">
        <v>-35.6</v>
      </c>
      <c r="CF161" s="33">
        <v>66.3</v>
      </c>
      <c r="CG161" s="33">
        <v>29.8</v>
      </c>
      <c r="CH161" s="33">
        <v>44.7</v>
      </c>
      <c r="CI161" s="33">
        <v>-31.3</v>
      </c>
      <c r="CJ161" s="33">
        <v>-23.8</v>
      </c>
      <c r="CK161" s="33">
        <v>-1.5</v>
      </c>
      <c r="CL161" s="33">
        <v>1.4</v>
      </c>
      <c r="CM161" s="33">
        <v>2377.3845649999998</v>
      </c>
      <c r="CN161" s="33">
        <v>8341.6299999999992</v>
      </c>
      <c r="CO161" s="33">
        <v>895.39869599999997</v>
      </c>
      <c r="CP161" s="33">
        <v>4.3879999999999999</v>
      </c>
      <c r="CQ161" s="33">
        <v>3.83</v>
      </c>
      <c r="CR161" s="33">
        <v>72.8</v>
      </c>
      <c r="CS161" s="121">
        <f t="shared" si="27"/>
        <v>34.450000000000003</v>
      </c>
      <c r="CT161" s="33">
        <v>100.9</v>
      </c>
      <c r="CU161" s="33">
        <v>103.2</v>
      </c>
      <c r="CV161" s="33">
        <v>91.3</v>
      </c>
      <c r="CW161" s="33">
        <v>107.4</v>
      </c>
      <c r="CX161" s="33">
        <v>106.7</v>
      </c>
      <c r="CY161" s="33">
        <v>5.71</v>
      </c>
      <c r="CZ161" s="33">
        <v>29427.857</v>
      </c>
      <c r="DA161" s="33">
        <v>3.58</v>
      </c>
      <c r="DB161" s="33">
        <v>18.829999999999998</v>
      </c>
      <c r="DC161" s="33">
        <v>30.2</v>
      </c>
      <c r="DD161" s="33">
        <v>10.24</v>
      </c>
      <c r="DE161" s="33">
        <v>6120.8940000000002</v>
      </c>
      <c r="DF161" s="33">
        <v>1266.451</v>
      </c>
      <c r="DG161" s="33">
        <v>826.42100000000005</v>
      </c>
      <c r="DH161" s="33">
        <v>996.91899999999998</v>
      </c>
      <c r="DI161" s="33">
        <v>1382.269</v>
      </c>
      <c r="DJ161" s="33">
        <v>99.504400000000004</v>
      </c>
      <c r="DK161" s="33">
        <v>99.342500000000001</v>
      </c>
      <c r="DL161" s="33">
        <v>100.47</v>
      </c>
      <c r="DM161" s="33">
        <v>100.6069</v>
      </c>
      <c r="DN161" s="33">
        <v>98.616600000000005</v>
      </c>
      <c r="DO161" s="33">
        <v>98.388000000000005</v>
      </c>
      <c r="DP161" s="33">
        <v>98.022499999999994</v>
      </c>
      <c r="DQ161" s="33">
        <v>97.824399999999997</v>
      </c>
      <c r="DR161" s="104">
        <v>162317</v>
      </c>
      <c r="DS161" s="103">
        <v>27343</v>
      </c>
      <c r="DT161" s="73">
        <v>89.9</v>
      </c>
      <c r="DU161">
        <v>157.28202819824219</v>
      </c>
      <c r="DV161">
        <v>84.128318786621094</v>
      </c>
      <c r="DW161">
        <v>1738</v>
      </c>
      <c r="DX161">
        <v>855600</v>
      </c>
      <c r="DY161" s="102">
        <f t="shared" si="36"/>
        <v>65</v>
      </c>
    </row>
    <row r="162" spans="1:129" x14ac:dyDescent="0.25">
      <c r="A162" s="1">
        <v>37653</v>
      </c>
      <c r="B162" s="33">
        <v>83.4</v>
      </c>
      <c r="C162" s="107">
        <v>2.76</v>
      </c>
      <c r="D162" s="33">
        <v>2.75</v>
      </c>
      <c r="E162" s="33">
        <v>2.82</v>
      </c>
      <c r="F162" s="33">
        <v>3</v>
      </c>
      <c r="G162" s="33">
        <v>3.53</v>
      </c>
      <c r="H162" s="33">
        <v>3.95</v>
      </c>
      <c r="I162" s="33">
        <f t="shared" si="28"/>
        <v>1.1900000000000004</v>
      </c>
      <c r="J162" s="33">
        <f t="shared" si="29"/>
        <v>1.2000000000000002</v>
      </c>
      <c r="K162" s="33">
        <f t="shared" si="30"/>
        <v>1.1300000000000003</v>
      </c>
      <c r="L162" s="33">
        <f t="shared" si="31"/>
        <v>-9.9999999999997868E-3</v>
      </c>
      <c r="M162" s="33">
        <v>96.1</v>
      </c>
      <c r="N162" s="33">
        <v>2751.99</v>
      </c>
      <c r="O162" s="33">
        <v>46.68</v>
      </c>
      <c r="P162" s="33">
        <v>579.9</v>
      </c>
      <c r="Q162" s="34">
        <f t="shared" si="32"/>
        <v>7.2487499999999994</v>
      </c>
      <c r="R162" s="60">
        <v>1347.6</v>
      </c>
      <c r="S162" s="34">
        <f t="shared" si="33"/>
        <v>1684.5</v>
      </c>
      <c r="T162" s="60">
        <v>1467.6</v>
      </c>
      <c r="U162" s="34">
        <f t="shared" si="34"/>
        <v>1834.5</v>
      </c>
      <c r="V162" s="116">
        <v>328930</v>
      </c>
      <c r="W162" s="116">
        <v>2481185</v>
      </c>
      <c r="X162" s="117">
        <v>4968610</v>
      </c>
      <c r="Y162" s="117">
        <v>888826</v>
      </c>
      <c r="Z162" s="33">
        <v>77.900000000000006</v>
      </c>
      <c r="AA162" s="33">
        <v>68.2</v>
      </c>
      <c r="AB162" s="33">
        <v>79</v>
      </c>
      <c r="AC162" s="33">
        <v>65.8</v>
      </c>
      <c r="AD162" s="33">
        <v>39383</v>
      </c>
      <c r="AE162" s="33">
        <v>10.5</v>
      </c>
      <c r="AF162" s="33">
        <v>303</v>
      </c>
      <c r="AG162" s="33">
        <v>78.7</v>
      </c>
      <c r="AH162" s="33">
        <v>80</v>
      </c>
      <c r="AI162" s="33">
        <v>83.6</v>
      </c>
      <c r="AJ162" s="33">
        <v>83.6</v>
      </c>
      <c r="AK162" s="33">
        <v>168.04804799999999</v>
      </c>
      <c r="AL162" s="33">
        <v>65.099999999999994</v>
      </c>
      <c r="AM162" s="123">
        <v>21.595915874751885</v>
      </c>
      <c r="AN162" s="123">
        <v>41.031188882265312</v>
      </c>
      <c r="AO162" s="123">
        <v>53.920125427793792</v>
      </c>
      <c r="AP162" s="33">
        <v>30.31</v>
      </c>
      <c r="AQ162" s="33">
        <f t="shared" si="35"/>
        <v>0.36255980861244019</v>
      </c>
      <c r="AR162" s="33">
        <v>85</v>
      </c>
      <c r="AS162" s="33">
        <v>91.1</v>
      </c>
      <c r="AT162" s="33">
        <v>79.3</v>
      </c>
      <c r="AU162" s="33">
        <v>89.2</v>
      </c>
      <c r="AV162" s="65">
        <v>95.5</v>
      </c>
      <c r="AW162" s="33">
        <v>83.3</v>
      </c>
      <c r="AX162" s="33">
        <v>-8.8000000000000007</v>
      </c>
      <c r="AY162" s="33">
        <v>-6.8</v>
      </c>
      <c r="AZ162" s="33">
        <v>-13.6</v>
      </c>
      <c r="BA162" s="33">
        <v>-2</v>
      </c>
      <c r="BB162" s="33">
        <v>76.5</v>
      </c>
      <c r="BC162" s="33">
        <v>81.599999999999994</v>
      </c>
      <c r="BD162" s="33">
        <v>71.8</v>
      </c>
      <c r="BE162" s="33">
        <v>-94.7</v>
      </c>
      <c r="BF162" s="33">
        <v>15</v>
      </c>
      <c r="BG162" s="33">
        <v>-25.9</v>
      </c>
      <c r="BH162" s="33">
        <v>169.6</v>
      </c>
      <c r="BI162" s="33">
        <v>62.9</v>
      </c>
      <c r="BJ162" s="34">
        <v>49.884623670000003</v>
      </c>
      <c r="BK162" s="45">
        <v>-35.866612577303961</v>
      </c>
      <c r="BL162" s="33">
        <v>-1.2E-2</v>
      </c>
      <c r="BM162" s="33">
        <v>98.448800000000006</v>
      </c>
      <c r="BN162" s="33">
        <v>98.668899999999994</v>
      </c>
      <c r="BO162" s="33">
        <v>-28.4</v>
      </c>
      <c r="BP162" s="33">
        <v>-24.3</v>
      </c>
      <c r="BQ162" s="33">
        <v>13.8</v>
      </c>
      <c r="BR162" s="33">
        <v>-6.1</v>
      </c>
      <c r="BS162" s="33">
        <v>-2.4</v>
      </c>
      <c r="BT162" s="33">
        <v>-20</v>
      </c>
      <c r="BU162" s="33">
        <v>-16.100000000000001</v>
      </c>
      <c r="BV162" s="33">
        <v>-13.2</v>
      </c>
      <c r="BW162" s="33">
        <v>-23.9</v>
      </c>
      <c r="BX162" s="33">
        <v>-31.9</v>
      </c>
      <c r="BY162" s="33">
        <v>-51.2</v>
      </c>
      <c r="BZ162" s="33">
        <v>81.099999999999994</v>
      </c>
      <c r="CA162" s="33">
        <v>-23.9</v>
      </c>
      <c r="CB162" s="33">
        <v>-25.8</v>
      </c>
      <c r="CC162" s="33">
        <v>-7.5</v>
      </c>
      <c r="CD162" s="33">
        <v>-68.2</v>
      </c>
      <c r="CE162" s="33">
        <v>-36.799999999999997</v>
      </c>
      <c r="CF162" s="33">
        <v>58.3</v>
      </c>
      <c r="CG162" s="33">
        <v>32</v>
      </c>
      <c r="CH162" s="33">
        <v>45.3</v>
      </c>
      <c r="CI162" s="33">
        <v>-33.6</v>
      </c>
      <c r="CJ162" s="33">
        <v>-25.6</v>
      </c>
      <c r="CK162" s="33">
        <v>-0.3</v>
      </c>
      <c r="CL162" s="33">
        <v>1.9</v>
      </c>
      <c r="CM162" s="33">
        <v>2170.88175</v>
      </c>
      <c r="CN162" s="33">
        <v>8109.82</v>
      </c>
      <c r="CO162" s="33">
        <v>837.48249999999996</v>
      </c>
      <c r="CP162" s="33">
        <v>4.2960000000000003</v>
      </c>
      <c r="CQ162" s="33">
        <v>4.01</v>
      </c>
      <c r="CR162" s="33">
        <v>69.900000000000006</v>
      </c>
      <c r="CS162" s="121">
        <f t="shared" si="27"/>
        <v>35.549999999999997</v>
      </c>
      <c r="CT162" s="33">
        <v>98.6</v>
      </c>
      <c r="CU162" s="33">
        <v>106.7</v>
      </c>
      <c r="CV162" s="33">
        <v>92.2</v>
      </c>
      <c r="CW162" s="33">
        <v>105.8</v>
      </c>
      <c r="CX162" s="33">
        <v>101.9</v>
      </c>
      <c r="CY162" s="33">
        <v>5.45</v>
      </c>
      <c r="CZ162" s="33">
        <v>30339.455000000002</v>
      </c>
      <c r="DA162" s="33">
        <v>3.27</v>
      </c>
      <c r="DB162" s="33">
        <v>19.05</v>
      </c>
      <c r="DC162" s="33">
        <v>30.65</v>
      </c>
      <c r="DD162" s="33">
        <v>10.130000000000001</v>
      </c>
      <c r="DE162" s="33">
        <v>5898.0439999999999</v>
      </c>
      <c r="DF162" s="33">
        <v>1271.808</v>
      </c>
      <c r="DG162" s="33">
        <v>879.30799999999999</v>
      </c>
      <c r="DH162" s="33">
        <v>918.43799999999999</v>
      </c>
      <c r="DI162" s="33">
        <v>1291.828</v>
      </c>
      <c r="DJ162" s="33">
        <v>99.515799999999999</v>
      </c>
      <c r="DK162" s="33">
        <v>99.351399999999998</v>
      </c>
      <c r="DL162" s="33">
        <v>100.55</v>
      </c>
      <c r="DM162" s="33">
        <v>100.6966</v>
      </c>
      <c r="DN162" s="33">
        <v>98.668899999999994</v>
      </c>
      <c r="DO162" s="33">
        <v>98.448800000000006</v>
      </c>
      <c r="DP162" s="33">
        <v>97.992099999999994</v>
      </c>
      <c r="DQ162" s="33">
        <v>97.790999999999997</v>
      </c>
      <c r="DR162" s="104">
        <v>184544</v>
      </c>
      <c r="DS162" s="103">
        <v>27273</v>
      </c>
      <c r="DT162" s="73">
        <v>88.8</v>
      </c>
      <c r="DU162">
        <v>226.02687072753906</v>
      </c>
      <c r="DV162">
        <v>230.90956115722656</v>
      </c>
      <c r="DW162">
        <v>1530</v>
      </c>
      <c r="DX162">
        <v>830425</v>
      </c>
      <c r="DY162" s="102">
        <f t="shared" si="36"/>
        <v>65.900000000000006</v>
      </c>
    </row>
    <row r="163" spans="1:129" x14ac:dyDescent="0.25">
      <c r="A163" s="1">
        <v>37681</v>
      </c>
      <c r="B163" s="33">
        <v>84</v>
      </c>
      <c r="C163" s="107">
        <v>2.75</v>
      </c>
      <c r="D163" s="33">
        <v>2.5</v>
      </c>
      <c r="E163" s="33">
        <v>2.68</v>
      </c>
      <c r="F163" s="33">
        <v>3.03</v>
      </c>
      <c r="G163" s="33">
        <v>3.57</v>
      </c>
      <c r="H163" s="33">
        <v>4</v>
      </c>
      <c r="I163" s="33">
        <f t="shared" si="28"/>
        <v>1.25</v>
      </c>
      <c r="J163" s="33">
        <f t="shared" si="29"/>
        <v>1.5</v>
      </c>
      <c r="K163" s="33">
        <f t="shared" si="30"/>
        <v>1.3199999999999998</v>
      </c>
      <c r="L163" s="33">
        <f t="shared" si="31"/>
        <v>-0.25</v>
      </c>
      <c r="M163" s="33">
        <v>96.3</v>
      </c>
      <c r="N163" s="33">
        <v>2549.65</v>
      </c>
      <c r="O163" s="33">
        <v>46.91</v>
      </c>
      <c r="P163" s="33">
        <v>587</v>
      </c>
      <c r="Q163" s="34">
        <f t="shared" si="32"/>
        <v>7.3100871731008716</v>
      </c>
      <c r="R163" s="60">
        <v>1353.5</v>
      </c>
      <c r="S163" s="34">
        <f t="shared" si="33"/>
        <v>1685.5541718555419</v>
      </c>
      <c r="T163" s="60">
        <v>1468.7</v>
      </c>
      <c r="U163" s="34">
        <f t="shared" si="34"/>
        <v>1829.0161892901619</v>
      </c>
      <c r="V163" s="116">
        <v>328225</v>
      </c>
      <c r="W163" s="116">
        <v>2499997</v>
      </c>
      <c r="X163" s="117">
        <v>5000011</v>
      </c>
      <c r="Y163" s="117">
        <v>880058</v>
      </c>
      <c r="Z163" s="33">
        <v>79.2</v>
      </c>
      <c r="AA163" s="33">
        <v>66.7</v>
      </c>
      <c r="AB163" s="33">
        <v>77.099999999999994</v>
      </c>
      <c r="AC163" s="33">
        <v>63.6</v>
      </c>
      <c r="AD163" s="33">
        <v>39308</v>
      </c>
      <c r="AE163" s="33">
        <v>10.5</v>
      </c>
      <c r="AF163" s="33">
        <v>293</v>
      </c>
      <c r="AG163" s="33">
        <v>78.900000000000006</v>
      </c>
      <c r="AH163" s="33">
        <v>80.3</v>
      </c>
      <c r="AI163" s="33">
        <v>82.9</v>
      </c>
      <c r="AJ163" s="33">
        <v>83.4</v>
      </c>
      <c r="AK163" s="33">
        <v>168.22606500000001</v>
      </c>
      <c r="AL163" s="33">
        <v>65.8</v>
      </c>
      <c r="AM163" s="123">
        <v>22.203800914189348</v>
      </c>
      <c r="AN163" s="123">
        <v>38.050715113577759</v>
      </c>
      <c r="AO163" s="123">
        <v>53.037635649924823</v>
      </c>
      <c r="AP163" s="33">
        <v>27.87</v>
      </c>
      <c r="AQ163" s="33">
        <f t="shared" si="35"/>
        <v>0.33618817852834737</v>
      </c>
      <c r="AR163" s="33">
        <v>84.8</v>
      </c>
      <c r="AS163" s="33">
        <v>91.2</v>
      </c>
      <c r="AT163" s="33">
        <v>78.900000000000006</v>
      </c>
      <c r="AU163" s="33">
        <v>88.3</v>
      </c>
      <c r="AV163" s="65">
        <v>94.4</v>
      </c>
      <c r="AW163" s="33">
        <v>82.6</v>
      </c>
      <c r="AX163" s="33">
        <v>-10.3</v>
      </c>
      <c r="AY163" s="33">
        <v>-8.1999999999999993</v>
      </c>
      <c r="AZ163" s="33">
        <v>-15.9</v>
      </c>
      <c r="BA163" s="33">
        <v>-4.7</v>
      </c>
      <c r="BB163" s="33">
        <v>77.900000000000006</v>
      </c>
      <c r="BC163" s="33">
        <v>84.4</v>
      </c>
      <c r="BD163" s="33">
        <v>71.900000000000006</v>
      </c>
      <c r="BE163" s="33">
        <v>-96.1</v>
      </c>
      <c r="BF163" s="33">
        <v>17.7</v>
      </c>
      <c r="BG163" s="33">
        <v>-28.6</v>
      </c>
      <c r="BH163" s="33">
        <v>172.5</v>
      </c>
      <c r="BI163" s="33">
        <v>49.4</v>
      </c>
      <c r="BJ163" s="34">
        <v>47.795867360000003</v>
      </c>
      <c r="BK163" s="45">
        <v>-42.99888677002653</v>
      </c>
      <c r="BL163" s="33">
        <v>-5.1999999999999998E-2</v>
      </c>
      <c r="BM163" s="33">
        <v>98.530699999999996</v>
      </c>
      <c r="BN163" s="33">
        <v>98.739199999999997</v>
      </c>
      <c r="BO163" s="33">
        <v>-31.2</v>
      </c>
      <c r="BP163" s="33">
        <v>-27.4</v>
      </c>
      <c r="BQ163" s="33">
        <v>14.2</v>
      </c>
      <c r="BR163" s="33">
        <v>-7.7</v>
      </c>
      <c r="BS163" s="33">
        <v>1.6</v>
      </c>
      <c r="BT163" s="33">
        <v>-20.8</v>
      </c>
      <c r="BU163" s="33">
        <v>-17.7</v>
      </c>
      <c r="BV163" s="33">
        <v>-9.5</v>
      </c>
      <c r="BW163" s="33">
        <v>-22.9</v>
      </c>
      <c r="BX163" s="33">
        <v>-34.4</v>
      </c>
      <c r="BY163" s="33">
        <v>-49</v>
      </c>
      <c r="BZ163" s="33">
        <v>82</v>
      </c>
      <c r="CA163" s="33">
        <v>-22.9</v>
      </c>
      <c r="CB163" s="33">
        <v>-24.3</v>
      </c>
      <c r="CC163" s="33">
        <v>-7.1</v>
      </c>
      <c r="CD163" s="33">
        <v>-67</v>
      </c>
      <c r="CE163" s="33">
        <v>-36.9</v>
      </c>
      <c r="CF163" s="33">
        <v>57.2</v>
      </c>
      <c r="CG163" s="33">
        <v>32.799999999999997</v>
      </c>
      <c r="CH163" s="33">
        <v>46.3</v>
      </c>
      <c r="CI163" s="33">
        <v>-31.1</v>
      </c>
      <c r="CJ163" s="33">
        <v>-23.2</v>
      </c>
      <c r="CK163" s="33">
        <v>-1.5</v>
      </c>
      <c r="CL163" s="33">
        <v>1.1000000000000001</v>
      </c>
      <c r="CM163" s="33">
        <v>2086.4630950000001</v>
      </c>
      <c r="CN163" s="33">
        <v>7837.86</v>
      </c>
      <c r="CO163" s="33">
        <v>846.62142900000003</v>
      </c>
      <c r="CP163" s="33">
        <v>4.1070000000000002</v>
      </c>
      <c r="CQ163" s="33">
        <v>3.68</v>
      </c>
      <c r="CR163" s="33">
        <v>69.599999999999994</v>
      </c>
      <c r="CS163" s="121">
        <f t="shared" si="27"/>
        <v>37.850000000000009</v>
      </c>
      <c r="CT163" s="33">
        <v>94</v>
      </c>
      <c r="CU163" s="33">
        <v>103.3</v>
      </c>
      <c r="CV163" s="33">
        <v>90.8</v>
      </c>
      <c r="CW163" s="33">
        <v>107.8</v>
      </c>
      <c r="CX163" s="33">
        <v>101.4</v>
      </c>
      <c r="CY163" s="33">
        <v>5.12</v>
      </c>
      <c r="CZ163" s="33">
        <v>32920.392999999996</v>
      </c>
      <c r="DA163" s="33">
        <v>3.42</v>
      </c>
      <c r="DB163" s="33">
        <v>19.579999999999998</v>
      </c>
      <c r="DC163" s="33">
        <v>31.73</v>
      </c>
      <c r="DD163" s="33">
        <v>9.25</v>
      </c>
      <c r="DE163" s="33">
        <v>5791.6989999999996</v>
      </c>
      <c r="DF163" s="33">
        <v>1198.491</v>
      </c>
      <c r="DG163" s="33">
        <v>843.32</v>
      </c>
      <c r="DH163" s="33">
        <v>960.58799999999997</v>
      </c>
      <c r="DI163" s="33">
        <v>1330.0329999999999</v>
      </c>
      <c r="DJ163" s="33">
        <v>99.55</v>
      </c>
      <c r="DK163" s="33">
        <v>99.392099999999999</v>
      </c>
      <c r="DL163" s="33">
        <v>100.61</v>
      </c>
      <c r="DM163" s="33">
        <v>100.7728</v>
      </c>
      <c r="DN163" s="33">
        <v>98.739199999999997</v>
      </c>
      <c r="DO163" s="33">
        <v>98.530699999999996</v>
      </c>
      <c r="DP163" s="33">
        <v>98.024900000000002</v>
      </c>
      <c r="DQ163" s="33">
        <v>97.827100000000002</v>
      </c>
      <c r="DR163" s="104">
        <v>197839</v>
      </c>
      <c r="DS163" s="103">
        <v>27197</v>
      </c>
      <c r="DT163" s="73">
        <v>89.7</v>
      </c>
      <c r="DU163">
        <v>251.23257446289063</v>
      </c>
      <c r="DV163">
        <v>230.06301879882813</v>
      </c>
      <c r="DW163">
        <v>1762</v>
      </c>
      <c r="DX163">
        <v>822825</v>
      </c>
      <c r="DY163" s="102">
        <f t="shared" si="36"/>
        <v>65.900000000000006</v>
      </c>
    </row>
    <row r="164" spans="1:129" x14ac:dyDescent="0.25">
      <c r="A164" s="1">
        <v>37712</v>
      </c>
      <c r="B164" s="33">
        <v>83.4</v>
      </c>
      <c r="C164" s="107">
        <v>2.56</v>
      </c>
      <c r="D164" s="33">
        <v>2.5</v>
      </c>
      <c r="E164" s="33">
        <v>2.58</v>
      </c>
      <c r="F164" s="33">
        <v>3.19</v>
      </c>
      <c r="G164" s="33">
        <v>3.7</v>
      </c>
      <c r="H164" s="33">
        <v>4.1500000000000004</v>
      </c>
      <c r="I164" s="33">
        <f t="shared" si="28"/>
        <v>1.5900000000000003</v>
      </c>
      <c r="J164" s="33">
        <f t="shared" si="29"/>
        <v>1.6500000000000004</v>
      </c>
      <c r="K164" s="33">
        <f t="shared" si="30"/>
        <v>1.5700000000000003</v>
      </c>
      <c r="L164" s="33">
        <f t="shared" si="31"/>
        <v>-6.0000000000000053E-2</v>
      </c>
      <c r="M164" s="33">
        <v>96.4</v>
      </c>
      <c r="N164" s="33">
        <v>2450.19</v>
      </c>
      <c r="O164" s="33">
        <v>47.28</v>
      </c>
      <c r="P164" s="33">
        <v>594.20000000000005</v>
      </c>
      <c r="Q164" s="34">
        <f t="shared" si="32"/>
        <v>7.4089775561097264</v>
      </c>
      <c r="R164" s="60">
        <v>1358.2</v>
      </c>
      <c r="S164" s="34">
        <f t="shared" si="33"/>
        <v>1693.5162094763093</v>
      </c>
      <c r="T164" s="60">
        <v>1475.3</v>
      </c>
      <c r="U164" s="34">
        <f t="shared" si="34"/>
        <v>1839.5261845386533</v>
      </c>
      <c r="V164" s="116">
        <v>323912</v>
      </c>
      <c r="W164" s="116">
        <v>2531994</v>
      </c>
      <c r="X164" s="117">
        <v>5048210</v>
      </c>
      <c r="Y164" s="117">
        <v>908864</v>
      </c>
      <c r="Z164" s="33">
        <v>78.7</v>
      </c>
      <c r="AA164" s="33">
        <v>66.900000000000006</v>
      </c>
      <c r="AB164" s="33">
        <v>77.7</v>
      </c>
      <c r="AC164" s="33">
        <v>64.3</v>
      </c>
      <c r="AD164" s="33">
        <v>39207</v>
      </c>
      <c r="AE164" s="33">
        <v>10.6</v>
      </c>
      <c r="AF164" s="33">
        <v>286</v>
      </c>
      <c r="AG164" s="33">
        <v>78.7</v>
      </c>
      <c r="AH164" s="33">
        <v>80.2</v>
      </c>
      <c r="AI164" s="33">
        <v>81.3</v>
      </c>
      <c r="AJ164" s="33">
        <v>83.2</v>
      </c>
      <c r="AK164" s="33">
        <v>168.04804799999999</v>
      </c>
      <c r="AL164" s="33">
        <v>65.8</v>
      </c>
      <c r="AM164" s="123">
        <v>19.472706090795821</v>
      </c>
      <c r="AN164" s="123">
        <v>32.6413181897763</v>
      </c>
      <c r="AO164" s="123">
        <v>51.050883825904833</v>
      </c>
      <c r="AP164" s="33">
        <v>23.06</v>
      </c>
      <c r="AQ164" s="33">
        <f t="shared" si="35"/>
        <v>0.28364083640836407</v>
      </c>
      <c r="AR164" s="33">
        <v>85.2</v>
      </c>
      <c r="AS164" s="33">
        <v>91.1</v>
      </c>
      <c r="AT164" s="33">
        <v>79.7</v>
      </c>
      <c r="AU164" s="33">
        <v>88.6</v>
      </c>
      <c r="AV164" s="65">
        <v>94.4</v>
      </c>
      <c r="AW164" s="33">
        <v>83.1</v>
      </c>
      <c r="AX164" s="33">
        <v>-11.1</v>
      </c>
      <c r="AY164" s="33">
        <v>-5.5</v>
      </c>
      <c r="AZ164" s="33">
        <v>-13.1</v>
      </c>
      <c r="BA164" s="33">
        <v>-6.1</v>
      </c>
      <c r="BB164" s="33">
        <v>79.400000000000006</v>
      </c>
      <c r="BC164" s="33">
        <v>85.5</v>
      </c>
      <c r="BD164" s="33">
        <v>73.7</v>
      </c>
      <c r="BE164" s="33">
        <v>-95.8</v>
      </c>
      <c r="BF164" s="33">
        <v>18.399999999999999</v>
      </c>
      <c r="BG164" s="33">
        <v>-21.9</v>
      </c>
      <c r="BH164" s="33">
        <v>172.7</v>
      </c>
      <c r="BI164" s="33">
        <v>17.7</v>
      </c>
      <c r="BJ164" s="34">
        <v>45.918738230000002</v>
      </c>
      <c r="BK164" s="45">
        <v>-42.67076693286841</v>
      </c>
      <c r="BL164" s="33">
        <v>-0.08</v>
      </c>
      <c r="BM164" s="33">
        <v>98.637900000000002</v>
      </c>
      <c r="BN164" s="33">
        <v>98.831299999999999</v>
      </c>
      <c r="BO164" s="33">
        <v>-32.9</v>
      </c>
      <c r="BP164" s="33">
        <v>-30</v>
      </c>
      <c r="BQ164" s="33">
        <v>15.1</v>
      </c>
      <c r="BR164" s="33">
        <v>-6.2</v>
      </c>
      <c r="BS164" s="33">
        <v>0.2</v>
      </c>
      <c r="BT164" s="33">
        <v>-19.3</v>
      </c>
      <c r="BU164" s="33">
        <v>-18.100000000000001</v>
      </c>
      <c r="BV164" s="33">
        <v>-0.1</v>
      </c>
      <c r="BW164" s="33">
        <v>-21.6</v>
      </c>
      <c r="BX164" s="33">
        <v>-32</v>
      </c>
      <c r="BY164" s="33">
        <v>-46.6</v>
      </c>
      <c r="BZ164" s="33">
        <v>85.1</v>
      </c>
      <c r="CA164" s="33">
        <v>-21.6</v>
      </c>
      <c r="CB164" s="33">
        <v>-23.8</v>
      </c>
      <c r="CC164" s="33">
        <v>-5.3</v>
      </c>
      <c r="CD164" s="33">
        <v>-63.7</v>
      </c>
      <c r="CE164" s="33">
        <v>-35.6</v>
      </c>
      <c r="CF164" s="33">
        <v>55.5</v>
      </c>
      <c r="CG164" s="33">
        <v>31.9</v>
      </c>
      <c r="CH164" s="33">
        <v>48.7</v>
      </c>
      <c r="CI164" s="33">
        <v>-33</v>
      </c>
      <c r="CJ164" s="33">
        <v>-21.6</v>
      </c>
      <c r="CK164" s="33">
        <v>-3.1</v>
      </c>
      <c r="CL164" s="33">
        <v>3.3</v>
      </c>
      <c r="CM164" s="33">
        <v>2278.2774549999999</v>
      </c>
      <c r="CN164" s="33">
        <v>8069.86</v>
      </c>
      <c r="CO164" s="33">
        <v>890.187273</v>
      </c>
      <c r="CP164" s="33">
        <v>4.3090000000000002</v>
      </c>
      <c r="CQ164" s="33">
        <v>3.84</v>
      </c>
      <c r="CR164" s="33">
        <v>79.3</v>
      </c>
      <c r="CS164" s="121">
        <f t="shared" si="27"/>
        <v>42.45</v>
      </c>
      <c r="CT164" s="33">
        <v>95.3</v>
      </c>
      <c r="CU164" s="33">
        <v>105</v>
      </c>
      <c r="CV164" s="33">
        <v>90.9</v>
      </c>
      <c r="CW164" s="33">
        <v>110.2</v>
      </c>
      <c r="CX164" s="33">
        <v>101.9</v>
      </c>
      <c r="CY164" s="33">
        <v>5.07</v>
      </c>
      <c r="CZ164" s="33">
        <v>31015.118999999999</v>
      </c>
      <c r="DA164" s="33">
        <v>3.29</v>
      </c>
      <c r="DB164" s="33">
        <v>18.88</v>
      </c>
      <c r="DC164" s="33">
        <v>30.35</v>
      </c>
      <c r="DD164" s="33">
        <v>9.2799999999999994</v>
      </c>
      <c r="DE164" s="33">
        <v>6001.9939999999997</v>
      </c>
      <c r="DF164" s="33">
        <v>1035.2270000000001</v>
      </c>
      <c r="DG164" s="33">
        <v>1015.191</v>
      </c>
      <c r="DH164" s="33">
        <v>949.66499999999996</v>
      </c>
      <c r="DI164" s="33">
        <v>1476.837</v>
      </c>
      <c r="DJ164" s="33">
        <v>99.608400000000003</v>
      </c>
      <c r="DK164" s="33">
        <v>99.466200000000001</v>
      </c>
      <c r="DL164" s="33">
        <v>100.65</v>
      </c>
      <c r="DM164" s="33">
        <v>100.82769999999999</v>
      </c>
      <c r="DN164" s="33">
        <v>98.831299999999999</v>
      </c>
      <c r="DO164" s="33">
        <v>98.637900000000002</v>
      </c>
      <c r="DP164" s="33">
        <v>98.145600000000002</v>
      </c>
      <c r="DQ164" s="33">
        <v>97.959900000000005</v>
      </c>
      <c r="DR164" s="104">
        <v>202384</v>
      </c>
      <c r="DS164" s="103">
        <v>27115</v>
      </c>
      <c r="DT164" s="73">
        <v>90.7</v>
      </c>
      <c r="DU164">
        <v>206.6002197265625</v>
      </c>
      <c r="DV164">
        <v>155.81582641601563</v>
      </c>
      <c r="DW164">
        <v>1943</v>
      </c>
      <c r="DX164">
        <v>812125</v>
      </c>
      <c r="DY164" s="102">
        <f t="shared" si="36"/>
        <v>66.5</v>
      </c>
    </row>
    <row r="165" spans="1:129" x14ac:dyDescent="0.25">
      <c r="A165" s="1">
        <v>37742</v>
      </c>
      <c r="B165" s="33">
        <v>82.8</v>
      </c>
      <c r="C165" s="107">
        <v>2.56</v>
      </c>
      <c r="D165" s="33">
        <v>2.5</v>
      </c>
      <c r="E165" s="33">
        <v>2.4900000000000002</v>
      </c>
      <c r="F165" s="33">
        <v>2.84</v>
      </c>
      <c r="G165" s="33">
        <v>3.34</v>
      </c>
      <c r="H165" s="33">
        <v>3.82</v>
      </c>
      <c r="I165" s="33">
        <f t="shared" si="28"/>
        <v>1.2599999999999998</v>
      </c>
      <c r="J165" s="33">
        <f t="shared" si="29"/>
        <v>1.3199999999999998</v>
      </c>
      <c r="K165" s="33">
        <f t="shared" si="30"/>
        <v>1.3299999999999996</v>
      </c>
      <c r="L165" s="33">
        <f t="shared" si="31"/>
        <v>-6.0000000000000053E-2</v>
      </c>
      <c r="M165" s="33">
        <v>98</v>
      </c>
      <c r="N165" s="33">
        <v>2942.04</v>
      </c>
      <c r="O165" s="33">
        <v>34.78</v>
      </c>
      <c r="P165" s="33">
        <v>599.6</v>
      </c>
      <c r="Q165" s="34">
        <f t="shared" si="32"/>
        <v>7.4763092269326688</v>
      </c>
      <c r="R165" s="60">
        <v>1367.8</v>
      </c>
      <c r="S165" s="34">
        <f t="shared" si="33"/>
        <v>1705.4862842892767</v>
      </c>
      <c r="T165" s="60">
        <v>1483</v>
      </c>
      <c r="U165" s="34">
        <f t="shared" si="34"/>
        <v>1849.1271820448876</v>
      </c>
      <c r="V165" s="116">
        <v>320830</v>
      </c>
      <c r="W165" s="116">
        <v>2549757</v>
      </c>
      <c r="X165" s="117">
        <v>5088934</v>
      </c>
      <c r="Y165" s="117">
        <v>894160</v>
      </c>
      <c r="Z165" s="33">
        <v>78.5</v>
      </c>
      <c r="AA165" s="33">
        <v>65.3</v>
      </c>
      <c r="AB165" s="33">
        <v>77.099999999999994</v>
      </c>
      <c r="AC165" s="33">
        <v>62.9</v>
      </c>
      <c r="AD165" s="33">
        <v>39150</v>
      </c>
      <c r="AE165" s="33">
        <v>10.6</v>
      </c>
      <c r="AF165" s="33">
        <v>270</v>
      </c>
      <c r="AG165" s="33">
        <v>78.599999999999994</v>
      </c>
      <c r="AH165" s="33">
        <v>80.2</v>
      </c>
      <c r="AI165" s="33">
        <v>80.3</v>
      </c>
      <c r="AJ165" s="33">
        <v>82.9</v>
      </c>
      <c r="AK165" s="33">
        <v>167.51399699999999</v>
      </c>
      <c r="AL165" s="33">
        <v>65.8</v>
      </c>
      <c r="AM165" s="123">
        <v>17.816072886056475</v>
      </c>
      <c r="AN165" s="123">
        <v>31.517600678324989</v>
      </c>
      <c r="AO165" s="123">
        <v>50.961163467687072</v>
      </c>
      <c r="AP165" s="33">
        <v>22.22</v>
      </c>
      <c r="AQ165" s="33">
        <f t="shared" si="35"/>
        <v>0.27671232876712326</v>
      </c>
      <c r="AR165" s="33">
        <v>85.4</v>
      </c>
      <c r="AS165" s="33">
        <v>91.8</v>
      </c>
      <c r="AT165" s="33">
        <v>79.5</v>
      </c>
      <c r="AU165" s="33">
        <v>88.3</v>
      </c>
      <c r="AV165" s="65">
        <v>94.6</v>
      </c>
      <c r="AW165" s="33">
        <v>82.4</v>
      </c>
      <c r="AX165" s="33">
        <v>-9.1999999999999993</v>
      </c>
      <c r="AY165" s="33">
        <v>-10.199999999999999</v>
      </c>
      <c r="AZ165" s="33">
        <v>-15.1</v>
      </c>
      <c r="BA165" s="33">
        <v>-8.5</v>
      </c>
      <c r="BB165" s="33">
        <v>78.900000000000006</v>
      </c>
      <c r="BC165" s="33">
        <v>84.8</v>
      </c>
      <c r="BD165" s="33">
        <v>73.400000000000006</v>
      </c>
      <c r="BE165" s="33">
        <v>-95.1</v>
      </c>
      <c r="BF165" s="33">
        <v>18.7</v>
      </c>
      <c r="BG165" s="33">
        <v>-28.2</v>
      </c>
      <c r="BH165" s="33">
        <v>173.5</v>
      </c>
      <c r="BI165" s="33">
        <v>3.5</v>
      </c>
      <c r="BJ165" s="34">
        <v>44.841576369999999</v>
      </c>
      <c r="BK165" s="45">
        <v>-30.17532654008496</v>
      </c>
      <c r="BL165" s="33">
        <v>-2.8000000000000001E-2</v>
      </c>
      <c r="BM165" s="33">
        <v>98.790300000000002</v>
      </c>
      <c r="BN165" s="33">
        <v>98.962199999999996</v>
      </c>
      <c r="BO165" s="33">
        <v>-31.9</v>
      </c>
      <c r="BP165" s="33">
        <v>-30.9</v>
      </c>
      <c r="BQ165" s="33">
        <v>15.9</v>
      </c>
      <c r="BR165" s="33">
        <v>-8.6</v>
      </c>
      <c r="BS165" s="33">
        <v>-1.5</v>
      </c>
      <c r="BT165" s="33">
        <v>-23.1</v>
      </c>
      <c r="BU165" s="33">
        <v>-18.8</v>
      </c>
      <c r="BV165" s="33">
        <v>-4.5</v>
      </c>
      <c r="BW165" s="33">
        <v>-20.3</v>
      </c>
      <c r="BX165" s="33">
        <v>-27.7</v>
      </c>
      <c r="BY165" s="33">
        <v>-47.7</v>
      </c>
      <c r="BZ165" s="33">
        <v>83.9</v>
      </c>
      <c r="CA165" s="33">
        <v>-20.3</v>
      </c>
      <c r="CB165" s="33">
        <v>-16.899999999999999</v>
      </c>
      <c r="CC165" s="33">
        <v>-3</v>
      </c>
      <c r="CD165" s="33">
        <v>-69.8</v>
      </c>
      <c r="CE165" s="33">
        <v>-37.299999999999997</v>
      </c>
      <c r="CF165" s="33">
        <v>48.4</v>
      </c>
      <c r="CG165" s="33">
        <v>23.4</v>
      </c>
      <c r="CH165" s="33">
        <v>51.7</v>
      </c>
      <c r="CI165" s="33">
        <v>-33.4</v>
      </c>
      <c r="CJ165" s="33">
        <v>-23.8</v>
      </c>
      <c r="CK165" s="33">
        <v>-2.7</v>
      </c>
      <c r="CL165" s="33">
        <v>11.8</v>
      </c>
      <c r="CM165" s="33">
        <v>2303.0359549999998</v>
      </c>
      <c r="CN165" s="33">
        <v>8454.25</v>
      </c>
      <c r="CO165" s="33">
        <v>935.83772699999997</v>
      </c>
      <c r="CP165" s="33">
        <v>4.2830000000000004</v>
      </c>
      <c r="CQ165" s="33">
        <v>3.88</v>
      </c>
      <c r="CR165" s="33">
        <v>91.4</v>
      </c>
      <c r="CS165" s="121">
        <f t="shared" si="27"/>
        <v>41.150000000000006</v>
      </c>
      <c r="CT165" s="33">
        <v>97.1</v>
      </c>
      <c r="CU165" s="33">
        <v>103.9</v>
      </c>
      <c r="CV165" s="33">
        <v>93.7</v>
      </c>
      <c r="CW165" s="33">
        <v>106.4</v>
      </c>
      <c r="CX165" s="33">
        <v>97.1</v>
      </c>
      <c r="CY165" s="33">
        <v>5.37</v>
      </c>
      <c r="CZ165" s="33">
        <v>30619.572</v>
      </c>
      <c r="DA165" s="33">
        <v>3.29</v>
      </c>
      <c r="DB165" s="33">
        <v>18.66</v>
      </c>
      <c r="DC165" s="33">
        <v>30.52</v>
      </c>
      <c r="DD165" s="33">
        <v>9.1</v>
      </c>
      <c r="DE165" s="33">
        <v>6455.759</v>
      </c>
      <c r="DF165" s="33">
        <v>1501.06</v>
      </c>
      <c r="DG165" s="33">
        <v>965.90300000000002</v>
      </c>
      <c r="DH165" s="33">
        <v>896.2</v>
      </c>
      <c r="DI165" s="33">
        <v>1526.59</v>
      </c>
      <c r="DJ165" s="33">
        <v>99.689499999999995</v>
      </c>
      <c r="DK165" s="33">
        <v>99.570700000000002</v>
      </c>
      <c r="DL165" s="33">
        <v>100.68</v>
      </c>
      <c r="DM165" s="33">
        <v>100.86150000000001</v>
      </c>
      <c r="DN165" s="33">
        <v>98.962199999999996</v>
      </c>
      <c r="DO165" s="33">
        <v>98.790300000000002</v>
      </c>
      <c r="DP165" s="33">
        <v>98.348600000000005</v>
      </c>
      <c r="DQ165" s="33">
        <v>98.183199999999999</v>
      </c>
      <c r="DR165" s="104">
        <v>191975</v>
      </c>
      <c r="DS165" s="103">
        <v>27031</v>
      </c>
      <c r="DT165" s="73">
        <v>88.4</v>
      </c>
      <c r="DU165">
        <v>143.94856262207031</v>
      </c>
      <c r="DV165">
        <v>120.43968200683594</v>
      </c>
      <c r="DW165">
        <v>2145</v>
      </c>
      <c r="DX165">
        <v>771850</v>
      </c>
      <c r="DY165" s="102">
        <f t="shared" si="36"/>
        <v>65.900000000000006</v>
      </c>
    </row>
    <row r="166" spans="1:129" x14ac:dyDescent="0.25">
      <c r="A166" s="1">
        <v>37773</v>
      </c>
      <c r="B166" s="33">
        <v>82.4</v>
      </c>
      <c r="C166" s="107">
        <v>2.21</v>
      </c>
      <c r="D166" s="33">
        <v>2</v>
      </c>
      <c r="E166" s="33">
        <v>2.36</v>
      </c>
      <c r="F166" s="33">
        <v>2.59</v>
      </c>
      <c r="G166" s="33">
        <v>3.11</v>
      </c>
      <c r="H166" s="33">
        <v>3.62</v>
      </c>
      <c r="I166" s="33">
        <f t="shared" si="28"/>
        <v>1.4100000000000001</v>
      </c>
      <c r="J166" s="33">
        <f t="shared" si="29"/>
        <v>1.62</v>
      </c>
      <c r="K166" s="33">
        <f t="shared" si="30"/>
        <v>1.2600000000000002</v>
      </c>
      <c r="L166" s="33">
        <f t="shared" si="31"/>
        <v>-0.20999999999999996</v>
      </c>
      <c r="M166" s="33">
        <v>98.2</v>
      </c>
      <c r="N166" s="33">
        <v>3064.56</v>
      </c>
      <c r="O166" s="33">
        <v>32.229999999999997</v>
      </c>
      <c r="P166" s="33">
        <v>614.4</v>
      </c>
      <c r="Q166" s="34">
        <f t="shared" si="32"/>
        <v>7.6322981366459626</v>
      </c>
      <c r="R166" s="60">
        <v>1379.1</v>
      </c>
      <c r="S166" s="34">
        <f t="shared" si="33"/>
        <v>1713.1677018633538</v>
      </c>
      <c r="T166" s="60">
        <v>1492</v>
      </c>
      <c r="U166" s="34">
        <f t="shared" si="34"/>
        <v>1853.4161490683227</v>
      </c>
      <c r="V166" s="116">
        <v>325618</v>
      </c>
      <c r="W166" s="116">
        <v>2558373</v>
      </c>
      <c r="X166" s="117">
        <v>5096544</v>
      </c>
      <c r="Y166" s="117">
        <v>893813</v>
      </c>
      <c r="Z166" s="33">
        <v>78.599999999999994</v>
      </c>
      <c r="AA166" s="33">
        <v>67.900000000000006</v>
      </c>
      <c r="AB166" s="33">
        <v>77.5</v>
      </c>
      <c r="AC166" s="33">
        <v>65.900000000000006</v>
      </c>
      <c r="AD166" s="33">
        <v>39218</v>
      </c>
      <c r="AE166" s="33">
        <v>10.6</v>
      </c>
      <c r="AF166" s="33">
        <v>262</v>
      </c>
      <c r="AG166" s="33">
        <v>78.8</v>
      </c>
      <c r="AH166" s="33">
        <v>80.5</v>
      </c>
      <c r="AI166" s="33">
        <v>80.599999999999994</v>
      </c>
      <c r="AJ166" s="33">
        <v>82.8</v>
      </c>
      <c r="AK166" s="33">
        <v>167.51399699999999</v>
      </c>
      <c r="AL166" s="33">
        <v>65.900000000000006</v>
      </c>
      <c r="AM166" s="123">
        <v>18.584871528419136</v>
      </c>
      <c r="AN166" s="123">
        <v>33.461676981847837</v>
      </c>
      <c r="AO166" s="123">
        <v>48.562991069207676</v>
      </c>
      <c r="AP166" s="33">
        <v>23.63</v>
      </c>
      <c r="AQ166" s="33">
        <f t="shared" si="35"/>
        <v>0.29317617866004964</v>
      </c>
      <c r="AR166" s="33">
        <v>86.3</v>
      </c>
      <c r="AS166" s="33">
        <v>93.5</v>
      </c>
      <c r="AT166" s="33">
        <v>79.599999999999994</v>
      </c>
      <c r="AU166" s="33">
        <v>88.9</v>
      </c>
      <c r="AV166" s="65">
        <v>96.4</v>
      </c>
      <c r="AW166" s="33">
        <v>81.900000000000006</v>
      </c>
      <c r="AX166" s="33">
        <v>-6.3</v>
      </c>
      <c r="AY166" s="33">
        <v>-11</v>
      </c>
      <c r="AZ166" s="33">
        <v>-12.8</v>
      </c>
      <c r="BA166" s="33">
        <v>-4.7</v>
      </c>
      <c r="BB166" s="33">
        <v>82</v>
      </c>
      <c r="BC166" s="33">
        <v>88.8</v>
      </c>
      <c r="BD166" s="33">
        <v>75.599999999999994</v>
      </c>
      <c r="BE166" s="33">
        <v>-95.8</v>
      </c>
      <c r="BF166" s="33">
        <v>21.3</v>
      </c>
      <c r="BG166" s="33">
        <v>-15.3</v>
      </c>
      <c r="BH166" s="33">
        <v>171.2</v>
      </c>
      <c r="BI166" s="33">
        <v>1</v>
      </c>
      <c r="BJ166" s="34">
        <v>45.578927350000001</v>
      </c>
      <c r="BK166" s="45">
        <v>-22.093492650933786</v>
      </c>
      <c r="BL166" s="33">
        <v>2.7E-2</v>
      </c>
      <c r="BM166" s="33">
        <v>99.010099999999994</v>
      </c>
      <c r="BN166" s="33">
        <v>99.1511</v>
      </c>
      <c r="BO166" s="33">
        <v>-33.299999999999997</v>
      </c>
      <c r="BP166" s="33">
        <v>-30.8</v>
      </c>
      <c r="BQ166" s="33">
        <v>15.1</v>
      </c>
      <c r="BR166" s="33">
        <v>-7.3</v>
      </c>
      <c r="BS166" s="33">
        <v>-3.2</v>
      </c>
      <c r="BT166" s="33">
        <v>-22.7</v>
      </c>
      <c r="BU166" s="33">
        <v>-18.600000000000001</v>
      </c>
      <c r="BV166" s="33">
        <v>2.9</v>
      </c>
      <c r="BW166" s="33">
        <v>-18.600000000000001</v>
      </c>
      <c r="BX166" s="33">
        <v>-29.7</v>
      </c>
      <c r="BY166" s="33">
        <v>-47.1</v>
      </c>
      <c r="BZ166" s="33">
        <v>86.9</v>
      </c>
      <c r="CA166" s="33">
        <v>-18.600000000000001</v>
      </c>
      <c r="CB166" s="33">
        <v>-14.8</v>
      </c>
      <c r="CC166" s="33">
        <v>-3.5</v>
      </c>
      <c r="CD166" s="33">
        <v>-66.599999999999994</v>
      </c>
      <c r="CE166" s="33">
        <v>-35.4</v>
      </c>
      <c r="CF166" s="33">
        <v>44</v>
      </c>
      <c r="CG166" s="33">
        <v>21.8</v>
      </c>
      <c r="CH166" s="33">
        <v>52.6</v>
      </c>
      <c r="CI166" s="33">
        <v>-31.1</v>
      </c>
      <c r="CJ166" s="33">
        <v>-20.7</v>
      </c>
      <c r="CK166" s="33">
        <v>-1.7</v>
      </c>
      <c r="CL166" s="33">
        <v>14.3</v>
      </c>
      <c r="CM166" s="33">
        <v>2443.3272860000002</v>
      </c>
      <c r="CN166" s="33">
        <v>8897.81</v>
      </c>
      <c r="CO166" s="33">
        <v>987.99523799999997</v>
      </c>
      <c r="CP166" s="33">
        <v>4.101</v>
      </c>
      <c r="CQ166" s="33">
        <v>3.43</v>
      </c>
      <c r="CR166" s="33">
        <v>86.4</v>
      </c>
      <c r="CS166" s="121">
        <f t="shared" si="27"/>
        <v>39.350000000000009</v>
      </c>
      <c r="CT166" s="33">
        <v>95.5</v>
      </c>
      <c r="CU166" s="33">
        <v>102.9</v>
      </c>
      <c r="CV166" s="33">
        <v>95.6</v>
      </c>
      <c r="CW166" s="33">
        <v>108.8</v>
      </c>
      <c r="CX166" s="33">
        <v>98.6</v>
      </c>
      <c r="CY166" s="33">
        <v>5.05</v>
      </c>
      <c r="CZ166" s="33">
        <v>31215.811000000002</v>
      </c>
      <c r="DA166" s="33">
        <v>3.28</v>
      </c>
      <c r="DB166" s="33">
        <v>18.920000000000002</v>
      </c>
      <c r="DC166" s="33">
        <v>30.86</v>
      </c>
      <c r="DD166" s="33">
        <v>9.18</v>
      </c>
      <c r="DE166" s="33">
        <v>5967.5</v>
      </c>
      <c r="DF166" s="33">
        <v>1243.3910000000001</v>
      </c>
      <c r="DG166" s="33">
        <v>1066.6079999999999</v>
      </c>
      <c r="DH166" s="33">
        <v>879.42100000000005</v>
      </c>
      <c r="DI166" s="33">
        <v>1572.5150000000001</v>
      </c>
      <c r="DJ166" s="33">
        <v>99.785899999999998</v>
      </c>
      <c r="DK166" s="33">
        <v>99.695499999999996</v>
      </c>
      <c r="DL166" s="33">
        <v>100.68</v>
      </c>
      <c r="DM166" s="33">
        <v>100.87220000000001</v>
      </c>
      <c r="DN166" s="33">
        <v>99.1511</v>
      </c>
      <c r="DO166" s="33">
        <v>99.010099999999994</v>
      </c>
      <c r="DP166" s="33">
        <v>98.608900000000006</v>
      </c>
      <c r="DQ166" s="33">
        <v>98.469499999999996</v>
      </c>
      <c r="DR166" s="104">
        <v>193103</v>
      </c>
      <c r="DS166" s="103">
        <v>26999</v>
      </c>
      <c r="DT166" s="73">
        <v>89.1</v>
      </c>
      <c r="DU166">
        <v>100.43917083740234</v>
      </c>
      <c r="DV166">
        <v>78.66607666015625</v>
      </c>
      <c r="DW166">
        <v>2116</v>
      </c>
      <c r="DX166">
        <v>736150</v>
      </c>
      <c r="DY166" s="102">
        <f t="shared" si="36"/>
        <v>65.3</v>
      </c>
    </row>
    <row r="167" spans="1:129" x14ac:dyDescent="0.25">
      <c r="A167" s="1">
        <v>37803</v>
      </c>
      <c r="B167" s="33">
        <v>84.1</v>
      </c>
      <c r="C167" s="107">
        <v>2.08</v>
      </c>
      <c r="D167" s="33">
        <v>2</v>
      </c>
      <c r="E167" s="33">
        <v>2.23</v>
      </c>
      <c r="F167" s="33">
        <v>2.92</v>
      </c>
      <c r="G167" s="33">
        <v>3.53</v>
      </c>
      <c r="H167" s="33">
        <v>3.97</v>
      </c>
      <c r="I167" s="33">
        <f t="shared" si="28"/>
        <v>1.8900000000000001</v>
      </c>
      <c r="J167" s="33">
        <f t="shared" si="29"/>
        <v>1.9700000000000002</v>
      </c>
      <c r="K167" s="33">
        <f t="shared" si="30"/>
        <v>1.7400000000000002</v>
      </c>
      <c r="L167" s="33">
        <f t="shared" si="31"/>
        <v>-8.0000000000000071E-2</v>
      </c>
      <c r="M167" s="33">
        <v>97.5</v>
      </c>
      <c r="N167" s="33">
        <v>3146.55</v>
      </c>
      <c r="O167" s="33">
        <v>31.09</v>
      </c>
      <c r="P167" s="33">
        <v>608.9</v>
      </c>
      <c r="Q167" s="34">
        <f t="shared" si="32"/>
        <v>7.5639751552795031</v>
      </c>
      <c r="R167" s="60">
        <v>1372.1</v>
      </c>
      <c r="S167" s="34">
        <f t="shared" si="33"/>
        <v>1704.4720496894411</v>
      </c>
      <c r="T167" s="60">
        <v>1484</v>
      </c>
      <c r="U167" s="34">
        <f t="shared" si="34"/>
        <v>1843.4782608695652</v>
      </c>
      <c r="V167" s="116">
        <v>319632</v>
      </c>
      <c r="W167" s="116">
        <v>2576935</v>
      </c>
      <c r="X167" s="117">
        <v>5123636</v>
      </c>
      <c r="Y167" s="117">
        <v>905194</v>
      </c>
      <c r="Z167" s="33">
        <v>79.099999999999994</v>
      </c>
      <c r="AA167" s="33">
        <v>67</v>
      </c>
      <c r="AB167" s="33">
        <v>78.2</v>
      </c>
      <c r="AC167" s="33">
        <v>64.2</v>
      </c>
      <c r="AD167" s="33">
        <v>39258</v>
      </c>
      <c r="AE167" s="33">
        <v>10.6</v>
      </c>
      <c r="AF167" s="33">
        <v>258</v>
      </c>
      <c r="AG167" s="33">
        <v>78.7</v>
      </c>
      <c r="AH167" s="33">
        <v>80.5</v>
      </c>
      <c r="AI167" s="33">
        <v>80.599999999999994</v>
      </c>
      <c r="AJ167" s="33">
        <v>82.8</v>
      </c>
      <c r="AK167" s="33">
        <v>167.87003100000001</v>
      </c>
      <c r="AL167" s="33">
        <v>88.2</v>
      </c>
      <c r="AM167" s="123">
        <v>19.249804320133595</v>
      </c>
      <c r="AN167" s="123">
        <v>35.911549760875985</v>
      </c>
      <c r="AO167" s="123">
        <v>48.02835263541823</v>
      </c>
      <c r="AP167" s="33">
        <v>25.06</v>
      </c>
      <c r="AQ167" s="33">
        <f t="shared" si="35"/>
        <v>0.31091811414392062</v>
      </c>
      <c r="AR167" s="33">
        <v>87.3</v>
      </c>
      <c r="AS167" s="33">
        <v>95.5</v>
      </c>
      <c r="AT167" s="33">
        <v>79.8</v>
      </c>
      <c r="AU167" s="33">
        <v>90.5</v>
      </c>
      <c r="AV167" s="65">
        <v>98.7</v>
      </c>
      <c r="AW167" s="33">
        <v>83</v>
      </c>
      <c r="AX167" s="33">
        <v>-2.6</v>
      </c>
      <c r="AY167" s="33">
        <v>-11.3</v>
      </c>
      <c r="AZ167" s="33">
        <v>-8.9</v>
      </c>
      <c r="BA167" s="33">
        <v>-7.5</v>
      </c>
      <c r="BB167" s="33">
        <v>83.2</v>
      </c>
      <c r="BC167" s="33">
        <v>90.3</v>
      </c>
      <c r="BD167" s="33">
        <v>76.5</v>
      </c>
      <c r="BE167" s="33">
        <v>-95.8</v>
      </c>
      <c r="BF167" s="33">
        <v>41.9</v>
      </c>
      <c r="BG167" s="33">
        <v>-12.7</v>
      </c>
      <c r="BH167" s="33">
        <v>168</v>
      </c>
      <c r="BI167" s="33">
        <v>0.8</v>
      </c>
      <c r="BJ167" s="34">
        <v>48.074662340000003</v>
      </c>
      <c r="BK167" s="45">
        <v>-10.706719161526667</v>
      </c>
      <c r="BL167" s="33">
        <v>9.5000000000000001E-2</v>
      </c>
      <c r="BM167" s="33">
        <v>99.275300000000001</v>
      </c>
      <c r="BN167" s="33">
        <v>99.378799999999998</v>
      </c>
      <c r="BO167" s="33">
        <v>-34.299999999999997</v>
      </c>
      <c r="BP167" s="33">
        <v>-30.8</v>
      </c>
      <c r="BQ167" s="33">
        <v>15.3</v>
      </c>
      <c r="BR167" s="33">
        <v>-8.5</v>
      </c>
      <c r="BS167" s="33">
        <v>-4.4000000000000004</v>
      </c>
      <c r="BT167" s="33">
        <v>-22</v>
      </c>
      <c r="BU167" s="33">
        <v>-19.399999999999999</v>
      </c>
      <c r="BV167" s="33">
        <v>4.7</v>
      </c>
      <c r="BW167" s="33">
        <v>-16.399999999999999</v>
      </c>
      <c r="BX167" s="33">
        <v>-30.6</v>
      </c>
      <c r="BY167" s="33">
        <v>-48.4</v>
      </c>
      <c r="BZ167" s="33">
        <v>87.9</v>
      </c>
      <c r="CA167" s="33">
        <v>-16.399999999999999</v>
      </c>
      <c r="CB167" s="33">
        <v>-11.6</v>
      </c>
      <c r="CC167" s="33">
        <v>-1.8</v>
      </c>
      <c r="CD167" s="33">
        <v>-63.4</v>
      </c>
      <c r="CE167" s="33">
        <v>-32.5</v>
      </c>
      <c r="CF167" s="33">
        <v>41.8</v>
      </c>
      <c r="CG167" s="33">
        <v>19</v>
      </c>
      <c r="CH167" s="33">
        <v>52.1</v>
      </c>
      <c r="CI167" s="33">
        <v>-31.3</v>
      </c>
      <c r="CJ167" s="33">
        <v>-19.600000000000001</v>
      </c>
      <c r="CK167" s="33">
        <v>2.2000000000000002</v>
      </c>
      <c r="CL167" s="33">
        <v>16.899999999999999</v>
      </c>
      <c r="CM167" s="33">
        <v>2459.847522</v>
      </c>
      <c r="CN167" s="33">
        <v>9040.9500000000007</v>
      </c>
      <c r="CO167" s="33">
        <v>992.23956499999997</v>
      </c>
      <c r="CP167" s="33">
        <v>4.1459999999999999</v>
      </c>
      <c r="CQ167" s="33">
        <v>3.56</v>
      </c>
      <c r="CR167" s="33">
        <v>83.7</v>
      </c>
      <c r="CS167" s="121">
        <f t="shared" si="27"/>
        <v>40.950000000000003</v>
      </c>
      <c r="CT167" s="33">
        <v>97.3</v>
      </c>
      <c r="CU167" s="33">
        <v>104.5</v>
      </c>
      <c r="CV167" s="33">
        <v>95.5</v>
      </c>
      <c r="CW167" s="33">
        <v>104.9</v>
      </c>
      <c r="CX167" s="33">
        <v>101.8</v>
      </c>
      <c r="CY167" s="33">
        <v>4.9800000000000004</v>
      </c>
      <c r="CZ167" s="33">
        <v>31586.080000000002</v>
      </c>
      <c r="DA167" s="33">
        <v>3.18</v>
      </c>
      <c r="DB167" s="33">
        <v>18.89</v>
      </c>
      <c r="DC167" s="33">
        <v>31.42</v>
      </c>
      <c r="DD167" s="33">
        <v>9.4700000000000006</v>
      </c>
      <c r="DE167" s="33">
        <v>7026.3969999999999</v>
      </c>
      <c r="DF167" s="33">
        <v>1363.174</v>
      </c>
      <c r="DG167" s="33">
        <v>1132.6890000000001</v>
      </c>
      <c r="DH167" s="33">
        <v>1097.2550000000001</v>
      </c>
      <c r="DI167" s="33">
        <v>1812.162</v>
      </c>
      <c r="DJ167" s="33">
        <v>99.891099999999994</v>
      </c>
      <c r="DK167" s="33">
        <v>99.8309</v>
      </c>
      <c r="DL167" s="33">
        <v>100.68</v>
      </c>
      <c r="DM167" s="33">
        <v>100.8702</v>
      </c>
      <c r="DN167" s="33">
        <v>99.378799999999998</v>
      </c>
      <c r="DO167" s="33">
        <v>99.275300000000001</v>
      </c>
      <c r="DP167" s="33">
        <v>98.912199999999999</v>
      </c>
      <c r="DQ167" s="33">
        <v>98.802999999999997</v>
      </c>
      <c r="DR167" s="104">
        <v>174206</v>
      </c>
      <c r="DS167" s="103">
        <v>26929</v>
      </c>
      <c r="DT167" s="73">
        <v>90.3</v>
      </c>
      <c r="DU167">
        <v>94.042755126953125</v>
      </c>
      <c r="DV167">
        <v>59.337749481201172</v>
      </c>
      <c r="DW167">
        <v>2123</v>
      </c>
      <c r="DX167">
        <v>662675</v>
      </c>
      <c r="DY167" s="102">
        <f t="shared" si="36"/>
        <v>64.900000000000006</v>
      </c>
    </row>
    <row r="168" spans="1:129" x14ac:dyDescent="0.25">
      <c r="A168" s="1">
        <v>37834</v>
      </c>
      <c r="B168" s="33">
        <v>82.2</v>
      </c>
      <c r="C168" s="107">
        <v>2.1</v>
      </c>
      <c r="D168" s="33">
        <v>2</v>
      </c>
      <c r="E168" s="33">
        <v>2.14</v>
      </c>
      <c r="F168" s="33">
        <v>3.3</v>
      </c>
      <c r="G168" s="33">
        <v>3.78</v>
      </c>
      <c r="H168" s="33">
        <v>4.13</v>
      </c>
      <c r="I168" s="33">
        <f t="shared" si="28"/>
        <v>2.0299999999999998</v>
      </c>
      <c r="J168" s="33">
        <f t="shared" si="29"/>
        <v>2.13</v>
      </c>
      <c r="K168" s="33">
        <f t="shared" si="30"/>
        <v>1.9899999999999998</v>
      </c>
      <c r="L168" s="33">
        <f t="shared" si="31"/>
        <v>-0.10000000000000009</v>
      </c>
      <c r="M168" s="33">
        <v>96.9</v>
      </c>
      <c r="N168" s="33">
        <v>3438.89</v>
      </c>
      <c r="O168" s="33">
        <v>26.87</v>
      </c>
      <c r="P168" s="33">
        <v>614.9</v>
      </c>
      <c r="Q168" s="34">
        <f t="shared" si="32"/>
        <v>7.629032258064516</v>
      </c>
      <c r="R168" s="60">
        <v>1381.6</v>
      </c>
      <c r="S168" s="34">
        <f t="shared" si="33"/>
        <v>1714.1439205955337</v>
      </c>
      <c r="T168" s="60">
        <v>1486.5</v>
      </c>
      <c r="U168" s="34">
        <f t="shared" si="34"/>
        <v>1844.2928039702235</v>
      </c>
      <c r="V168" s="116">
        <v>316920</v>
      </c>
      <c r="W168" s="116">
        <v>2607442</v>
      </c>
      <c r="X168" s="117">
        <v>5160933</v>
      </c>
      <c r="Y168" s="117">
        <v>893801</v>
      </c>
      <c r="Z168" s="33">
        <v>77.400000000000006</v>
      </c>
      <c r="AA168" s="33">
        <v>67.400000000000006</v>
      </c>
      <c r="AB168" s="33">
        <v>77.5</v>
      </c>
      <c r="AC168" s="33">
        <v>65</v>
      </c>
      <c r="AD168" s="33">
        <v>39198</v>
      </c>
      <c r="AE168" s="33">
        <v>10.5</v>
      </c>
      <c r="AF168" s="33">
        <v>259</v>
      </c>
      <c r="AG168" s="33">
        <v>78.900000000000006</v>
      </c>
      <c r="AH168" s="33">
        <v>80.599999999999994</v>
      </c>
      <c r="AI168" s="33">
        <v>81</v>
      </c>
      <c r="AJ168" s="33">
        <v>83</v>
      </c>
      <c r="AK168" s="33">
        <v>167.87003100000001</v>
      </c>
      <c r="AL168" s="33">
        <v>66.099999999999994</v>
      </c>
      <c r="AM168" s="123">
        <v>20.590415692428611</v>
      </c>
      <c r="AN168" s="123">
        <v>38.361422539904126</v>
      </c>
      <c r="AO168" s="123">
        <v>49.80371975618273</v>
      </c>
      <c r="AP168" s="33">
        <v>26.65</v>
      </c>
      <c r="AQ168" s="33">
        <f t="shared" si="35"/>
        <v>0.32901234567901233</v>
      </c>
      <c r="AR168" s="33">
        <v>89.5</v>
      </c>
      <c r="AS168" s="33">
        <v>98.6</v>
      </c>
      <c r="AT168" s="33">
        <v>81.099999999999994</v>
      </c>
      <c r="AU168" s="33">
        <v>92.8</v>
      </c>
      <c r="AV168" s="65">
        <v>102.4</v>
      </c>
      <c r="AW168" s="33">
        <v>84.2</v>
      </c>
      <c r="AX168" s="33">
        <v>-0.7</v>
      </c>
      <c r="AY168" s="33">
        <v>-6</v>
      </c>
      <c r="AZ168" s="33">
        <v>-3.9</v>
      </c>
      <c r="BA168" s="33">
        <v>1.9</v>
      </c>
      <c r="BB168" s="33">
        <v>87.1</v>
      </c>
      <c r="BC168" s="33">
        <v>95.1</v>
      </c>
      <c r="BD168" s="33">
        <v>79.8</v>
      </c>
      <c r="BE168" s="33">
        <v>-92.6</v>
      </c>
      <c r="BF168" s="33">
        <v>52.5</v>
      </c>
      <c r="BG168" s="33">
        <v>-9.1999999999999993</v>
      </c>
      <c r="BH168" s="33">
        <v>162.30000000000001</v>
      </c>
      <c r="BI168" s="33">
        <v>2</v>
      </c>
      <c r="BJ168" s="34">
        <v>48.751681689999998</v>
      </c>
      <c r="BK168" s="45">
        <v>-0.26671243462407546</v>
      </c>
      <c r="BL168" s="33">
        <v>0.182</v>
      </c>
      <c r="BM168" s="33">
        <v>99.558499999999995</v>
      </c>
      <c r="BN168" s="33">
        <v>99.622100000000003</v>
      </c>
      <c r="BO168" s="33">
        <v>-31.2</v>
      </c>
      <c r="BP168" s="33">
        <v>-29.6</v>
      </c>
      <c r="BQ168" s="33">
        <v>15.5</v>
      </c>
      <c r="BR168" s="33">
        <v>-1.3</v>
      </c>
      <c r="BS168" s="33">
        <v>-0.5</v>
      </c>
      <c r="BT168" s="33">
        <v>-19</v>
      </c>
      <c r="BU168" s="33">
        <v>-16</v>
      </c>
      <c r="BV168" s="33">
        <v>11.8</v>
      </c>
      <c r="BW168" s="33">
        <v>-18.3</v>
      </c>
      <c r="BX168" s="33">
        <v>-27.7</v>
      </c>
      <c r="BY168" s="33">
        <v>-46.4</v>
      </c>
      <c r="BZ168" s="33">
        <v>90.8</v>
      </c>
      <c r="CA168" s="33">
        <v>-18.3</v>
      </c>
      <c r="CB168" s="33">
        <v>-15.8</v>
      </c>
      <c r="CC168" s="33">
        <v>-2.9</v>
      </c>
      <c r="CD168" s="33">
        <v>-62.4</v>
      </c>
      <c r="CE168" s="33">
        <v>-32.4</v>
      </c>
      <c r="CF168" s="33">
        <v>45</v>
      </c>
      <c r="CG168" s="33">
        <v>25.2</v>
      </c>
      <c r="CH168" s="33">
        <v>51.1</v>
      </c>
      <c r="CI168" s="33">
        <v>-31.3</v>
      </c>
      <c r="CJ168" s="33">
        <v>-22.3</v>
      </c>
      <c r="CK168" s="33">
        <v>4.4000000000000004</v>
      </c>
      <c r="CL168" s="33">
        <v>17.2</v>
      </c>
      <c r="CM168" s="33">
        <v>2524.121333</v>
      </c>
      <c r="CN168" s="33">
        <v>9153.9699999999993</v>
      </c>
      <c r="CO168" s="33">
        <v>989.531429</v>
      </c>
      <c r="CP168" s="33">
        <v>4.5</v>
      </c>
      <c r="CQ168" s="33">
        <v>4.4400000000000004</v>
      </c>
      <c r="CR168" s="33">
        <v>82.5</v>
      </c>
      <c r="CS168" s="121">
        <f t="shared" si="27"/>
        <v>39.150000000000006</v>
      </c>
      <c r="CT168" s="33">
        <v>96.7</v>
      </c>
      <c r="CU168" s="33">
        <v>107.4</v>
      </c>
      <c r="CV168" s="33">
        <v>97.4</v>
      </c>
      <c r="CW168" s="33">
        <v>103.9</v>
      </c>
      <c r="CX168" s="33">
        <v>100.7</v>
      </c>
      <c r="CY168" s="33">
        <v>5.04</v>
      </c>
      <c r="CZ168" s="33">
        <v>27392.864000000001</v>
      </c>
      <c r="DA168" s="33">
        <v>3.41</v>
      </c>
      <c r="DB168" s="33">
        <v>18.47</v>
      </c>
      <c r="DC168" s="33">
        <v>31.7</v>
      </c>
      <c r="DD168" s="33">
        <v>9.4600000000000009</v>
      </c>
      <c r="DE168" s="33">
        <v>6332.1540000000005</v>
      </c>
      <c r="DF168" s="33">
        <v>1432.806</v>
      </c>
      <c r="DG168" s="33">
        <v>1045.7639999999999</v>
      </c>
      <c r="DH168" s="33">
        <v>907.077</v>
      </c>
      <c r="DI168" s="33">
        <v>1553.58</v>
      </c>
      <c r="DJ168" s="33">
        <v>100.0043</v>
      </c>
      <c r="DK168" s="33">
        <v>99.975399999999993</v>
      </c>
      <c r="DL168" s="33">
        <v>100.68</v>
      </c>
      <c r="DM168" s="33">
        <v>100.87309999999999</v>
      </c>
      <c r="DN168" s="33">
        <v>99.622100000000003</v>
      </c>
      <c r="DO168" s="33">
        <v>99.558499999999995</v>
      </c>
      <c r="DP168" s="33">
        <v>99.246799999999993</v>
      </c>
      <c r="DQ168" s="33">
        <v>99.171199999999999</v>
      </c>
      <c r="DR168" s="104">
        <v>132844</v>
      </c>
      <c r="DS168" s="103">
        <v>26824</v>
      </c>
      <c r="DT168" s="73">
        <v>92.1</v>
      </c>
      <c r="DU168">
        <v>70.617424011230469</v>
      </c>
      <c r="DV168">
        <v>59.890293121337891</v>
      </c>
      <c r="DW168">
        <v>2176</v>
      </c>
      <c r="DX168">
        <v>611625</v>
      </c>
      <c r="DY168" s="102">
        <f t="shared" si="36"/>
        <v>66.599999999999994</v>
      </c>
    </row>
    <row r="169" spans="1:129" x14ac:dyDescent="0.25">
      <c r="A169" s="1">
        <v>37865</v>
      </c>
      <c r="B169" s="33">
        <v>82</v>
      </c>
      <c r="C169" s="107">
        <v>2.02</v>
      </c>
      <c r="D169" s="33">
        <v>2</v>
      </c>
      <c r="E169" s="33">
        <v>2.14</v>
      </c>
      <c r="F169" s="33">
        <v>3.25</v>
      </c>
      <c r="G169" s="33">
        <v>3.77</v>
      </c>
      <c r="H169" s="33">
        <v>4.17</v>
      </c>
      <c r="I169" s="33">
        <f t="shared" si="28"/>
        <v>2.15</v>
      </c>
      <c r="J169" s="33">
        <f t="shared" si="29"/>
        <v>2.17</v>
      </c>
      <c r="K169" s="33">
        <f t="shared" si="30"/>
        <v>2.0299999999999998</v>
      </c>
      <c r="L169" s="33">
        <f t="shared" si="31"/>
        <v>-2.0000000000000018E-2</v>
      </c>
      <c r="M169" s="33">
        <v>96.8</v>
      </c>
      <c r="N169" s="33">
        <v>3571.22</v>
      </c>
      <c r="O169" s="33">
        <v>25.55</v>
      </c>
      <c r="P169" s="33">
        <v>620.4</v>
      </c>
      <c r="Q169" s="34">
        <f t="shared" si="32"/>
        <v>7.6972704714640203</v>
      </c>
      <c r="R169" s="60">
        <v>1376.9</v>
      </c>
      <c r="S169" s="34">
        <f t="shared" si="33"/>
        <v>1708.312655086849</v>
      </c>
      <c r="T169" s="60">
        <v>1484.4</v>
      </c>
      <c r="U169" s="34">
        <f t="shared" si="34"/>
        <v>1841.6873449131515</v>
      </c>
      <c r="V169" s="116">
        <v>320234</v>
      </c>
      <c r="W169" s="116">
        <v>2623849</v>
      </c>
      <c r="X169" s="117">
        <v>5167505</v>
      </c>
      <c r="Y169" s="117">
        <v>889637</v>
      </c>
      <c r="Z169" s="33">
        <v>77.900000000000006</v>
      </c>
      <c r="AA169" s="33">
        <v>68.8</v>
      </c>
      <c r="AB169" s="33">
        <v>78.2</v>
      </c>
      <c r="AC169" s="33">
        <v>66.3</v>
      </c>
      <c r="AD169" s="33">
        <v>39186</v>
      </c>
      <c r="AE169" s="33">
        <v>10.5</v>
      </c>
      <c r="AF169" s="33">
        <v>244</v>
      </c>
      <c r="AG169" s="33">
        <v>79</v>
      </c>
      <c r="AH169" s="33">
        <v>80.599999999999994</v>
      </c>
      <c r="AI169" s="33">
        <v>80.8</v>
      </c>
      <c r="AJ169" s="33">
        <v>83</v>
      </c>
      <c r="AK169" s="33">
        <v>168.04804799999999</v>
      </c>
      <c r="AL169" s="33">
        <v>66.3</v>
      </c>
      <c r="AM169" s="123">
        <v>21.256772187329211</v>
      </c>
      <c r="AN169" s="123">
        <v>35.263595686076066</v>
      </c>
      <c r="AO169" s="123">
        <v>52.265500580632825</v>
      </c>
      <c r="AP169" s="33">
        <v>24.05</v>
      </c>
      <c r="AQ169" s="33">
        <f t="shared" si="35"/>
        <v>0.29764851485148519</v>
      </c>
      <c r="AR169" s="33">
        <v>90.5</v>
      </c>
      <c r="AS169" s="33">
        <v>101</v>
      </c>
      <c r="AT169" s="33">
        <v>81.2</v>
      </c>
      <c r="AU169" s="33">
        <v>93.9</v>
      </c>
      <c r="AV169" s="65">
        <v>105.1</v>
      </c>
      <c r="AW169" s="33">
        <v>83.8</v>
      </c>
      <c r="AX169" s="33">
        <v>6.3</v>
      </c>
      <c r="AY169" s="33">
        <v>4.2</v>
      </c>
      <c r="AZ169" s="33">
        <v>-1.6</v>
      </c>
      <c r="BA169" s="33">
        <v>5.2</v>
      </c>
      <c r="BB169" s="33">
        <v>88.1</v>
      </c>
      <c r="BC169" s="33">
        <v>97.3</v>
      </c>
      <c r="BD169" s="33">
        <v>79.7</v>
      </c>
      <c r="BE169" s="33">
        <v>-91.7</v>
      </c>
      <c r="BF169" s="33">
        <v>60.9</v>
      </c>
      <c r="BG169" s="33">
        <v>-10.6</v>
      </c>
      <c r="BH169" s="33">
        <v>162.80000000000001</v>
      </c>
      <c r="BI169" s="33">
        <v>1.1000000000000001</v>
      </c>
      <c r="BJ169" s="34">
        <v>50.215923510000003</v>
      </c>
      <c r="BK169" s="45">
        <v>-2.3029013001970142</v>
      </c>
      <c r="BL169" s="33">
        <v>0.313</v>
      </c>
      <c r="BM169" s="33">
        <v>99.826800000000006</v>
      </c>
      <c r="BN169" s="33">
        <v>99.852699999999999</v>
      </c>
      <c r="BO169" s="33">
        <v>-31.6</v>
      </c>
      <c r="BP169" s="33">
        <v>-29.5</v>
      </c>
      <c r="BQ169" s="33">
        <v>15.5</v>
      </c>
      <c r="BR169" s="33">
        <v>5.4</v>
      </c>
      <c r="BS169" s="33">
        <v>-0.7</v>
      </c>
      <c r="BT169" s="33">
        <v>-18.5</v>
      </c>
      <c r="BU169" s="33">
        <v>-13.9</v>
      </c>
      <c r="BV169" s="33">
        <v>12.8</v>
      </c>
      <c r="BW169" s="33">
        <v>-18.5</v>
      </c>
      <c r="BX169" s="33">
        <v>-25</v>
      </c>
      <c r="BY169" s="33">
        <v>-45.9</v>
      </c>
      <c r="BZ169" s="33">
        <v>92.1</v>
      </c>
      <c r="CA169" s="33">
        <v>-18.5</v>
      </c>
      <c r="CB169" s="33">
        <v>-16.3</v>
      </c>
      <c r="CC169" s="33">
        <v>-2.9</v>
      </c>
      <c r="CD169" s="33">
        <v>-62.3</v>
      </c>
      <c r="CE169" s="33">
        <v>-32.799999999999997</v>
      </c>
      <c r="CF169" s="33">
        <v>38</v>
      </c>
      <c r="CG169" s="33">
        <v>28.1</v>
      </c>
      <c r="CH169" s="33">
        <v>50.6</v>
      </c>
      <c r="CI169" s="33">
        <v>-30.3</v>
      </c>
      <c r="CJ169" s="33">
        <v>-22</v>
      </c>
      <c r="CK169" s="33">
        <v>1.5</v>
      </c>
      <c r="CL169" s="33">
        <v>16.8</v>
      </c>
      <c r="CM169" s="33">
        <v>2553.312136</v>
      </c>
      <c r="CN169" s="33">
        <v>9415.82</v>
      </c>
      <c r="CO169" s="33">
        <v>1018.921818</v>
      </c>
      <c r="CP169" s="33">
        <v>4.6050000000000004</v>
      </c>
      <c r="CQ169" s="33">
        <v>4.45</v>
      </c>
      <c r="CR169" s="33">
        <v>80.8</v>
      </c>
      <c r="CS169" s="121">
        <f t="shared" si="27"/>
        <v>39.75</v>
      </c>
      <c r="CT169" s="33">
        <v>96.1</v>
      </c>
      <c r="CU169" s="33">
        <v>104.6</v>
      </c>
      <c r="CV169" s="33">
        <v>98.5</v>
      </c>
      <c r="CW169" s="33">
        <v>105.1</v>
      </c>
      <c r="CX169" s="33">
        <v>99.1</v>
      </c>
      <c r="CY169" s="33">
        <v>5.28</v>
      </c>
      <c r="CZ169" s="33">
        <v>33228.457999999999</v>
      </c>
      <c r="DA169" s="33">
        <v>3.28</v>
      </c>
      <c r="DB169" s="33">
        <v>19.27</v>
      </c>
      <c r="DC169" s="33">
        <v>33.03</v>
      </c>
      <c r="DD169" s="33">
        <v>9.68</v>
      </c>
      <c r="DE169" s="33">
        <v>6794.433</v>
      </c>
      <c r="DF169" s="33">
        <v>1318.4829999999999</v>
      </c>
      <c r="DG169" s="33">
        <v>1118.854</v>
      </c>
      <c r="DH169" s="33">
        <v>1055.626</v>
      </c>
      <c r="DI169" s="33">
        <v>1738.1759999999999</v>
      </c>
      <c r="DJ169" s="33">
        <v>100.1229</v>
      </c>
      <c r="DK169" s="33">
        <v>100.12609999999999</v>
      </c>
      <c r="DL169" s="33">
        <v>100.7</v>
      </c>
      <c r="DM169" s="33">
        <v>100.89870000000001</v>
      </c>
      <c r="DN169" s="33">
        <v>99.852699999999999</v>
      </c>
      <c r="DO169" s="33">
        <v>99.826800000000006</v>
      </c>
      <c r="DP169" s="33">
        <v>99.600899999999996</v>
      </c>
      <c r="DQ169" s="33">
        <v>99.560699999999997</v>
      </c>
      <c r="DR169" s="104">
        <v>152405</v>
      </c>
      <c r="DS169" s="103">
        <v>26811</v>
      </c>
      <c r="DT169" s="73">
        <v>92.3</v>
      </c>
      <c r="DU169">
        <v>93.321235656738281</v>
      </c>
      <c r="DV169">
        <v>89.45635986328125</v>
      </c>
      <c r="DW169">
        <v>2262</v>
      </c>
      <c r="DX169">
        <v>619300</v>
      </c>
      <c r="DY169" s="102">
        <f t="shared" si="36"/>
        <v>64.7</v>
      </c>
    </row>
    <row r="170" spans="1:129" x14ac:dyDescent="0.25">
      <c r="A170" s="1">
        <v>37895</v>
      </c>
      <c r="B170" s="33">
        <v>84</v>
      </c>
      <c r="C170" s="107">
        <v>2.0099999999999998</v>
      </c>
      <c r="D170" s="33">
        <v>2</v>
      </c>
      <c r="E170" s="33">
        <v>2.14</v>
      </c>
      <c r="F170" s="33">
        <v>3.3</v>
      </c>
      <c r="G170" s="33">
        <v>3.83</v>
      </c>
      <c r="H170" s="33">
        <v>4.22</v>
      </c>
      <c r="I170" s="33">
        <f t="shared" si="28"/>
        <v>2.21</v>
      </c>
      <c r="J170" s="33">
        <f t="shared" si="29"/>
        <v>2.2199999999999998</v>
      </c>
      <c r="K170" s="33">
        <f t="shared" si="30"/>
        <v>2.0799999999999996</v>
      </c>
      <c r="L170" s="33">
        <f t="shared" si="31"/>
        <v>-9.9999999999997868E-3</v>
      </c>
      <c r="M170" s="33">
        <v>97.4</v>
      </c>
      <c r="N170" s="33">
        <v>3329.83</v>
      </c>
      <c r="O170" s="33">
        <v>33.39</v>
      </c>
      <c r="P170" s="33">
        <v>626.20000000000005</v>
      </c>
      <c r="Q170" s="34">
        <f t="shared" si="32"/>
        <v>7.7500000000000009</v>
      </c>
      <c r="R170" s="60">
        <v>1379.6</v>
      </c>
      <c r="S170" s="34">
        <f t="shared" si="33"/>
        <v>1707.4257425742574</v>
      </c>
      <c r="T170" s="60">
        <v>1489.7</v>
      </c>
      <c r="U170" s="34">
        <f t="shared" si="34"/>
        <v>1843.6881188118814</v>
      </c>
      <c r="V170" s="116">
        <v>315880</v>
      </c>
      <c r="W170" s="116">
        <v>2655345</v>
      </c>
      <c r="X170" s="117">
        <v>5200531</v>
      </c>
      <c r="Y170" s="117">
        <v>909868</v>
      </c>
      <c r="Z170" s="33">
        <v>80.3</v>
      </c>
      <c r="AA170" s="33">
        <v>69.5</v>
      </c>
      <c r="AB170" s="33">
        <v>81.099999999999994</v>
      </c>
      <c r="AC170" s="33">
        <v>66.900000000000006</v>
      </c>
      <c r="AD170" s="33">
        <v>39215</v>
      </c>
      <c r="AE170" s="33">
        <v>10.5</v>
      </c>
      <c r="AF170" s="33">
        <v>238</v>
      </c>
      <c r="AG170" s="33">
        <v>79.3</v>
      </c>
      <c r="AH170" s="33">
        <v>80.8</v>
      </c>
      <c r="AI170" s="33">
        <v>80.900000000000006</v>
      </c>
      <c r="AJ170" s="33">
        <v>83</v>
      </c>
      <c r="AK170" s="33">
        <v>168.04804799999999</v>
      </c>
      <c r="AL170" s="33">
        <v>66</v>
      </c>
      <c r="AM170" s="123">
        <v>19.480440249669389</v>
      </c>
      <c r="AN170" s="123">
        <v>36.433200849793344</v>
      </c>
      <c r="AO170" s="123">
        <v>50.517490527768857</v>
      </c>
      <c r="AP170" s="33">
        <v>25.13</v>
      </c>
      <c r="AQ170" s="33">
        <f t="shared" si="35"/>
        <v>0.31063040791100122</v>
      </c>
      <c r="AR170" s="33">
        <v>91.9</v>
      </c>
      <c r="AS170" s="33">
        <v>102.2</v>
      </c>
      <c r="AT170" s="33">
        <v>82.6</v>
      </c>
      <c r="AU170" s="33">
        <v>95.6</v>
      </c>
      <c r="AV170" s="65">
        <v>107</v>
      </c>
      <c r="AW170" s="33">
        <v>85.4</v>
      </c>
      <c r="AX170" s="33">
        <v>10.9</v>
      </c>
      <c r="AY170" s="33">
        <v>12.9</v>
      </c>
      <c r="AZ170" s="33">
        <v>1.8</v>
      </c>
      <c r="BA170" s="33">
        <v>6.8</v>
      </c>
      <c r="BB170" s="33">
        <v>89</v>
      </c>
      <c r="BC170" s="33">
        <v>97.8</v>
      </c>
      <c r="BD170" s="33">
        <v>81</v>
      </c>
      <c r="BE170" s="33">
        <v>-87.4</v>
      </c>
      <c r="BF170" s="33">
        <v>60.3</v>
      </c>
      <c r="BG170" s="33">
        <v>-10.5</v>
      </c>
      <c r="BH170" s="33">
        <v>160</v>
      </c>
      <c r="BI170" s="33">
        <v>1.9</v>
      </c>
      <c r="BJ170" s="34">
        <v>51.173428010000002</v>
      </c>
      <c r="BK170" s="45">
        <v>9.3501962489183725</v>
      </c>
      <c r="BL170" s="33">
        <v>0.47799999999999998</v>
      </c>
      <c r="BM170" s="33">
        <v>100.0629</v>
      </c>
      <c r="BN170" s="33">
        <v>100.05549999999999</v>
      </c>
      <c r="BO170" s="33">
        <v>-29.6</v>
      </c>
      <c r="BP170" s="33">
        <v>-27.6</v>
      </c>
      <c r="BQ170" s="33">
        <v>14.5</v>
      </c>
      <c r="BR170" s="33">
        <v>6.7</v>
      </c>
      <c r="BS170" s="33">
        <v>-3</v>
      </c>
      <c r="BT170" s="33">
        <v>-17.899999999999999</v>
      </c>
      <c r="BU170" s="33">
        <v>-12.5</v>
      </c>
      <c r="BV170" s="33">
        <v>13.8</v>
      </c>
      <c r="BW170" s="33">
        <v>-18</v>
      </c>
      <c r="BX170" s="33">
        <v>-22.1</v>
      </c>
      <c r="BY170" s="33">
        <v>-47.7</v>
      </c>
      <c r="BZ170" s="33">
        <v>93.2</v>
      </c>
      <c r="CA170" s="33">
        <v>-18</v>
      </c>
      <c r="CB170" s="33">
        <v>-14.8</v>
      </c>
      <c r="CC170" s="33">
        <v>-2.5</v>
      </c>
      <c r="CD170" s="33">
        <v>-60.9</v>
      </c>
      <c r="CE170" s="33">
        <v>-32</v>
      </c>
      <c r="CF170" s="33">
        <v>41.4</v>
      </c>
      <c r="CG170" s="33">
        <v>23.3</v>
      </c>
      <c r="CH170" s="33">
        <v>48.8</v>
      </c>
      <c r="CI170" s="33">
        <v>-29</v>
      </c>
      <c r="CJ170" s="33">
        <v>-22.9</v>
      </c>
      <c r="CK170" s="33">
        <v>2.4</v>
      </c>
      <c r="CL170" s="33">
        <v>14.8</v>
      </c>
      <c r="CM170" s="33">
        <v>2523.27</v>
      </c>
      <c r="CN170" s="33">
        <v>9469.2000000000007</v>
      </c>
      <c r="CO170" s="33">
        <v>1038.734348</v>
      </c>
      <c r="CP170" s="33">
        <v>4.516</v>
      </c>
      <c r="CQ170" s="33">
        <v>3.96</v>
      </c>
      <c r="CR170" s="33">
        <v>83</v>
      </c>
      <c r="CS170" s="121">
        <f t="shared" si="27"/>
        <v>40.350000000000009</v>
      </c>
      <c r="CT170" s="33">
        <v>97.6</v>
      </c>
      <c r="CU170" s="33">
        <v>106.9</v>
      </c>
      <c r="CV170" s="33">
        <v>99.3</v>
      </c>
      <c r="CW170" s="33">
        <v>105.6</v>
      </c>
      <c r="CX170" s="33">
        <v>101.6</v>
      </c>
      <c r="CY170" s="33">
        <v>4.9800000000000004</v>
      </c>
      <c r="CZ170" s="33">
        <v>33874.398999999998</v>
      </c>
      <c r="DA170" s="33">
        <v>3.25</v>
      </c>
      <c r="DB170" s="33">
        <v>18.829999999999998</v>
      </c>
      <c r="DC170" s="33">
        <v>31.47</v>
      </c>
      <c r="DD170" s="33">
        <v>9.06</v>
      </c>
      <c r="DE170" s="33">
        <v>6327.4570000000003</v>
      </c>
      <c r="DF170" s="33">
        <v>1273.3209999999999</v>
      </c>
      <c r="DG170" s="33">
        <v>1073.67</v>
      </c>
      <c r="DH170" s="33">
        <v>1146.962</v>
      </c>
      <c r="DI170" s="33">
        <v>1499.135</v>
      </c>
      <c r="DJ170" s="33">
        <v>100.2379</v>
      </c>
      <c r="DK170" s="33">
        <v>100.2728</v>
      </c>
      <c r="DL170" s="33">
        <v>100.75</v>
      </c>
      <c r="DM170" s="33">
        <v>100.9562</v>
      </c>
      <c r="DN170" s="33">
        <v>100.05549999999999</v>
      </c>
      <c r="DO170" s="33">
        <v>100.0629</v>
      </c>
      <c r="DP170" s="33">
        <v>99.954300000000003</v>
      </c>
      <c r="DQ170" s="33">
        <v>99.949399999999997</v>
      </c>
      <c r="DR170" s="104">
        <v>145242</v>
      </c>
      <c r="DS170" s="103">
        <v>26760</v>
      </c>
      <c r="DT170" s="73">
        <v>91.7</v>
      </c>
      <c r="DU170">
        <v>91.967926025390625</v>
      </c>
      <c r="DV170">
        <v>87.126708984375</v>
      </c>
      <c r="DW170">
        <v>3138</v>
      </c>
      <c r="DX170">
        <v>577975</v>
      </c>
      <c r="DY170" s="102">
        <f t="shared" si="36"/>
        <v>64.5</v>
      </c>
    </row>
    <row r="171" spans="1:129" x14ac:dyDescent="0.25">
      <c r="A171" s="1">
        <v>37926</v>
      </c>
      <c r="B171" s="33">
        <v>84.7</v>
      </c>
      <c r="C171" s="107">
        <v>1.97</v>
      </c>
      <c r="D171" s="33">
        <v>2</v>
      </c>
      <c r="E171" s="33">
        <v>2.15</v>
      </c>
      <c r="F171" s="33">
        <v>3.43</v>
      </c>
      <c r="G171" s="33">
        <v>3.96</v>
      </c>
      <c r="H171" s="33">
        <v>4.3499999999999996</v>
      </c>
      <c r="I171" s="33">
        <f t="shared" si="28"/>
        <v>2.38</v>
      </c>
      <c r="J171" s="33">
        <f t="shared" si="29"/>
        <v>2.3499999999999996</v>
      </c>
      <c r="K171" s="33">
        <f t="shared" si="30"/>
        <v>2.1999999999999997</v>
      </c>
      <c r="L171" s="33">
        <f t="shared" si="31"/>
        <v>3.0000000000000027E-2</v>
      </c>
      <c r="M171" s="33">
        <v>97.2</v>
      </c>
      <c r="N171" s="33">
        <v>3744.5</v>
      </c>
      <c r="O171" s="33">
        <v>24.22</v>
      </c>
      <c r="P171" s="33">
        <v>630</v>
      </c>
      <c r="Q171" s="34">
        <f t="shared" si="32"/>
        <v>7.8163771712158816</v>
      </c>
      <c r="R171" s="60">
        <v>1385</v>
      </c>
      <c r="S171" s="34">
        <f t="shared" si="33"/>
        <v>1718.3622828784121</v>
      </c>
      <c r="T171" s="60">
        <v>1498.9</v>
      </c>
      <c r="U171" s="34">
        <f t="shared" si="34"/>
        <v>1859.6774193548388</v>
      </c>
      <c r="V171" s="116">
        <v>315382</v>
      </c>
      <c r="W171" s="116">
        <v>2663643</v>
      </c>
      <c r="X171" s="117">
        <v>5217471</v>
      </c>
      <c r="Y171" s="117">
        <v>916831</v>
      </c>
      <c r="Z171" s="33">
        <v>80.2</v>
      </c>
      <c r="AA171" s="33">
        <v>69.8</v>
      </c>
      <c r="AB171" s="33">
        <v>77.599999999999994</v>
      </c>
      <c r="AC171" s="33">
        <v>67</v>
      </c>
      <c r="AD171" s="33">
        <v>39202</v>
      </c>
      <c r="AE171" s="33">
        <v>10.5</v>
      </c>
      <c r="AF171" s="33">
        <v>234</v>
      </c>
      <c r="AG171" s="33">
        <v>79.099999999999994</v>
      </c>
      <c r="AH171" s="33">
        <v>80.599999999999994</v>
      </c>
      <c r="AI171" s="33">
        <v>81.099999999999994</v>
      </c>
      <c r="AJ171" s="33">
        <v>83.1</v>
      </c>
      <c r="AK171" s="33">
        <v>168.04804799999999</v>
      </c>
      <c r="AL171" s="33">
        <v>106.1</v>
      </c>
      <c r="AM171" s="123">
        <v>20.11969476563436</v>
      </c>
      <c r="AN171" s="123">
        <v>36.320229684367625</v>
      </c>
      <c r="AO171" s="123">
        <v>54.629379291657031</v>
      </c>
      <c r="AP171" s="33">
        <v>24.71</v>
      </c>
      <c r="AQ171" s="33">
        <f t="shared" si="35"/>
        <v>0.3046855733662146</v>
      </c>
      <c r="AR171" s="33">
        <v>93.5</v>
      </c>
      <c r="AS171" s="33">
        <v>104.4</v>
      </c>
      <c r="AT171" s="33">
        <v>83.8</v>
      </c>
      <c r="AU171" s="33">
        <v>97.3</v>
      </c>
      <c r="AV171" s="65">
        <v>109.4</v>
      </c>
      <c r="AW171" s="33">
        <v>86.4</v>
      </c>
      <c r="AX171" s="33">
        <v>17.399999999999999</v>
      </c>
      <c r="AY171" s="33">
        <v>10.7</v>
      </c>
      <c r="AZ171" s="33">
        <v>8</v>
      </c>
      <c r="BA171" s="33">
        <v>7.2</v>
      </c>
      <c r="BB171" s="33">
        <v>90.9</v>
      </c>
      <c r="BC171" s="33">
        <v>100.4</v>
      </c>
      <c r="BD171" s="33">
        <v>82.2</v>
      </c>
      <c r="BE171" s="33">
        <v>-87.5</v>
      </c>
      <c r="BF171" s="33">
        <v>67.2</v>
      </c>
      <c r="BG171" s="33">
        <v>0.3</v>
      </c>
      <c r="BH171" s="33">
        <v>154.19999999999999</v>
      </c>
      <c r="BI171" s="33">
        <v>1.8</v>
      </c>
      <c r="BJ171" s="34">
        <v>51.140471689999998</v>
      </c>
      <c r="BK171" s="45">
        <v>20.241689833256451</v>
      </c>
      <c r="BL171" s="33">
        <v>0.62</v>
      </c>
      <c r="BM171" s="33">
        <v>100.2431</v>
      </c>
      <c r="BN171" s="33">
        <v>100.2103</v>
      </c>
      <c r="BO171" s="33">
        <v>-25.8</v>
      </c>
      <c r="BP171" s="33">
        <v>-23</v>
      </c>
      <c r="BQ171" s="33">
        <v>12.8</v>
      </c>
      <c r="BR171" s="33">
        <v>7.1</v>
      </c>
      <c r="BS171" s="33">
        <v>-2.7</v>
      </c>
      <c r="BT171" s="33">
        <v>-17.2</v>
      </c>
      <c r="BU171" s="33">
        <v>-10.5</v>
      </c>
      <c r="BV171" s="33">
        <v>16.8</v>
      </c>
      <c r="BW171" s="33">
        <v>-16.100000000000001</v>
      </c>
      <c r="BX171" s="33">
        <v>-19.899999999999999</v>
      </c>
      <c r="BY171" s="33">
        <v>-46.4</v>
      </c>
      <c r="BZ171" s="33">
        <v>95.6</v>
      </c>
      <c r="CA171" s="33">
        <v>-16.100000000000001</v>
      </c>
      <c r="CB171" s="33">
        <v>-12.8</v>
      </c>
      <c r="CC171" s="33">
        <v>-3.4</v>
      </c>
      <c r="CD171" s="33">
        <v>-58.2</v>
      </c>
      <c r="CE171" s="33">
        <v>-30.5</v>
      </c>
      <c r="CF171" s="33">
        <v>37.4</v>
      </c>
      <c r="CG171" s="33">
        <v>24.7</v>
      </c>
      <c r="CH171" s="33">
        <v>46.1</v>
      </c>
      <c r="CI171" s="33">
        <v>-25.8</v>
      </c>
      <c r="CJ171" s="33">
        <v>-17.8</v>
      </c>
      <c r="CK171" s="33">
        <v>2.6</v>
      </c>
      <c r="CL171" s="33">
        <v>16.8</v>
      </c>
      <c r="CM171" s="33">
        <v>2618.0583999999999</v>
      </c>
      <c r="CN171" s="33">
        <v>9858.4599999999991</v>
      </c>
      <c r="CO171" s="33">
        <v>1050.328</v>
      </c>
      <c r="CP171" s="33">
        <v>5.1219999999999999</v>
      </c>
      <c r="CQ171" s="33">
        <v>4.4000000000000004</v>
      </c>
      <c r="CR171" s="33">
        <v>88.1</v>
      </c>
      <c r="CS171" s="121">
        <f t="shared" si="27"/>
        <v>38.850000000000009</v>
      </c>
      <c r="CT171" s="33">
        <v>102.4</v>
      </c>
      <c r="CU171" s="33">
        <v>106.7</v>
      </c>
      <c r="CV171" s="33">
        <v>97.1</v>
      </c>
      <c r="CW171" s="33">
        <v>113.7</v>
      </c>
      <c r="CX171" s="33">
        <v>107.2</v>
      </c>
      <c r="CY171" s="33">
        <v>4.9800000000000004</v>
      </c>
      <c r="CZ171" s="33">
        <v>34672.167999999998</v>
      </c>
      <c r="DA171" s="33">
        <v>3.06</v>
      </c>
      <c r="DB171" s="33">
        <v>20.04</v>
      </c>
      <c r="DC171" s="33">
        <v>32.76</v>
      </c>
      <c r="DD171" s="33">
        <v>9.5500000000000007</v>
      </c>
      <c r="DE171" s="33">
        <v>6473.5590000000002</v>
      </c>
      <c r="DF171" s="33">
        <v>1258.162</v>
      </c>
      <c r="DG171" s="33">
        <v>1099.298</v>
      </c>
      <c r="DH171" s="33">
        <v>1036.971</v>
      </c>
      <c r="DI171" s="33">
        <v>1528.424</v>
      </c>
      <c r="DJ171" s="33">
        <v>100.346</v>
      </c>
      <c r="DK171" s="33">
        <v>100.4114</v>
      </c>
      <c r="DL171" s="33">
        <v>100.82</v>
      </c>
      <c r="DM171" s="33">
        <v>101.04770000000001</v>
      </c>
      <c r="DN171" s="33">
        <v>100.2103</v>
      </c>
      <c r="DO171" s="33">
        <v>100.2431</v>
      </c>
      <c r="DP171" s="33">
        <v>100.27809999999999</v>
      </c>
      <c r="DQ171" s="33">
        <v>100.30549999999999</v>
      </c>
      <c r="DR171" s="104">
        <v>141423</v>
      </c>
      <c r="DS171" s="103">
        <v>26711</v>
      </c>
      <c r="DT171" s="73">
        <v>92.6</v>
      </c>
      <c r="DU171">
        <v>91.814987182617188</v>
      </c>
      <c r="DV171">
        <v>106.28778076171875</v>
      </c>
      <c r="DW171">
        <v>4558</v>
      </c>
      <c r="DX171">
        <v>513175</v>
      </c>
      <c r="DY171" s="102">
        <f t="shared" si="36"/>
        <v>66.5</v>
      </c>
    </row>
    <row r="172" spans="1:129" x14ac:dyDescent="0.25">
      <c r="A172" s="1">
        <v>37956</v>
      </c>
      <c r="B172" s="33">
        <v>84.8</v>
      </c>
      <c r="C172" s="107">
        <v>2.06</v>
      </c>
      <c r="D172" s="33">
        <v>2</v>
      </c>
      <c r="E172" s="33">
        <v>2.15</v>
      </c>
      <c r="F172" s="33">
        <v>3.36</v>
      </c>
      <c r="G172" s="33">
        <v>3.89</v>
      </c>
      <c r="H172" s="33">
        <v>4.29</v>
      </c>
      <c r="I172" s="33">
        <f t="shared" si="28"/>
        <v>2.23</v>
      </c>
      <c r="J172" s="33">
        <f t="shared" si="29"/>
        <v>2.29</v>
      </c>
      <c r="K172" s="33">
        <f t="shared" si="30"/>
        <v>2.14</v>
      </c>
      <c r="L172" s="33">
        <f t="shared" si="31"/>
        <v>-6.0000000000000053E-2</v>
      </c>
      <c r="M172" s="33">
        <v>98.1</v>
      </c>
      <c r="N172" s="33">
        <v>3821.2</v>
      </c>
      <c r="O172" s="33">
        <v>25.38</v>
      </c>
      <c r="P172" s="33">
        <v>630</v>
      </c>
      <c r="Q172" s="34">
        <f t="shared" si="32"/>
        <v>7.8066914498141262</v>
      </c>
      <c r="R172" s="60">
        <v>1382.9</v>
      </c>
      <c r="S172" s="34">
        <f t="shared" si="33"/>
        <v>1713.6307311028504</v>
      </c>
      <c r="T172" s="60">
        <v>1501.2</v>
      </c>
      <c r="U172" s="34">
        <f t="shared" si="34"/>
        <v>1860.2230483271373</v>
      </c>
      <c r="V172" s="116">
        <v>316813</v>
      </c>
      <c r="W172" s="116">
        <v>2681722</v>
      </c>
      <c r="X172" s="117">
        <v>5238327</v>
      </c>
      <c r="Y172" s="117">
        <v>910440</v>
      </c>
      <c r="Z172" s="33">
        <v>80.8</v>
      </c>
      <c r="AA172" s="33">
        <v>71.599999999999994</v>
      </c>
      <c r="AB172" s="33">
        <v>81.599999999999994</v>
      </c>
      <c r="AC172" s="33">
        <v>68.599999999999994</v>
      </c>
      <c r="AD172" s="33">
        <v>39225</v>
      </c>
      <c r="AE172" s="33">
        <v>10.5</v>
      </c>
      <c r="AF172" s="33">
        <v>227</v>
      </c>
      <c r="AG172" s="33">
        <v>79</v>
      </c>
      <c r="AH172" s="33">
        <v>80.7</v>
      </c>
      <c r="AI172" s="33">
        <v>80.900000000000006</v>
      </c>
      <c r="AJ172" s="33">
        <v>83</v>
      </c>
      <c r="AK172" s="33">
        <v>168.04804799999999</v>
      </c>
      <c r="AL172" s="33">
        <v>66.2</v>
      </c>
      <c r="AM172" s="123">
        <v>19.642170364551266</v>
      </c>
      <c r="AN172" s="123">
        <v>35.762315249891941</v>
      </c>
      <c r="AO172" s="123">
        <v>53.038232321997128</v>
      </c>
      <c r="AP172" s="33">
        <v>24.18</v>
      </c>
      <c r="AQ172" s="33">
        <f t="shared" si="35"/>
        <v>0.29888751545117426</v>
      </c>
      <c r="AR172" s="33">
        <v>93.8</v>
      </c>
      <c r="AS172" s="33">
        <v>103.9</v>
      </c>
      <c r="AT172" s="33">
        <v>84.7</v>
      </c>
      <c r="AU172" s="33">
        <v>98.3</v>
      </c>
      <c r="AV172" s="65">
        <v>109.2</v>
      </c>
      <c r="AW172" s="33">
        <v>88.5</v>
      </c>
      <c r="AX172" s="33">
        <v>16.100000000000001</v>
      </c>
      <c r="AY172" s="33">
        <v>7.3</v>
      </c>
      <c r="AZ172" s="33">
        <v>8.1999999999999993</v>
      </c>
      <c r="BA172" s="33">
        <v>8.1999999999999993</v>
      </c>
      <c r="BB172" s="33">
        <v>90.1</v>
      </c>
      <c r="BC172" s="33">
        <v>98.5</v>
      </c>
      <c r="BD172" s="33">
        <v>82.4</v>
      </c>
      <c r="BE172" s="33">
        <v>-83.7</v>
      </c>
      <c r="BF172" s="33">
        <v>73.400000000000006</v>
      </c>
      <c r="BG172" s="33">
        <v>-1.6</v>
      </c>
      <c r="BH172" s="33">
        <v>150.69999999999999</v>
      </c>
      <c r="BI172" s="33">
        <v>5.3</v>
      </c>
      <c r="BJ172" s="34">
        <v>52.970459849999997</v>
      </c>
      <c r="BK172" s="45">
        <v>17.447666889522239</v>
      </c>
      <c r="BL172" s="33">
        <v>0.745</v>
      </c>
      <c r="BM172" s="33">
        <v>100.3563</v>
      </c>
      <c r="BN172" s="33">
        <v>100.30759999999999</v>
      </c>
      <c r="BO172" s="33">
        <v>-27.3</v>
      </c>
      <c r="BP172" s="33">
        <v>-25.1</v>
      </c>
      <c r="BQ172" s="33">
        <v>13.3</v>
      </c>
      <c r="BR172" s="33">
        <v>6</v>
      </c>
      <c r="BS172" s="33">
        <v>-2.1</v>
      </c>
      <c r="BT172" s="33">
        <v>-19.3</v>
      </c>
      <c r="BU172" s="33">
        <v>-11.5</v>
      </c>
      <c r="BV172" s="33">
        <v>18.100000000000001</v>
      </c>
      <c r="BW172" s="33">
        <v>-17.7</v>
      </c>
      <c r="BX172" s="33">
        <v>-25.4</v>
      </c>
      <c r="BY172" s="33">
        <v>-46.7</v>
      </c>
      <c r="BZ172" s="33">
        <v>94.6</v>
      </c>
      <c r="CA172" s="33">
        <v>-17.7</v>
      </c>
      <c r="CB172" s="33">
        <v>-14</v>
      </c>
      <c r="CC172" s="33">
        <v>-5.9</v>
      </c>
      <c r="CD172" s="33">
        <v>-57.6</v>
      </c>
      <c r="CE172" s="33">
        <v>-30.2</v>
      </c>
      <c r="CF172" s="33">
        <v>36.200000000000003</v>
      </c>
      <c r="CG172" s="33">
        <v>22</v>
      </c>
      <c r="CH172" s="33">
        <v>44.6</v>
      </c>
      <c r="CI172" s="33">
        <v>-31.6</v>
      </c>
      <c r="CJ172" s="33">
        <v>-20.9</v>
      </c>
      <c r="CK172" s="33">
        <v>2.2000000000000002</v>
      </c>
      <c r="CL172" s="33">
        <v>16.8</v>
      </c>
      <c r="CM172" s="33">
        <v>2702.1682169999999</v>
      </c>
      <c r="CN172" s="33">
        <v>9899.0499999999993</v>
      </c>
      <c r="CO172" s="33">
        <v>1081.21913</v>
      </c>
      <c r="CP172" s="33">
        <v>5.069</v>
      </c>
      <c r="CQ172" s="33">
        <v>4.4000000000000004</v>
      </c>
      <c r="CR172" s="33">
        <v>89.8</v>
      </c>
      <c r="CS172" s="121">
        <f t="shared" si="27"/>
        <v>34.049999999999997</v>
      </c>
      <c r="CT172" s="33">
        <v>102</v>
      </c>
      <c r="CU172" s="33">
        <v>105.7</v>
      </c>
      <c r="CV172" s="33">
        <v>100.1</v>
      </c>
      <c r="CW172" s="33">
        <v>106.9</v>
      </c>
      <c r="CX172" s="33">
        <v>104.2</v>
      </c>
      <c r="CY172" s="33">
        <v>5</v>
      </c>
      <c r="CZ172" s="33">
        <v>31280.550999999999</v>
      </c>
      <c r="DA172" s="33">
        <v>3.06</v>
      </c>
      <c r="DB172" s="33">
        <v>19.02</v>
      </c>
      <c r="DC172" s="33">
        <v>33.89</v>
      </c>
      <c r="DD172" s="33">
        <v>9.4499999999999993</v>
      </c>
      <c r="DE172" s="33">
        <v>6430.5649999999996</v>
      </c>
      <c r="DF172" s="33">
        <v>1348.9559999999999</v>
      </c>
      <c r="DG172" s="33">
        <v>1052.884</v>
      </c>
      <c r="DH172" s="33">
        <v>1043.6089999999999</v>
      </c>
      <c r="DI172" s="33">
        <v>1552.9949999999999</v>
      </c>
      <c r="DJ172" s="33">
        <v>100.44410000000001</v>
      </c>
      <c r="DK172" s="33">
        <v>100.5381</v>
      </c>
      <c r="DL172" s="33">
        <v>100.91</v>
      </c>
      <c r="DM172" s="33">
        <v>101.1567</v>
      </c>
      <c r="DN172" s="33">
        <v>100.30759999999999</v>
      </c>
      <c r="DO172" s="33">
        <v>100.3563</v>
      </c>
      <c r="DP172" s="33">
        <v>100.5462</v>
      </c>
      <c r="DQ172" s="33">
        <v>100.6005</v>
      </c>
      <c r="DR172" s="104">
        <v>126607</v>
      </c>
      <c r="DS172" s="103">
        <v>26676</v>
      </c>
      <c r="DT172" s="73">
        <v>92</v>
      </c>
      <c r="DU172">
        <v>82.685600280761719</v>
      </c>
      <c r="DV172">
        <v>61.571720123291016</v>
      </c>
      <c r="DW172">
        <v>4442</v>
      </c>
      <c r="DX172">
        <v>464950</v>
      </c>
      <c r="DY172" s="102">
        <f t="shared" si="36"/>
        <v>67.2</v>
      </c>
    </row>
    <row r="173" spans="1:129" x14ac:dyDescent="0.25">
      <c r="A173" s="1">
        <v>37987</v>
      </c>
      <c r="B173" s="33">
        <v>84.8</v>
      </c>
      <c r="C173" s="107">
        <v>2.02</v>
      </c>
      <c r="D173" s="33">
        <v>2</v>
      </c>
      <c r="E173" s="33">
        <v>2.13</v>
      </c>
      <c r="F173" s="33">
        <v>3.17</v>
      </c>
      <c r="G173" s="33">
        <v>3.76</v>
      </c>
      <c r="H173" s="33">
        <v>4.17</v>
      </c>
      <c r="I173" s="33">
        <f t="shared" si="28"/>
        <v>2.15</v>
      </c>
      <c r="J173" s="33">
        <f t="shared" si="29"/>
        <v>2.17</v>
      </c>
      <c r="K173" s="33">
        <f t="shared" si="30"/>
        <v>2.04</v>
      </c>
      <c r="L173" s="33">
        <f t="shared" si="31"/>
        <v>-2.0000000000000018E-2</v>
      </c>
      <c r="M173" s="33">
        <v>99</v>
      </c>
      <c r="N173" s="33">
        <v>3965.16</v>
      </c>
      <c r="O173" s="33">
        <v>22.33</v>
      </c>
      <c r="P173" s="33">
        <v>638.5</v>
      </c>
      <c r="Q173" s="34">
        <f t="shared" si="32"/>
        <v>7.882716049382716</v>
      </c>
      <c r="R173" s="60">
        <v>1385.8</v>
      </c>
      <c r="S173" s="34">
        <f t="shared" si="33"/>
        <v>1710.8641975308642</v>
      </c>
      <c r="T173" s="60">
        <v>1499.7</v>
      </c>
      <c r="U173" s="34">
        <f t="shared" si="34"/>
        <v>1851.4814814814815</v>
      </c>
      <c r="V173" s="116">
        <v>309273</v>
      </c>
      <c r="W173" s="116">
        <v>2704804</v>
      </c>
      <c r="X173" s="117">
        <v>5259980</v>
      </c>
      <c r="Y173" s="117">
        <v>905355</v>
      </c>
      <c r="Z173" s="33">
        <v>80.900000000000006</v>
      </c>
      <c r="AA173" s="33">
        <v>70</v>
      </c>
      <c r="AB173" s="33">
        <v>77.599999999999994</v>
      </c>
      <c r="AC173" s="33">
        <v>66.900000000000006</v>
      </c>
      <c r="AD173" s="33">
        <v>39299</v>
      </c>
      <c r="AE173" s="33">
        <v>10.3</v>
      </c>
      <c r="AF173" s="33">
        <v>220</v>
      </c>
      <c r="AG173" s="33">
        <v>79.599999999999994</v>
      </c>
      <c r="AH173" s="33">
        <v>81</v>
      </c>
      <c r="AI173" s="33">
        <v>80.900000000000006</v>
      </c>
      <c r="AJ173" s="33">
        <v>83</v>
      </c>
      <c r="AK173" s="33">
        <v>167.692014</v>
      </c>
      <c r="AL173" s="33">
        <v>66.099999999999994</v>
      </c>
      <c r="AM173" s="123">
        <v>20.007760675905008</v>
      </c>
      <c r="AN173" s="123">
        <v>36.221542412009335</v>
      </c>
      <c r="AO173" s="123">
        <v>53.038232321997128</v>
      </c>
      <c r="AP173" s="33">
        <v>24.55</v>
      </c>
      <c r="AQ173" s="33">
        <f t="shared" si="35"/>
        <v>0.30346106304079107</v>
      </c>
      <c r="AR173" s="33">
        <v>94.2</v>
      </c>
      <c r="AS173" s="33">
        <v>103.5</v>
      </c>
      <c r="AT173" s="33">
        <v>85.8</v>
      </c>
      <c r="AU173" s="33">
        <v>98.9</v>
      </c>
      <c r="AV173" s="65">
        <v>109.5</v>
      </c>
      <c r="AW173" s="33">
        <v>89.4</v>
      </c>
      <c r="AX173" s="33">
        <v>18.7</v>
      </c>
      <c r="AY173" s="33">
        <v>15.8</v>
      </c>
      <c r="AZ173" s="33">
        <v>8</v>
      </c>
      <c r="BA173" s="33">
        <v>7.3</v>
      </c>
      <c r="BB173" s="33">
        <v>91.8</v>
      </c>
      <c r="BC173" s="33">
        <v>98.6</v>
      </c>
      <c r="BD173" s="33">
        <v>85.5</v>
      </c>
      <c r="BE173" s="33">
        <v>-74.900000000000006</v>
      </c>
      <c r="BF173" s="33">
        <v>72.900000000000006</v>
      </c>
      <c r="BG173" s="33">
        <v>-5.8</v>
      </c>
      <c r="BH173" s="33">
        <v>147.1</v>
      </c>
      <c r="BI173" s="33">
        <v>27.9</v>
      </c>
      <c r="BJ173" s="34">
        <v>52.998517540000002</v>
      </c>
      <c r="BK173" s="45">
        <v>20.179904928938832</v>
      </c>
      <c r="BL173" s="33">
        <v>0.78900000000000003</v>
      </c>
      <c r="BM173" s="33">
        <v>100.4226</v>
      </c>
      <c r="BN173" s="33">
        <v>100.3646</v>
      </c>
      <c r="BO173" s="33">
        <v>-25.7</v>
      </c>
      <c r="BP173" s="33">
        <v>-24.2</v>
      </c>
      <c r="BQ173" s="33">
        <v>11.9</v>
      </c>
      <c r="BR173" s="33">
        <v>8.8000000000000007</v>
      </c>
      <c r="BS173" s="33">
        <v>-1.2</v>
      </c>
      <c r="BT173" s="33">
        <v>-18</v>
      </c>
      <c r="BU173" s="33">
        <v>-9.6</v>
      </c>
      <c r="BV173" s="33">
        <v>2.6</v>
      </c>
      <c r="BW173" s="33">
        <v>-19.7</v>
      </c>
      <c r="BX173" s="33">
        <v>-25</v>
      </c>
      <c r="BY173" s="33">
        <v>-45.2</v>
      </c>
      <c r="BZ173" s="33">
        <v>89.8</v>
      </c>
      <c r="CA173" s="33">
        <v>-19.7</v>
      </c>
      <c r="CB173" s="33">
        <v>-15.5</v>
      </c>
      <c r="CC173" s="33">
        <v>-6.6</v>
      </c>
      <c r="CD173" s="33">
        <v>-58.3</v>
      </c>
      <c r="CE173" s="33">
        <v>-30.6</v>
      </c>
      <c r="CF173" s="33">
        <v>39.200000000000003</v>
      </c>
      <c r="CG173" s="33">
        <v>24.6</v>
      </c>
      <c r="CH173" s="33">
        <v>43.9</v>
      </c>
      <c r="CI173" s="33">
        <v>-35.200000000000003</v>
      </c>
      <c r="CJ173" s="33">
        <v>-26.2</v>
      </c>
      <c r="CK173" s="33">
        <v>2.6</v>
      </c>
      <c r="CL173" s="33">
        <v>15.7</v>
      </c>
      <c r="CM173" s="33">
        <v>2839.1245450000001</v>
      </c>
      <c r="CN173" s="33">
        <v>10453.93</v>
      </c>
      <c r="CO173" s="33">
        <v>1131.913182</v>
      </c>
      <c r="CP173" s="33">
        <v>4.7880000000000003</v>
      </c>
      <c r="CQ173" s="33">
        <v>4.2699999999999996</v>
      </c>
      <c r="CR173" s="33">
        <v>100.1</v>
      </c>
      <c r="CS173" s="121">
        <f t="shared" si="27"/>
        <v>34.450000000000003</v>
      </c>
      <c r="CT173" s="33">
        <v>106.2</v>
      </c>
      <c r="CU173" s="33">
        <v>105.5</v>
      </c>
      <c r="CV173" s="33">
        <v>99</v>
      </c>
      <c r="CW173" s="33">
        <v>107.3</v>
      </c>
      <c r="CX173" s="33">
        <v>102.4</v>
      </c>
      <c r="CY173" s="33">
        <v>5.31</v>
      </c>
      <c r="CZ173" s="33">
        <v>31430.99</v>
      </c>
      <c r="DA173" s="33">
        <v>3.2</v>
      </c>
      <c r="DB173" s="33">
        <v>19.809999999999999</v>
      </c>
      <c r="DC173" s="33">
        <v>32.93</v>
      </c>
      <c r="DD173" s="33">
        <v>10.66</v>
      </c>
      <c r="DE173" s="33">
        <v>6751.6610000000001</v>
      </c>
      <c r="DF173" s="33">
        <v>1360.133</v>
      </c>
      <c r="DG173" s="33">
        <v>1038.674</v>
      </c>
      <c r="DH173" s="33">
        <v>1064.701</v>
      </c>
      <c r="DI173" s="33">
        <v>1682.2180000000001</v>
      </c>
      <c r="DJ173" s="33">
        <v>100.5236</v>
      </c>
      <c r="DK173" s="33">
        <v>100.6407</v>
      </c>
      <c r="DL173" s="33">
        <v>100.98</v>
      </c>
      <c r="DM173" s="33">
        <v>101.24939999999999</v>
      </c>
      <c r="DN173" s="33">
        <v>100.3646</v>
      </c>
      <c r="DO173" s="33">
        <v>100.4226</v>
      </c>
      <c r="DP173" s="33">
        <v>100.752</v>
      </c>
      <c r="DQ173" s="33">
        <v>100.82689999999999</v>
      </c>
      <c r="DR173" s="104">
        <v>132921</v>
      </c>
      <c r="DS173" s="103">
        <v>26661</v>
      </c>
      <c r="DT173" s="73">
        <v>91</v>
      </c>
      <c r="DU173">
        <v>75.340629577636719</v>
      </c>
      <c r="DV173">
        <v>59.477985382080078</v>
      </c>
      <c r="DW173">
        <v>4765</v>
      </c>
      <c r="DX173">
        <v>430525</v>
      </c>
      <c r="DY173" s="102">
        <f t="shared" si="36"/>
        <v>67.3</v>
      </c>
    </row>
    <row r="174" spans="1:129" x14ac:dyDescent="0.25">
      <c r="A174" s="1">
        <v>38018</v>
      </c>
      <c r="B174" s="33">
        <v>84.5</v>
      </c>
      <c r="C174" s="107">
        <v>2.0299999999999998</v>
      </c>
      <c r="D174" s="33">
        <v>2</v>
      </c>
      <c r="E174" s="33">
        <v>2.1</v>
      </c>
      <c r="F174" s="33">
        <v>3.09</v>
      </c>
      <c r="G174" s="33">
        <v>3.67</v>
      </c>
      <c r="H174" s="33">
        <v>4.1100000000000003</v>
      </c>
      <c r="I174" s="33">
        <f t="shared" si="28"/>
        <v>2.0800000000000005</v>
      </c>
      <c r="J174" s="33">
        <f t="shared" si="29"/>
        <v>2.1100000000000003</v>
      </c>
      <c r="K174" s="33">
        <f t="shared" si="30"/>
        <v>2.0100000000000002</v>
      </c>
      <c r="L174" s="33">
        <f t="shared" si="31"/>
        <v>-2.9999999999999805E-2</v>
      </c>
      <c r="M174" s="33">
        <v>98.8</v>
      </c>
      <c r="N174" s="33">
        <v>4071.6</v>
      </c>
      <c r="O174" s="33">
        <v>22.93</v>
      </c>
      <c r="P174" s="33">
        <v>645.70000000000005</v>
      </c>
      <c r="Q174" s="34">
        <f t="shared" si="32"/>
        <v>7.9716049382716054</v>
      </c>
      <c r="R174" s="60">
        <v>1392.4</v>
      </c>
      <c r="S174" s="34">
        <f t="shared" si="33"/>
        <v>1719.0123456790125</v>
      </c>
      <c r="T174" s="60">
        <v>1502.1</v>
      </c>
      <c r="U174" s="34">
        <f t="shared" si="34"/>
        <v>1854.4444444444443</v>
      </c>
      <c r="V174" s="116">
        <v>307096</v>
      </c>
      <c r="W174" s="116">
        <v>2722810</v>
      </c>
      <c r="X174" s="117">
        <v>5281581</v>
      </c>
      <c r="Y174" s="117">
        <v>920205</v>
      </c>
      <c r="Z174" s="33">
        <v>81.900000000000006</v>
      </c>
      <c r="AA174" s="33">
        <v>70.599999999999994</v>
      </c>
      <c r="AB174" s="33">
        <v>77.900000000000006</v>
      </c>
      <c r="AC174" s="33">
        <v>67.3</v>
      </c>
      <c r="AD174" s="33">
        <v>39316</v>
      </c>
      <c r="AE174" s="33">
        <v>10.3</v>
      </c>
      <c r="AF174" s="33">
        <v>214</v>
      </c>
      <c r="AG174" s="33">
        <v>79.599999999999994</v>
      </c>
      <c r="AH174" s="33">
        <v>81</v>
      </c>
      <c r="AI174" s="33">
        <v>80.8</v>
      </c>
      <c r="AJ174" s="33">
        <v>83</v>
      </c>
      <c r="AK174" s="33">
        <v>167.87003100000001</v>
      </c>
      <c r="AL174" s="33">
        <v>66.099999999999994</v>
      </c>
      <c r="AM174" s="123">
        <v>20.139174539129343</v>
      </c>
      <c r="AN174" s="123">
        <v>35.773671717579546</v>
      </c>
      <c r="AO174" s="123">
        <v>55.418763395695386</v>
      </c>
      <c r="AP174" s="33">
        <v>24.37</v>
      </c>
      <c r="AQ174" s="33">
        <f t="shared" si="35"/>
        <v>0.30160891089108915</v>
      </c>
      <c r="AR174" s="33">
        <v>92.5</v>
      </c>
      <c r="AS174" s="33">
        <v>101.4</v>
      </c>
      <c r="AT174" s="33">
        <v>84.4</v>
      </c>
      <c r="AU174" s="33">
        <v>97</v>
      </c>
      <c r="AV174" s="65">
        <v>107.1</v>
      </c>
      <c r="AW174" s="33">
        <v>87.8</v>
      </c>
      <c r="AX174" s="33">
        <v>13.9</v>
      </c>
      <c r="AY174" s="33">
        <v>20.3</v>
      </c>
      <c r="AZ174" s="33">
        <v>6.2</v>
      </c>
      <c r="BA174" s="33">
        <v>9.8000000000000007</v>
      </c>
      <c r="BB174" s="33">
        <v>88.7</v>
      </c>
      <c r="BC174" s="33">
        <v>96.6</v>
      </c>
      <c r="BD174" s="33">
        <v>81.5</v>
      </c>
      <c r="BE174" s="33">
        <v>-70.2</v>
      </c>
      <c r="BF174" s="33">
        <v>69.900000000000006</v>
      </c>
      <c r="BG174" s="33">
        <v>2</v>
      </c>
      <c r="BH174" s="33">
        <v>151.6</v>
      </c>
      <c r="BI174" s="33">
        <v>49.7</v>
      </c>
      <c r="BJ174" s="34">
        <v>53.383950769999998</v>
      </c>
      <c r="BK174" s="45">
        <v>18.765292311464925</v>
      </c>
      <c r="BL174" s="33">
        <v>0.83099999999999996</v>
      </c>
      <c r="BM174" s="33">
        <v>100.46599999999999</v>
      </c>
      <c r="BN174" s="33">
        <v>100.40179999999999</v>
      </c>
      <c r="BO174" s="33">
        <v>-26</v>
      </c>
      <c r="BP174" s="33">
        <v>-24.5</v>
      </c>
      <c r="BQ174" s="33">
        <v>11.9</v>
      </c>
      <c r="BR174" s="33">
        <v>10.5</v>
      </c>
      <c r="BS174" s="33">
        <v>0.7</v>
      </c>
      <c r="BT174" s="33">
        <v>-18</v>
      </c>
      <c r="BU174" s="33">
        <v>-9.1</v>
      </c>
      <c r="BV174" s="33">
        <v>15.1</v>
      </c>
      <c r="BW174" s="33">
        <v>-16.7</v>
      </c>
      <c r="BX174" s="33">
        <v>-26</v>
      </c>
      <c r="BY174" s="33">
        <v>-45.4</v>
      </c>
      <c r="BZ174" s="33">
        <v>95.2</v>
      </c>
      <c r="CA174" s="33">
        <v>-16.7</v>
      </c>
      <c r="CB174" s="33">
        <v>-14</v>
      </c>
      <c r="CC174" s="33">
        <v>-3.2</v>
      </c>
      <c r="CD174" s="33">
        <v>-54.6</v>
      </c>
      <c r="CE174" s="33">
        <v>-28.7</v>
      </c>
      <c r="CF174" s="33">
        <v>34.6</v>
      </c>
      <c r="CG174" s="33">
        <v>22.3</v>
      </c>
      <c r="CH174" s="33">
        <v>43.4</v>
      </c>
      <c r="CI174" s="33">
        <v>-29.3</v>
      </c>
      <c r="CJ174" s="33">
        <v>-21</v>
      </c>
      <c r="CK174" s="33">
        <v>4.8</v>
      </c>
      <c r="CL174" s="33">
        <v>17.8</v>
      </c>
      <c r="CM174" s="33">
        <v>2874.76395</v>
      </c>
      <c r="CN174" s="33">
        <v>10499.18</v>
      </c>
      <c r="CO174" s="33">
        <v>1143.479</v>
      </c>
      <c r="CP174" s="33">
        <v>4.8890000000000002</v>
      </c>
      <c r="CQ174" s="33">
        <v>4.18</v>
      </c>
      <c r="CR174" s="33">
        <v>88.5</v>
      </c>
      <c r="CS174" s="121">
        <f t="shared" si="27"/>
        <v>30.25</v>
      </c>
      <c r="CT174" s="33">
        <v>105.3</v>
      </c>
      <c r="CU174" s="33">
        <v>107.1</v>
      </c>
      <c r="CV174" s="33">
        <v>96.4</v>
      </c>
      <c r="CW174" s="33">
        <v>103.8</v>
      </c>
      <c r="CX174" s="33">
        <v>103.2</v>
      </c>
      <c r="CY174" s="33">
        <v>5.26</v>
      </c>
      <c r="CZ174" s="33">
        <v>32164.757000000001</v>
      </c>
      <c r="DA174" s="33">
        <v>2.97</v>
      </c>
      <c r="DB174" s="33">
        <v>19.89</v>
      </c>
      <c r="DC174" s="33">
        <v>32.79</v>
      </c>
      <c r="DD174" s="33">
        <v>10.76</v>
      </c>
      <c r="DE174" s="33">
        <v>6378.348</v>
      </c>
      <c r="DF174" s="33">
        <v>1207.58</v>
      </c>
      <c r="DG174" s="33">
        <v>941.85799999999995</v>
      </c>
      <c r="DH174" s="33">
        <v>1067.5809999999999</v>
      </c>
      <c r="DI174" s="33">
        <v>1522.4829999999999</v>
      </c>
      <c r="DJ174" s="33">
        <v>100.5697</v>
      </c>
      <c r="DK174" s="33">
        <v>100.69970000000001</v>
      </c>
      <c r="DL174" s="33">
        <v>101</v>
      </c>
      <c r="DM174" s="33">
        <v>101.2704</v>
      </c>
      <c r="DN174" s="33">
        <v>100.40179999999999</v>
      </c>
      <c r="DO174" s="33">
        <v>100.46599999999999</v>
      </c>
      <c r="DP174" s="33">
        <v>100.89490000000001</v>
      </c>
      <c r="DQ174" s="33">
        <v>100.98399999999999</v>
      </c>
      <c r="DR174" s="104">
        <v>145866</v>
      </c>
      <c r="DS174" s="103">
        <v>26618</v>
      </c>
      <c r="DT174" s="73">
        <v>92</v>
      </c>
      <c r="DU174">
        <v>76.99822998046875</v>
      </c>
      <c r="DV174">
        <v>83.925865173339844</v>
      </c>
      <c r="DW174">
        <v>5618</v>
      </c>
      <c r="DX174">
        <v>354575</v>
      </c>
      <c r="DY174" s="102">
        <f t="shared" si="36"/>
        <v>67.3</v>
      </c>
    </row>
    <row r="175" spans="1:129" x14ac:dyDescent="0.25">
      <c r="A175" s="1">
        <v>38047</v>
      </c>
      <c r="B175" s="33">
        <v>84.5</v>
      </c>
      <c r="C175" s="107">
        <v>2.0099999999999998</v>
      </c>
      <c r="D175" s="33">
        <v>2</v>
      </c>
      <c r="E175" s="33">
        <v>2.06</v>
      </c>
      <c r="F175" s="33">
        <v>2.85</v>
      </c>
      <c r="G175" s="33">
        <v>3.44</v>
      </c>
      <c r="H175" s="33">
        <v>3.91</v>
      </c>
      <c r="I175" s="33">
        <f t="shared" si="28"/>
        <v>1.9000000000000004</v>
      </c>
      <c r="J175" s="33">
        <f t="shared" si="29"/>
        <v>1.9100000000000001</v>
      </c>
      <c r="K175" s="33">
        <f t="shared" si="30"/>
        <v>1.85</v>
      </c>
      <c r="L175" s="33">
        <f t="shared" si="31"/>
        <v>-9.9999999999997868E-3</v>
      </c>
      <c r="M175" s="33">
        <v>98.4</v>
      </c>
      <c r="N175" s="33">
        <v>4054.43</v>
      </c>
      <c r="O175" s="33">
        <v>20.21</v>
      </c>
      <c r="P175" s="33">
        <v>647.4</v>
      </c>
      <c r="Q175" s="34">
        <f t="shared" si="32"/>
        <v>7.9729064039408861</v>
      </c>
      <c r="R175" s="60">
        <v>1396.4</v>
      </c>
      <c r="S175" s="34">
        <f t="shared" si="33"/>
        <v>1719.7044334975369</v>
      </c>
      <c r="T175" s="60">
        <v>1507.5</v>
      </c>
      <c r="U175" s="34">
        <f t="shared" si="34"/>
        <v>1856.5270935960591</v>
      </c>
      <c r="V175" s="116">
        <v>303145</v>
      </c>
      <c r="W175" s="116">
        <v>2760683</v>
      </c>
      <c r="X175" s="117">
        <v>5316424</v>
      </c>
      <c r="Y175" s="117">
        <v>916136</v>
      </c>
      <c r="Z175" s="33">
        <v>80.900000000000006</v>
      </c>
      <c r="AA175" s="33">
        <v>71.599999999999994</v>
      </c>
      <c r="AB175" s="33">
        <v>78</v>
      </c>
      <c r="AC175" s="33">
        <v>68.900000000000006</v>
      </c>
      <c r="AD175" s="33">
        <v>39370</v>
      </c>
      <c r="AE175" s="33">
        <v>10.4</v>
      </c>
      <c r="AF175" s="33">
        <v>205</v>
      </c>
      <c r="AG175" s="33">
        <v>79.8</v>
      </c>
      <c r="AH175" s="33">
        <v>81.2</v>
      </c>
      <c r="AI175" s="33">
        <v>81.5</v>
      </c>
      <c r="AJ175" s="33">
        <v>83.3</v>
      </c>
      <c r="AK175" s="33">
        <v>168.76011600000001</v>
      </c>
      <c r="AL175" s="33">
        <v>66.7</v>
      </c>
      <c r="AM175" s="123">
        <v>22.429369477694596</v>
      </c>
      <c r="AN175" s="123">
        <v>40.52636778059729</v>
      </c>
      <c r="AO175" s="123">
        <v>60.177440753465291</v>
      </c>
      <c r="AP175" s="33">
        <v>27.24</v>
      </c>
      <c r="AQ175" s="33">
        <f t="shared" si="35"/>
        <v>0.3342331288343558</v>
      </c>
      <c r="AR175" s="33">
        <v>91.7</v>
      </c>
      <c r="AS175" s="33">
        <v>99.9</v>
      </c>
      <c r="AT175" s="33">
        <v>84.2</v>
      </c>
      <c r="AU175" s="33">
        <v>96</v>
      </c>
      <c r="AV175" s="65">
        <v>105</v>
      </c>
      <c r="AW175" s="33">
        <v>87.7</v>
      </c>
      <c r="AX175" s="33">
        <v>13.9</v>
      </c>
      <c r="AY175" s="33">
        <v>17.7</v>
      </c>
      <c r="AZ175" s="33">
        <v>3.5</v>
      </c>
      <c r="BA175" s="33">
        <v>5.0999999999999996</v>
      </c>
      <c r="BB175" s="33">
        <v>88.8</v>
      </c>
      <c r="BC175" s="33">
        <v>95.6</v>
      </c>
      <c r="BD175" s="33">
        <v>82.5</v>
      </c>
      <c r="BE175" s="33">
        <v>-72.7</v>
      </c>
      <c r="BF175" s="33">
        <v>57.6</v>
      </c>
      <c r="BG175" s="33">
        <v>-12</v>
      </c>
      <c r="BH175" s="33">
        <v>155.6</v>
      </c>
      <c r="BI175" s="33">
        <v>47</v>
      </c>
      <c r="BJ175" s="34">
        <v>54.066036109999999</v>
      </c>
      <c r="BK175" s="45">
        <v>23.691223059619439</v>
      </c>
      <c r="BL175" s="33">
        <v>0.80300000000000005</v>
      </c>
      <c r="BM175" s="33">
        <v>100.485</v>
      </c>
      <c r="BN175" s="33">
        <v>100.4181</v>
      </c>
      <c r="BO175" s="33">
        <v>-26.5</v>
      </c>
      <c r="BP175" s="33">
        <v>-23.1</v>
      </c>
      <c r="BQ175" s="33">
        <v>10.4</v>
      </c>
      <c r="BR175" s="33">
        <v>8.3000000000000007</v>
      </c>
      <c r="BS175" s="33">
        <v>1.6</v>
      </c>
      <c r="BT175" s="33">
        <v>-18</v>
      </c>
      <c r="BU175" s="33">
        <v>-9.5</v>
      </c>
      <c r="BV175" s="33">
        <v>8.1</v>
      </c>
      <c r="BW175" s="33">
        <v>-17.399999999999999</v>
      </c>
      <c r="BX175" s="33">
        <v>-30.1</v>
      </c>
      <c r="BY175" s="33">
        <v>-46</v>
      </c>
      <c r="BZ175" s="33">
        <v>92.6</v>
      </c>
      <c r="CA175" s="33">
        <v>-17.399999999999999</v>
      </c>
      <c r="CB175" s="33">
        <v>-14.7</v>
      </c>
      <c r="CC175" s="33">
        <v>-4.3</v>
      </c>
      <c r="CD175" s="33">
        <v>-54.2</v>
      </c>
      <c r="CE175" s="33">
        <v>-30.3</v>
      </c>
      <c r="CF175" s="33">
        <v>34.700000000000003</v>
      </c>
      <c r="CG175" s="33">
        <v>22.1</v>
      </c>
      <c r="CH175" s="33">
        <v>44.8</v>
      </c>
      <c r="CI175" s="33">
        <v>-29.4</v>
      </c>
      <c r="CJ175" s="33">
        <v>-20.2</v>
      </c>
      <c r="CK175" s="33">
        <v>4.9000000000000004</v>
      </c>
      <c r="CL175" s="33">
        <v>17</v>
      </c>
      <c r="CM175" s="33">
        <v>2829.0044349999998</v>
      </c>
      <c r="CN175" s="33">
        <v>10678.14</v>
      </c>
      <c r="CO175" s="33">
        <v>1123.9795650000001</v>
      </c>
      <c r="CP175" s="33">
        <v>4.7839999999999998</v>
      </c>
      <c r="CQ175" s="33">
        <v>4</v>
      </c>
      <c r="CR175" s="33">
        <v>88.8</v>
      </c>
      <c r="CS175" s="121">
        <f t="shared" si="27"/>
        <v>31.150000000000006</v>
      </c>
      <c r="CT175" s="33">
        <v>105.8</v>
      </c>
      <c r="CU175" s="33">
        <v>106.4</v>
      </c>
      <c r="CV175" s="33">
        <v>98.4</v>
      </c>
      <c r="CW175" s="33">
        <v>104.2</v>
      </c>
      <c r="CX175" s="33">
        <v>102.6</v>
      </c>
      <c r="CY175" s="33">
        <v>5.08</v>
      </c>
      <c r="CZ175" s="33">
        <v>37011.972999999998</v>
      </c>
      <c r="DA175" s="33">
        <v>2.98</v>
      </c>
      <c r="DB175" s="33">
        <v>19.46</v>
      </c>
      <c r="DC175" s="33">
        <v>33.89</v>
      </c>
      <c r="DD175" s="33">
        <v>10.27</v>
      </c>
      <c r="DE175" s="33">
        <v>7550.3339999999998</v>
      </c>
      <c r="DF175" s="33">
        <v>1520.598</v>
      </c>
      <c r="DG175" s="33">
        <v>1320.6980000000001</v>
      </c>
      <c r="DH175" s="33">
        <v>1211.683</v>
      </c>
      <c r="DI175" s="33">
        <v>1837.9179999999999</v>
      </c>
      <c r="DJ175" s="33">
        <v>100.57769999999999</v>
      </c>
      <c r="DK175" s="33">
        <v>100.7086</v>
      </c>
      <c r="DL175" s="33">
        <v>100.93</v>
      </c>
      <c r="DM175" s="33">
        <v>101.1828</v>
      </c>
      <c r="DN175" s="33">
        <v>100.4181</v>
      </c>
      <c r="DO175" s="33">
        <v>100.485</v>
      </c>
      <c r="DP175" s="33">
        <v>100.97709999999999</v>
      </c>
      <c r="DQ175" s="33">
        <v>101.0745</v>
      </c>
      <c r="DR175" s="104">
        <v>152945</v>
      </c>
      <c r="DS175" s="103">
        <v>26646</v>
      </c>
      <c r="DT175" s="73">
        <v>91.1</v>
      </c>
      <c r="DU175">
        <v>125.02164459228516</v>
      </c>
      <c r="DV175">
        <v>117.33880615234375</v>
      </c>
      <c r="DW175">
        <v>5205</v>
      </c>
      <c r="DX175">
        <v>278600</v>
      </c>
      <c r="DY175" s="102">
        <f t="shared" si="36"/>
        <v>67</v>
      </c>
    </row>
    <row r="176" spans="1:129" x14ac:dyDescent="0.25">
      <c r="A176" s="1">
        <v>38078</v>
      </c>
      <c r="B176" s="33">
        <v>85.4</v>
      </c>
      <c r="C176" s="107">
        <v>2.08</v>
      </c>
      <c r="D176" s="33">
        <v>2</v>
      </c>
      <c r="E176" s="33">
        <v>2.0499999999999998</v>
      </c>
      <c r="F176" s="33">
        <v>3.04</v>
      </c>
      <c r="G176" s="33">
        <v>3.62</v>
      </c>
      <c r="H176" s="33">
        <v>4.0999999999999996</v>
      </c>
      <c r="I176" s="33">
        <f t="shared" si="28"/>
        <v>2.0199999999999996</v>
      </c>
      <c r="J176" s="33">
        <f t="shared" si="29"/>
        <v>2.0999999999999996</v>
      </c>
      <c r="K176" s="33">
        <f t="shared" si="30"/>
        <v>2.0499999999999998</v>
      </c>
      <c r="L176" s="33">
        <f t="shared" si="31"/>
        <v>-8.0000000000000071E-2</v>
      </c>
      <c r="M176" s="33">
        <v>98</v>
      </c>
      <c r="N176" s="33">
        <v>3924.85</v>
      </c>
      <c r="O176" s="33">
        <v>23.2</v>
      </c>
      <c r="P176" s="33">
        <v>652.6</v>
      </c>
      <c r="Q176" s="34">
        <f t="shared" si="32"/>
        <v>8.0073619631901849</v>
      </c>
      <c r="R176" s="60">
        <v>1395.7</v>
      </c>
      <c r="S176" s="34">
        <f t="shared" si="33"/>
        <v>1712.515337423313</v>
      </c>
      <c r="T176" s="60">
        <v>1506.4</v>
      </c>
      <c r="U176" s="34">
        <f t="shared" si="34"/>
        <v>1848.3435582822085</v>
      </c>
      <c r="V176" s="116">
        <v>300895</v>
      </c>
      <c r="W176" s="116">
        <v>2776949</v>
      </c>
      <c r="X176" s="117">
        <v>5341144</v>
      </c>
      <c r="Y176" s="117">
        <v>919713</v>
      </c>
      <c r="Z176" s="33">
        <v>82.1</v>
      </c>
      <c r="AA176" s="33">
        <v>72.5</v>
      </c>
      <c r="AB176" s="33">
        <v>80.2</v>
      </c>
      <c r="AC176" s="33">
        <v>69.8</v>
      </c>
      <c r="AD176" s="33">
        <v>39437</v>
      </c>
      <c r="AE176" s="33">
        <v>10.4</v>
      </c>
      <c r="AF176" s="33">
        <v>201</v>
      </c>
      <c r="AG176" s="33">
        <v>80</v>
      </c>
      <c r="AH176" s="33">
        <v>81.5</v>
      </c>
      <c r="AI176" s="33">
        <v>81.8</v>
      </c>
      <c r="AJ176" s="33">
        <v>83.4</v>
      </c>
      <c r="AK176" s="33">
        <v>169.472184</v>
      </c>
      <c r="AL176" s="33">
        <v>66.7</v>
      </c>
      <c r="AM176" s="123">
        <v>22.495532809487205</v>
      </c>
      <c r="AN176" s="123">
        <v>42.016307772531015</v>
      </c>
      <c r="AO176" s="123">
        <v>62.864790579776333</v>
      </c>
      <c r="AP176" s="33">
        <v>27.82</v>
      </c>
      <c r="AQ176" s="33">
        <f t="shared" si="35"/>
        <v>0.34009779951100244</v>
      </c>
      <c r="AR176" s="33">
        <v>92.3</v>
      </c>
      <c r="AS176" s="33">
        <v>99.3</v>
      </c>
      <c r="AT176" s="33">
        <v>85.8</v>
      </c>
      <c r="AU176" s="33">
        <v>96.6</v>
      </c>
      <c r="AV176" s="65">
        <v>104.5</v>
      </c>
      <c r="AW176" s="33">
        <v>89.2</v>
      </c>
      <c r="AX176" s="33">
        <v>15</v>
      </c>
      <c r="AY176" s="33">
        <v>14.9</v>
      </c>
      <c r="AZ176" s="33">
        <v>4.0999999999999996</v>
      </c>
      <c r="BA176" s="33">
        <v>6.4</v>
      </c>
      <c r="BB176" s="33">
        <v>91.6</v>
      </c>
      <c r="BC176" s="33">
        <v>96.2</v>
      </c>
      <c r="BD176" s="33">
        <v>87.2</v>
      </c>
      <c r="BE176" s="33">
        <v>-72.5</v>
      </c>
      <c r="BF176" s="33">
        <v>49.7</v>
      </c>
      <c r="BG176" s="33">
        <v>-8.1999999999999993</v>
      </c>
      <c r="BH176" s="33">
        <v>153.4</v>
      </c>
      <c r="BI176" s="33">
        <v>19.7</v>
      </c>
      <c r="BJ176" s="34">
        <v>55.34141099</v>
      </c>
      <c r="BK176" s="45">
        <v>28.351256302194081</v>
      </c>
      <c r="BL176" s="33">
        <v>0.80100000000000005</v>
      </c>
      <c r="BM176" s="33">
        <v>100.4875</v>
      </c>
      <c r="BN176" s="33">
        <v>100.4203</v>
      </c>
      <c r="BO176" s="33">
        <v>-21.1</v>
      </c>
      <c r="BP176" s="33">
        <v>-18.100000000000001</v>
      </c>
      <c r="BQ176" s="33">
        <v>8.6</v>
      </c>
      <c r="BR176" s="33">
        <v>7.6</v>
      </c>
      <c r="BS176" s="33">
        <v>3.5</v>
      </c>
      <c r="BT176" s="33">
        <v>-16.5</v>
      </c>
      <c r="BU176" s="33">
        <v>-7.4</v>
      </c>
      <c r="BV176" s="33">
        <v>6.4</v>
      </c>
      <c r="BW176" s="33">
        <v>-17.7</v>
      </c>
      <c r="BX176" s="33">
        <v>-26.4</v>
      </c>
      <c r="BY176" s="33">
        <v>-45.8</v>
      </c>
      <c r="BZ176" s="33">
        <v>92.9</v>
      </c>
      <c r="CA176" s="33">
        <v>-17.7</v>
      </c>
      <c r="CB176" s="33">
        <v>-13.7</v>
      </c>
      <c r="CC176" s="33">
        <v>-3.2</v>
      </c>
      <c r="CD176" s="33">
        <v>-54.2</v>
      </c>
      <c r="CE176" s="33">
        <v>-30.7</v>
      </c>
      <c r="CF176" s="33">
        <v>31.6</v>
      </c>
      <c r="CG176" s="33">
        <v>19.600000000000001</v>
      </c>
      <c r="CH176" s="33">
        <v>46.9</v>
      </c>
      <c r="CI176" s="33">
        <v>-30.1</v>
      </c>
      <c r="CJ176" s="33">
        <v>-23.5</v>
      </c>
      <c r="CK176" s="33">
        <v>0</v>
      </c>
      <c r="CL176" s="33">
        <v>15.1</v>
      </c>
      <c r="CM176" s="33">
        <v>2860.8652269999998</v>
      </c>
      <c r="CN176" s="33">
        <v>10373.33</v>
      </c>
      <c r="CO176" s="33">
        <v>1133.362273</v>
      </c>
      <c r="CP176" s="33">
        <v>4.7629999999999999</v>
      </c>
      <c r="CQ176" s="33">
        <v>3.91</v>
      </c>
      <c r="CR176" s="33">
        <v>87.3</v>
      </c>
      <c r="CS176" s="121">
        <f t="shared" si="27"/>
        <v>30.650000000000006</v>
      </c>
      <c r="CT176" s="33">
        <v>104.1</v>
      </c>
      <c r="CU176" s="33">
        <v>107.4</v>
      </c>
      <c r="CV176" s="33">
        <v>100.6</v>
      </c>
      <c r="CW176" s="33">
        <v>107.5</v>
      </c>
      <c r="CX176" s="33">
        <v>104.8</v>
      </c>
      <c r="CY176" s="33">
        <v>5.77</v>
      </c>
      <c r="CZ176" s="33">
        <v>34737.980000000003</v>
      </c>
      <c r="DA176" s="33">
        <v>3.46</v>
      </c>
      <c r="DB176" s="33">
        <v>19.27</v>
      </c>
      <c r="DC176" s="33">
        <v>34</v>
      </c>
      <c r="DD176" s="33">
        <v>11.09</v>
      </c>
      <c r="DE176" s="33">
        <v>6976.8869999999997</v>
      </c>
      <c r="DF176" s="33">
        <v>1271.8589999999999</v>
      </c>
      <c r="DG176" s="33">
        <v>1151.3689999999999</v>
      </c>
      <c r="DH176" s="33">
        <v>955.31299999999999</v>
      </c>
      <c r="DI176" s="33">
        <v>2004.4359999999999</v>
      </c>
      <c r="DJ176" s="33">
        <v>100.5497</v>
      </c>
      <c r="DK176" s="33">
        <v>100.6713</v>
      </c>
      <c r="DL176" s="33">
        <v>100.78</v>
      </c>
      <c r="DM176" s="33">
        <v>100.9933</v>
      </c>
      <c r="DN176" s="33">
        <v>100.4203</v>
      </c>
      <c r="DO176" s="33">
        <v>100.4875</v>
      </c>
      <c r="DP176" s="33">
        <v>101.0008</v>
      </c>
      <c r="DQ176" s="33">
        <v>101.1006</v>
      </c>
      <c r="DR176" s="104">
        <v>138317</v>
      </c>
      <c r="DS176" s="103">
        <v>26624</v>
      </c>
      <c r="DT176" s="73">
        <v>91.4</v>
      </c>
      <c r="DU176">
        <v>109.83803558349609</v>
      </c>
      <c r="DV176">
        <v>104.87960052490234</v>
      </c>
      <c r="DW176">
        <v>4763</v>
      </c>
      <c r="DX176">
        <v>184925</v>
      </c>
      <c r="DY176" s="102">
        <f t="shared" si="36"/>
        <v>67</v>
      </c>
    </row>
    <row r="177" spans="1:130" x14ac:dyDescent="0.25">
      <c r="A177" s="1">
        <v>38108</v>
      </c>
      <c r="B177" s="33">
        <v>86.2</v>
      </c>
      <c r="C177" s="107">
        <v>2.02</v>
      </c>
      <c r="D177" s="33">
        <v>2</v>
      </c>
      <c r="E177" s="33">
        <v>2.06</v>
      </c>
      <c r="F177" s="33">
        <v>3.25</v>
      </c>
      <c r="G177" s="33">
        <v>3.8</v>
      </c>
      <c r="H177" s="33">
        <v>4.25</v>
      </c>
      <c r="I177" s="33">
        <f t="shared" si="28"/>
        <v>2.23</v>
      </c>
      <c r="J177" s="33">
        <f t="shared" si="29"/>
        <v>2.25</v>
      </c>
      <c r="K177" s="33">
        <f t="shared" si="30"/>
        <v>2.19</v>
      </c>
      <c r="L177" s="33">
        <f t="shared" si="31"/>
        <v>-2.0000000000000018E-2</v>
      </c>
      <c r="M177" s="33">
        <v>98.1</v>
      </c>
      <c r="N177" s="33">
        <v>4007.65</v>
      </c>
      <c r="O177" s="33">
        <v>24.21</v>
      </c>
      <c r="P177" s="33">
        <v>648.9</v>
      </c>
      <c r="Q177" s="34">
        <f t="shared" si="32"/>
        <v>7.9619631901840489</v>
      </c>
      <c r="R177" s="60">
        <v>1398.4</v>
      </c>
      <c r="S177" s="34">
        <f t="shared" si="33"/>
        <v>1715.8282208588957</v>
      </c>
      <c r="T177" s="60">
        <v>1508.4</v>
      </c>
      <c r="U177" s="34">
        <f t="shared" si="34"/>
        <v>1850.79754601227</v>
      </c>
      <c r="V177" s="116">
        <v>296714</v>
      </c>
      <c r="W177" s="116">
        <v>2774765</v>
      </c>
      <c r="X177" s="117">
        <v>5355734</v>
      </c>
      <c r="Y177" s="117">
        <v>909300</v>
      </c>
      <c r="Z177" s="33">
        <v>81.900000000000006</v>
      </c>
      <c r="AA177" s="33">
        <v>72.7</v>
      </c>
      <c r="AB177" s="33">
        <v>78.5</v>
      </c>
      <c r="AC177" s="33">
        <v>70.400000000000006</v>
      </c>
      <c r="AD177" s="33">
        <v>39400</v>
      </c>
      <c r="AE177" s="33">
        <v>10.5</v>
      </c>
      <c r="AF177" s="33">
        <v>205</v>
      </c>
      <c r="AG177" s="33">
        <v>80.2</v>
      </c>
      <c r="AH177" s="33">
        <v>81.5</v>
      </c>
      <c r="AI177" s="33">
        <v>82.3</v>
      </c>
      <c r="AJ177" s="33">
        <v>83.7</v>
      </c>
      <c r="AK177" s="33">
        <v>170.18425199999999</v>
      </c>
      <c r="AL177" s="33">
        <v>66.7</v>
      </c>
      <c r="AM177" s="123">
        <v>24.547125401712442</v>
      </c>
      <c r="AN177" s="123">
        <v>47.479728597442175</v>
      </c>
      <c r="AO177" s="123">
        <v>62.136978243107436</v>
      </c>
      <c r="AP177" s="33">
        <v>31.31</v>
      </c>
      <c r="AQ177" s="33">
        <f t="shared" si="35"/>
        <v>0.3804374240583232</v>
      </c>
      <c r="AR177" s="33">
        <v>92.2</v>
      </c>
      <c r="AS177" s="33">
        <v>99</v>
      </c>
      <c r="AT177" s="33">
        <v>85.9</v>
      </c>
      <c r="AU177" s="33">
        <v>97.1</v>
      </c>
      <c r="AV177" s="65">
        <v>104.2</v>
      </c>
      <c r="AW177" s="33">
        <v>90.5</v>
      </c>
      <c r="AX177" s="33">
        <v>14.6</v>
      </c>
      <c r="AY177" s="33">
        <v>9</v>
      </c>
      <c r="AZ177" s="33">
        <v>7.7</v>
      </c>
      <c r="BA177" s="33">
        <v>7</v>
      </c>
      <c r="BB177" s="33">
        <v>90.4</v>
      </c>
      <c r="BC177" s="33">
        <v>94.5</v>
      </c>
      <c r="BD177" s="33">
        <v>86.4</v>
      </c>
      <c r="BE177" s="33">
        <v>-75.900000000000006</v>
      </c>
      <c r="BF177" s="33">
        <v>46.4</v>
      </c>
      <c r="BG177" s="33">
        <v>-18</v>
      </c>
      <c r="BH177" s="33">
        <v>153.5</v>
      </c>
      <c r="BI177" s="33">
        <v>2.9</v>
      </c>
      <c r="BJ177" s="34">
        <v>56.189337260000002</v>
      </c>
      <c r="BK177" s="45">
        <v>38.386516775535505</v>
      </c>
      <c r="BL177" s="33">
        <v>0.73799999999999999</v>
      </c>
      <c r="BM177" s="33">
        <v>100.4693</v>
      </c>
      <c r="BN177" s="33">
        <v>100.40470000000001</v>
      </c>
      <c r="BO177" s="33">
        <v>-20.100000000000001</v>
      </c>
      <c r="BP177" s="33">
        <v>-18.8</v>
      </c>
      <c r="BQ177" s="33">
        <v>8.6</v>
      </c>
      <c r="BR177" s="33">
        <v>6.4</v>
      </c>
      <c r="BS177" s="33">
        <v>8.5</v>
      </c>
      <c r="BT177" s="33">
        <v>-15.7</v>
      </c>
      <c r="BU177" s="33">
        <v>-7.4</v>
      </c>
      <c r="BV177" s="33">
        <v>6.1</v>
      </c>
      <c r="BW177" s="33">
        <v>-18.100000000000001</v>
      </c>
      <c r="BX177" s="33">
        <v>-28.6</v>
      </c>
      <c r="BY177" s="33">
        <v>-48.3</v>
      </c>
      <c r="BZ177" s="33">
        <v>92.5</v>
      </c>
      <c r="CA177" s="33">
        <v>-18.100000000000001</v>
      </c>
      <c r="CB177" s="33">
        <v>-16.100000000000001</v>
      </c>
      <c r="CC177" s="33">
        <v>-4.3</v>
      </c>
      <c r="CD177" s="33">
        <v>-54.9</v>
      </c>
      <c r="CE177" s="33">
        <v>-31.5</v>
      </c>
      <c r="CF177" s="33">
        <v>35.299999999999997</v>
      </c>
      <c r="CG177" s="33">
        <v>25.2</v>
      </c>
      <c r="CH177" s="33">
        <v>47.9</v>
      </c>
      <c r="CI177" s="33">
        <v>-33.6</v>
      </c>
      <c r="CJ177" s="33">
        <v>-20.5</v>
      </c>
      <c r="CK177" s="33">
        <v>1.5</v>
      </c>
      <c r="CL177" s="33">
        <v>16.3</v>
      </c>
      <c r="CM177" s="33">
        <v>2728.5880000000002</v>
      </c>
      <c r="CN177" s="33">
        <v>10314</v>
      </c>
      <c r="CO177" s="33">
        <v>1103.63381</v>
      </c>
      <c r="CP177" s="33">
        <v>4.9829999999999997</v>
      </c>
      <c r="CQ177" s="33">
        <v>4.53</v>
      </c>
      <c r="CR177" s="33">
        <v>81.599999999999994</v>
      </c>
      <c r="CS177" s="121">
        <f t="shared" si="27"/>
        <v>32.350000000000009</v>
      </c>
      <c r="CT177" s="33">
        <v>106.8</v>
      </c>
      <c r="CU177" s="33">
        <v>107.8</v>
      </c>
      <c r="CV177" s="33">
        <v>101.3</v>
      </c>
      <c r="CW177" s="33">
        <v>108.3</v>
      </c>
      <c r="CX177" s="33">
        <v>100.7</v>
      </c>
      <c r="CY177" s="33">
        <v>5.71</v>
      </c>
      <c r="CZ177" s="33">
        <v>34466.31</v>
      </c>
      <c r="DA177" s="33">
        <v>3.86</v>
      </c>
      <c r="DB177" s="33">
        <v>20.47</v>
      </c>
      <c r="DC177" s="33">
        <v>35.07</v>
      </c>
      <c r="DD177" s="33">
        <v>10.9</v>
      </c>
      <c r="DE177" s="33">
        <v>7213.7460000000001</v>
      </c>
      <c r="DF177" s="33">
        <v>1491.0530000000001</v>
      </c>
      <c r="DG177" s="33">
        <v>1151.4459999999999</v>
      </c>
      <c r="DH177" s="33">
        <v>909.09100000000001</v>
      </c>
      <c r="DI177" s="33">
        <v>1890.99</v>
      </c>
      <c r="DJ177" s="33">
        <v>100.5003</v>
      </c>
      <c r="DK177" s="33">
        <v>100.6069</v>
      </c>
      <c r="DL177" s="33">
        <v>100.58</v>
      </c>
      <c r="DM177" s="33">
        <v>100.7443</v>
      </c>
      <c r="DN177" s="33">
        <v>100.40470000000001</v>
      </c>
      <c r="DO177" s="33">
        <v>100.4693</v>
      </c>
      <c r="DP177" s="33">
        <v>100.9799</v>
      </c>
      <c r="DQ177" s="33">
        <v>101.0776</v>
      </c>
      <c r="DR177" s="104">
        <v>136205</v>
      </c>
      <c r="DS177" s="103">
        <v>26587</v>
      </c>
      <c r="DT177" s="73">
        <v>93.1</v>
      </c>
      <c r="DU177">
        <v>114.84982299804688</v>
      </c>
      <c r="DV177">
        <v>126.78746795654297</v>
      </c>
      <c r="DW177">
        <v>3958</v>
      </c>
      <c r="DX177">
        <v>151200</v>
      </c>
      <c r="DY177" s="102">
        <f t="shared" si="36"/>
        <v>67.900000000000006</v>
      </c>
    </row>
    <row r="178" spans="1:130" x14ac:dyDescent="0.25">
      <c r="A178" s="1">
        <v>38139</v>
      </c>
      <c r="B178" s="33">
        <v>85.7</v>
      </c>
      <c r="C178" s="107">
        <v>2.0299999999999998</v>
      </c>
      <c r="D178" s="33">
        <v>2</v>
      </c>
      <c r="E178" s="33">
        <v>2.08</v>
      </c>
      <c r="F178" s="33">
        <v>3.37</v>
      </c>
      <c r="G178" s="33">
        <v>3.89</v>
      </c>
      <c r="H178" s="33">
        <v>4.3099999999999996</v>
      </c>
      <c r="I178" s="33">
        <f t="shared" si="28"/>
        <v>2.2799999999999998</v>
      </c>
      <c r="J178" s="33">
        <f t="shared" si="29"/>
        <v>2.3099999999999996</v>
      </c>
      <c r="K178" s="33">
        <f t="shared" si="30"/>
        <v>2.2299999999999995</v>
      </c>
      <c r="L178" s="33">
        <f t="shared" si="31"/>
        <v>-2.9999999999999805E-2</v>
      </c>
      <c r="M178" s="33">
        <v>97.9</v>
      </c>
      <c r="N178" s="33">
        <v>3864.18</v>
      </c>
      <c r="O178" s="33">
        <v>24.24</v>
      </c>
      <c r="P178" s="33">
        <v>650.4</v>
      </c>
      <c r="Q178" s="34">
        <f t="shared" si="32"/>
        <v>7.9705882352941178</v>
      </c>
      <c r="R178" s="60">
        <v>1395.4</v>
      </c>
      <c r="S178" s="34">
        <f t="shared" si="33"/>
        <v>1710.0490196078433</v>
      </c>
      <c r="T178" s="60">
        <v>1504.6</v>
      </c>
      <c r="U178" s="34">
        <f t="shared" si="34"/>
        <v>1843.8725490196077</v>
      </c>
      <c r="V178" s="116">
        <v>292243</v>
      </c>
      <c r="W178" s="116">
        <v>2796512</v>
      </c>
      <c r="X178" s="117">
        <v>5385279</v>
      </c>
      <c r="Y178" s="117">
        <v>929746</v>
      </c>
      <c r="Z178" s="33">
        <v>82</v>
      </c>
      <c r="AA178" s="33">
        <v>72.099999999999994</v>
      </c>
      <c r="AB178" s="33">
        <v>77</v>
      </c>
      <c r="AC178" s="33">
        <v>70.2</v>
      </c>
      <c r="AD178" s="33">
        <v>39410</v>
      </c>
      <c r="AE178" s="33">
        <v>10.5</v>
      </c>
      <c r="AF178" s="33">
        <v>209</v>
      </c>
      <c r="AG178" s="33">
        <v>80.2</v>
      </c>
      <c r="AH178" s="33">
        <v>81.599999999999994</v>
      </c>
      <c r="AI178" s="33">
        <v>82.3</v>
      </c>
      <c r="AJ178" s="33">
        <v>83.6</v>
      </c>
      <c r="AK178" s="33">
        <v>170.006235</v>
      </c>
      <c r="AL178" s="33">
        <v>66.5</v>
      </c>
      <c r="AM178" s="123">
        <v>25.877782698809547</v>
      </c>
      <c r="AN178" s="123">
        <v>45.846380875821978</v>
      </c>
      <c r="AO178" s="123">
        <v>59.832325697714012</v>
      </c>
      <c r="AP178" s="33">
        <v>29.18</v>
      </c>
      <c r="AQ178" s="33">
        <f t="shared" si="35"/>
        <v>0.35455650060753341</v>
      </c>
      <c r="AR178" s="33">
        <v>92.2</v>
      </c>
      <c r="AS178" s="33">
        <v>98.8</v>
      </c>
      <c r="AT178" s="33">
        <v>86.1</v>
      </c>
      <c r="AU178" s="33">
        <v>97</v>
      </c>
      <c r="AV178" s="65">
        <v>104.1</v>
      </c>
      <c r="AW178" s="33">
        <v>90.4</v>
      </c>
      <c r="AX178" s="33">
        <v>13.4</v>
      </c>
      <c r="AY178" s="33">
        <v>9.5</v>
      </c>
      <c r="AZ178" s="33">
        <v>6.1</v>
      </c>
      <c r="BA178" s="33">
        <v>5.0999999999999996</v>
      </c>
      <c r="BB178" s="33">
        <v>89.7</v>
      </c>
      <c r="BC178" s="33">
        <v>93.2</v>
      </c>
      <c r="BD178" s="33">
        <v>86.2</v>
      </c>
      <c r="BE178" s="33">
        <v>-69.8</v>
      </c>
      <c r="BF178" s="33">
        <v>47.4</v>
      </c>
      <c r="BG178" s="33">
        <v>-12</v>
      </c>
      <c r="BH178" s="33">
        <v>154.19999999999999</v>
      </c>
      <c r="BI178" s="33">
        <v>1.7</v>
      </c>
      <c r="BJ178" s="34">
        <v>55.871455349999998</v>
      </c>
      <c r="BK178" s="45">
        <v>35.946010202784009</v>
      </c>
      <c r="BL178" s="33">
        <v>0.70899999999999996</v>
      </c>
      <c r="BM178" s="33">
        <v>100.43380000000001</v>
      </c>
      <c r="BN178" s="33">
        <v>100.3742</v>
      </c>
      <c r="BO178" s="33">
        <v>-19</v>
      </c>
      <c r="BP178" s="33">
        <v>-16.3</v>
      </c>
      <c r="BQ178" s="33">
        <v>11.1</v>
      </c>
      <c r="BR178" s="33">
        <v>5.5</v>
      </c>
      <c r="BS178" s="33">
        <v>7.5</v>
      </c>
      <c r="BT178" s="33">
        <v>-15.2</v>
      </c>
      <c r="BU178" s="33">
        <v>-8.1999999999999993</v>
      </c>
      <c r="BV178" s="33">
        <v>5.3</v>
      </c>
      <c r="BW178" s="33">
        <v>-17.399999999999999</v>
      </c>
      <c r="BX178" s="33">
        <v>-31.7</v>
      </c>
      <c r="BY178" s="33">
        <v>-47.6</v>
      </c>
      <c r="BZ178" s="33">
        <v>91.8</v>
      </c>
      <c r="CA178" s="33">
        <v>-17.399999999999999</v>
      </c>
      <c r="CB178" s="33">
        <v>-13.8</v>
      </c>
      <c r="CC178" s="33">
        <v>-2.9</v>
      </c>
      <c r="CD178" s="33">
        <v>-51.8</v>
      </c>
      <c r="CE178" s="33">
        <v>-30.2</v>
      </c>
      <c r="CF178" s="33">
        <v>35.299999999999997</v>
      </c>
      <c r="CG178" s="33">
        <v>25.1</v>
      </c>
      <c r="CH178" s="33">
        <v>47.3</v>
      </c>
      <c r="CI178" s="33">
        <v>-29.7</v>
      </c>
      <c r="CJ178" s="33">
        <v>-22.8</v>
      </c>
      <c r="CK178" s="33">
        <v>2.1</v>
      </c>
      <c r="CL178" s="33">
        <v>16.399999999999999</v>
      </c>
      <c r="CM178" s="33">
        <v>2792.1674090000001</v>
      </c>
      <c r="CN178" s="33">
        <v>10202.65</v>
      </c>
      <c r="CO178" s="33">
        <v>1132.925909</v>
      </c>
      <c r="CP178" s="33">
        <v>5.1890000000000001</v>
      </c>
      <c r="CQ178" s="33">
        <v>4.71</v>
      </c>
      <c r="CR178" s="33">
        <v>88.5</v>
      </c>
      <c r="CS178" s="121">
        <f t="shared" si="27"/>
        <v>29.650000000000006</v>
      </c>
      <c r="CT178" s="33">
        <v>106.6</v>
      </c>
      <c r="CU178" s="33">
        <v>106.5</v>
      </c>
      <c r="CV178" s="33">
        <v>103.9</v>
      </c>
      <c r="CW178" s="33">
        <v>111.1</v>
      </c>
      <c r="CX178" s="33">
        <v>104</v>
      </c>
      <c r="CY178" s="33">
        <v>5.36</v>
      </c>
      <c r="CZ178" s="33">
        <v>35337.106</v>
      </c>
      <c r="DA178" s="33">
        <v>3.58</v>
      </c>
      <c r="DB178" s="33">
        <v>19.559999999999999</v>
      </c>
      <c r="DC178" s="33">
        <v>33.619999999999997</v>
      </c>
      <c r="DD178" s="33">
        <v>10.36</v>
      </c>
      <c r="DE178" s="33">
        <v>7282.2510000000002</v>
      </c>
      <c r="DF178" s="33">
        <v>1438.56</v>
      </c>
      <c r="DG178" s="33">
        <v>1326.4190000000001</v>
      </c>
      <c r="DH178" s="33">
        <v>1022.546</v>
      </c>
      <c r="DI178" s="33">
        <v>1926.3820000000001</v>
      </c>
      <c r="DJ178" s="33">
        <v>100.44889999999999</v>
      </c>
      <c r="DK178" s="33">
        <v>100.54170000000001</v>
      </c>
      <c r="DL178" s="33">
        <v>100.39</v>
      </c>
      <c r="DM178" s="33">
        <v>100.4948</v>
      </c>
      <c r="DN178" s="33">
        <v>100.3742</v>
      </c>
      <c r="DO178" s="33">
        <v>100.43380000000001</v>
      </c>
      <c r="DP178" s="33">
        <v>100.9216</v>
      </c>
      <c r="DQ178" s="33">
        <v>101.01349999999999</v>
      </c>
      <c r="DR178" s="104">
        <v>132462</v>
      </c>
      <c r="DS178" s="103">
        <v>26591</v>
      </c>
      <c r="DT178" s="73">
        <v>91.9</v>
      </c>
      <c r="DU178">
        <v>99.845306396484375</v>
      </c>
      <c r="DV178">
        <v>104.78896331787109</v>
      </c>
      <c r="DW178">
        <v>3282</v>
      </c>
      <c r="DX178">
        <v>131250</v>
      </c>
      <c r="DY178" s="102">
        <f t="shared" ref="DY178:DY184" si="37">DY179-(B178-B177)</f>
        <v>68.7</v>
      </c>
    </row>
    <row r="179" spans="1:130" x14ac:dyDescent="0.25">
      <c r="A179" s="1">
        <v>38169</v>
      </c>
      <c r="B179" s="33">
        <v>86.5</v>
      </c>
      <c r="C179" s="107">
        <v>2.0699999999999998</v>
      </c>
      <c r="D179" s="33">
        <v>2</v>
      </c>
      <c r="E179" s="33">
        <v>2.11</v>
      </c>
      <c r="F179" s="33">
        <v>3.33</v>
      </c>
      <c r="G179" s="33">
        <v>3.87</v>
      </c>
      <c r="H179" s="33">
        <v>4.24</v>
      </c>
      <c r="I179" s="33">
        <f t="shared" si="28"/>
        <v>2.1700000000000004</v>
      </c>
      <c r="J179" s="33">
        <f t="shared" si="29"/>
        <v>2.2400000000000002</v>
      </c>
      <c r="K179" s="33">
        <f t="shared" si="30"/>
        <v>2.1300000000000003</v>
      </c>
      <c r="L179" s="33">
        <f t="shared" si="31"/>
        <v>-6.999999999999984E-2</v>
      </c>
      <c r="M179" s="33">
        <v>98.1</v>
      </c>
      <c r="N179" s="33">
        <v>4035.02</v>
      </c>
      <c r="O179" s="33">
        <v>19.95</v>
      </c>
      <c r="P179" s="33">
        <v>648.9</v>
      </c>
      <c r="Q179" s="34">
        <f t="shared" si="32"/>
        <v>7.9327628361858187</v>
      </c>
      <c r="R179" s="60">
        <v>1397.2</v>
      </c>
      <c r="S179" s="34">
        <f t="shared" si="33"/>
        <v>1708.0684596577019</v>
      </c>
      <c r="T179" s="60">
        <v>1508.8</v>
      </c>
      <c r="U179" s="34">
        <f t="shared" si="34"/>
        <v>1844.4987775061127</v>
      </c>
      <c r="V179" s="116">
        <v>291435</v>
      </c>
      <c r="W179" s="116">
        <v>2820299</v>
      </c>
      <c r="X179" s="117">
        <v>5421035</v>
      </c>
      <c r="Y179" s="117">
        <v>933293</v>
      </c>
      <c r="Z179" s="33">
        <v>82.6</v>
      </c>
      <c r="AA179" s="33">
        <v>72.7</v>
      </c>
      <c r="AB179" s="33">
        <v>80.400000000000006</v>
      </c>
      <c r="AC179" s="33">
        <v>70.5</v>
      </c>
      <c r="AD179" s="33">
        <v>39382</v>
      </c>
      <c r="AE179" s="33">
        <v>10.6</v>
      </c>
      <c r="AF179" s="33">
        <v>204</v>
      </c>
      <c r="AG179" s="33">
        <v>80.2</v>
      </c>
      <c r="AH179" s="33">
        <v>81.8</v>
      </c>
      <c r="AI179" s="33">
        <v>82.3</v>
      </c>
      <c r="AJ179" s="33">
        <v>83.6</v>
      </c>
      <c r="AK179" s="33">
        <v>171.07433700000001</v>
      </c>
      <c r="AL179" s="33">
        <v>88</v>
      </c>
      <c r="AM179" s="123">
        <v>24.610816593604671</v>
      </c>
      <c r="AN179" s="123">
        <v>47.73131165453615</v>
      </c>
      <c r="AO179" s="123">
        <v>58.480691834060828</v>
      </c>
      <c r="AP179" s="33">
        <v>31.17</v>
      </c>
      <c r="AQ179" s="33">
        <f t="shared" si="35"/>
        <v>0.37873633049817745</v>
      </c>
      <c r="AR179" s="33">
        <v>92.3</v>
      </c>
      <c r="AS179" s="33">
        <v>98.9</v>
      </c>
      <c r="AT179" s="33">
        <v>86.1</v>
      </c>
      <c r="AU179" s="33">
        <v>97.4</v>
      </c>
      <c r="AV179" s="65">
        <v>104.1</v>
      </c>
      <c r="AW179" s="33">
        <v>91.2</v>
      </c>
      <c r="AX179" s="33">
        <v>14.4</v>
      </c>
      <c r="AY179" s="33">
        <v>9.9</v>
      </c>
      <c r="AZ179" s="33">
        <v>8.8000000000000007</v>
      </c>
      <c r="BA179" s="33">
        <v>0.8</v>
      </c>
      <c r="BB179" s="33">
        <v>89.9</v>
      </c>
      <c r="BC179" s="33">
        <v>93.3</v>
      </c>
      <c r="BD179" s="33">
        <v>86.6</v>
      </c>
      <c r="BE179" s="33">
        <v>-69.3</v>
      </c>
      <c r="BF179" s="33">
        <v>48.4</v>
      </c>
      <c r="BG179" s="33">
        <v>-20.5</v>
      </c>
      <c r="BH179" s="33">
        <v>152.4</v>
      </c>
      <c r="BI179" s="33">
        <v>4.2</v>
      </c>
      <c r="BJ179" s="34">
        <v>56.605403610000003</v>
      </c>
      <c r="BK179" s="45">
        <v>28.846137560983944</v>
      </c>
      <c r="BL179" s="33">
        <v>0.68899999999999995</v>
      </c>
      <c r="BM179" s="33">
        <v>100.39409999999999</v>
      </c>
      <c r="BN179" s="33">
        <v>100.34</v>
      </c>
      <c r="BO179" s="33">
        <v>-15.3</v>
      </c>
      <c r="BP179" s="33">
        <v>-11.2</v>
      </c>
      <c r="BQ179" s="33">
        <v>8.6999999999999993</v>
      </c>
      <c r="BR179" s="33">
        <v>5.0999999999999996</v>
      </c>
      <c r="BS179" s="33">
        <v>8.8000000000000007</v>
      </c>
      <c r="BT179" s="33">
        <v>-14.8</v>
      </c>
      <c r="BU179" s="33">
        <v>-6.3</v>
      </c>
      <c r="BV179" s="33">
        <v>7.3</v>
      </c>
      <c r="BW179" s="33">
        <v>-18.2</v>
      </c>
      <c r="BX179" s="33">
        <v>-29.1</v>
      </c>
      <c r="BY179" s="33">
        <v>-49</v>
      </c>
      <c r="BZ179" s="33">
        <v>92.9</v>
      </c>
      <c r="CA179" s="33">
        <v>-18.2</v>
      </c>
      <c r="CB179" s="33">
        <v>-15.1</v>
      </c>
      <c r="CC179" s="33">
        <v>-3.7</v>
      </c>
      <c r="CD179" s="33">
        <v>-54.7</v>
      </c>
      <c r="CE179" s="33">
        <v>-31.1</v>
      </c>
      <c r="CF179" s="33">
        <v>34.200000000000003</v>
      </c>
      <c r="CG179" s="33">
        <v>22.3</v>
      </c>
      <c r="CH179" s="33">
        <v>46.6</v>
      </c>
      <c r="CI179" s="33">
        <v>-33.200000000000003</v>
      </c>
      <c r="CJ179" s="33">
        <v>-22.8</v>
      </c>
      <c r="CK179" s="33">
        <v>-0.8</v>
      </c>
      <c r="CL179" s="33">
        <v>16</v>
      </c>
      <c r="CM179" s="33">
        <v>2730.373227</v>
      </c>
      <c r="CN179" s="33">
        <v>10334.16</v>
      </c>
      <c r="CO179" s="33">
        <v>1106.734545</v>
      </c>
      <c r="CP179" s="33">
        <v>5.0890000000000004</v>
      </c>
      <c r="CQ179" s="33">
        <v>4.57</v>
      </c>
      <c r="CR179" s="33">
        <v>91.2</v>
      </c>
      <c r="CS179" s="121">
        <f t="shared" si="27"/>
        <v>29.850000000000009</v>
      </c>
      <c r="CT179" s="33">
        <v>106.6</v>
      </c>
      <c r="CU179" s="33">
        <v>105.1</v>
      </c>
      <c r="CV179" s="33">
        <v>98</v>
      </c>
      <c r="CW179" s="33">
        <v>112.4</v>
      </c>
      <c r="CX179" s="33">
        <v>99.5</v>
      </c>
      <c r="CY179" s="33">
        <v>5.49</v>
      </c>
      <c r="CZ179" s="33">
        <v>33796.961000000003</v>
      </c>
      <c r="DA179" s="33">
        <v>3.42</v>
      </c>
      <c r="DB179" s="33">
        <v>20.99</v>
      </c>
      <c r="DC179" s="33">
        <v>34.380000000000003</v>
      </c>
      <c r="DD179" s="33">
        <v>11.06</v>
      </c>
      <c r="DE179" s="33">
        <v>7678.7020000000002</v>
      </c>
      <c r="DF179" s="33">
        <v>1565.2739999999999</v>
      </c>
      <c r="DG179" s="33">
        <v>1336.134</v>
      </c>
      <c r="DH179" s="33">
        <v>1164.664</v>
      </c>
      <c r="DI179" s="33">
        <v>1843.3910000000001</v>
      </c>
      <c r="DJ179" s="33">
        <v>100.4049</v>
      </c>
      <c r="DK179" s="33">
        <v>100.48909999999999</v>
      </c>
      <c r="DL179" s="33">
        <v>100.23</v>
      </c>
      <c r="DM179" s="33">
        <v>100.2915</v>
      </c>
      <c r="DN179" s="33">
        <v>100.34</v>
      </c>
      <c r="DO179" s="33">
        <v>100.39409999999999</v>
      </c>
      <c r="DP179" s="33">
        <v>100.8322</v>
      </c>
      <c r="DQ179" s="33">
        <v>100.9151</v>
      </c>
      <c r="DR179" s="104">
        <v>114011</v>
      </c>
      <c r="DS179" s="103">
        <v>26550</v>
      </c>
      <c r="DT179" s="73">
        <v>92.2</v>
      </c>
      <c r="DU179">
        <v>115.92539978027344</v>
      </c>
      <c r="DV179">
        <v>57.157733917236328</v>
      </c>
      <c r="DW179">
        <v>3115</v>
      </c>
      <c r="DX179">
        <v>100275</v>
      </c>
      <c r="DY179" s="102">
        <f t="shared" si="37"/>
        <v>68.2</v>
      </c>
    </row>
    <row r="180" spans="1:130" x14ac:dyDescent="0.25">
      <c r="A180" s="1">
        <v>38200</v>
      </c>
      <c r="B180" s="33">
        <v>85.7</v>
      </c>
      <c r="C180" s="107">
        <v>2.04</v>
      </c>
      <c r="D180" s="33">
        <v>2</v>
      </c>
      <c r="E180" s="33">
        <v>2.11</v>
      </c>
      <c r="F180" s="33">
        <v>3.19</v>
      </c>
      <c r="G180" s="33">
        <v>3.7</v>
      </c>
      <c r="H180" s="33">
        <v>4.08</v>
      </c>
      <c r="I180" s="33">
        <f t="shared" si="28"/>
        <v>2.04</v>
      </c>
      <c r="J180" s="33">
        <f t="shared" si="29"/>
        <v>2.08</v>
      </c>
      <c r="K180" s="33">
        <f t="shared" si="30"/>
        <v>1.9700000000000002</v>
      </c>
      <c r="L180" s="33">
        <f t="shared" si="31"/>
        <v>-4.0000000000000036E-2</v>
      </c>
      <c r="M180" s="33">
        <v>98.2</v>
      </c>
      <c r="N180" s="33">
        <v>3862.71</v>
      </c>
      <c r="O180" s="33">
        <v>19.940000000000001</v>
      </c>
      <c r="P180" s="33">
        <v>654.4</v>
      </c>
      <c r="Q180" s="34">
        <f t="shared" si="32"/>
        <v>7.9902319902319894</v>
      </c>
      <c r="R180" s="60">
        <v>1402.1</v>
      </c>
      <c r="S180" s="34">
        <f t="shared" si="33"/>
        <v>1711.9658119658116</v>
      </c>
      <c r="T180" s="60">
        <v>1512.1</v>
      </c>
      <c r="U180" s="34">
        <f t="shared" si="34"/>
        <v>1846.2759462759461</v>
      </c>
      <c r="V180" s="116">
        <v>288057</v>
      </c>
      <c r="W180" s="116">
        <v>2834917</v>
      </c>
      <c r="X180" s="117">
        <v>5438154</v>
      </c>
      <c r="Y180" s="117">
        <v>937108</v>
      </c>
      <c r="Z180" s="33">
        <v>81.7</v>
      </c>
      <c r="AA180" s="33">
        <v>71.400000000000006</v>
      </c>
      <c r="AB180" s="33">
        <v>77.099999999999994</v>
      </c>
      <c r="AC180" s="33">
        <v>68.400000000000006</v>
      </c>
      <c r="AD180" s="33">
        <v>39376</v>
      </c>
      <c r="AE180" s="33">
        <v>10.6</v>
      </c>
      <c r="AF180" s="33">
        <v>205</v>
      </c>
      <c r="AG180" s="33">
        <v>80.5</v>
      </c>
      <c r="AH180" s="33">
        <v>81.900000000000006</v>
      </c>
      <c r="AI180" s="33">
        <v>83</v>
      </c>
      <c r="AJ180" s="33">
        <v>83.9</v>
      </c>
      <c r="AK180" s="33">
        <v>171.60838799999999</v>
      </c>
      <c r="AL180" s="33">
        <v>66.8</v>
      </c>
      <c r="AM180" s="123">
        <v>26.63461355284382</v>
      </c>
      <c r="AN180" s="123">
        <v>53.281464172505466</v>
      </c>
      <c r="AO180" s="123">
        <v>55.754524244803854</v>
      </c>
      <c r="AP180" s="33">
        <v>34.630000000000003</v>
      </c>
      <c r="AQ180" s="33">
        <f t="shared" si="35"/>
        <v>0.41722891566265063</v>
      </c>
      <c r="AR180" s="33">
        <v>92.8</v>
      </c>
      <c r="AS180" s="33">
        <v>98.7</v>
      </c>
      <c r="AT180" s="33">
        <v>87.2</v>
      </c>
      <c r="AU180" s="33">
        <v>97.5</v>
      </c>
      <c r="AV180" s="65">
        <v>103</v>
      </c>
      <c r="AW180" s="33">
        <v>92.2</v>
      </c>
      <c r="AX180" s="33">
        <v>10.9</v>
      </c>
      <c r="AY180" s="33">
        <v>6.4</v>
      </c>
      <c r="AZ180" s="33">
        <v>11.6</v>
      </c>
      <c r="BA180" s="33">
        <v>2.8</v>
      </c>
      <c r="BB180" s="33">
        <v>92</v>
      </c>
      <c r="BC180" s="33">
        <v>95.1</v>
      </c>
      <c r="BD180" s="33">
        <v>89</v>
      </c>
      <c r="BE180" s="33">
        <v>-65.2</v>
      </c>
      <c r="BF180" s="33">
        <v>45.3</v>
      </c>
      <c r="BG180" s="33">
        <v>-18.399999999999999</v>
      </c>
      <c r="BH180" s="33">
        <v>154.69999999999999</v>
      </c>
      <c r="BI180" s="33">
        <v>1.3</v>
      </c>
      <c r="BJ180" s="34">
        <v>55.065351190000001</v>
      </c>
      <c r="BK180" s="45">
        <v>22.508288444425705</v>
      </c>
      <c r="BL180" s="33">
        <v>0.68200000000000005</v>
      </c>
      <c r="BM180" s="33">
        <v>100.3516</v>
      </c>
      <c r="BN180" s="33">
        <v>100.3035</v>
      </c>
      <c r="BO180" s="33">
        <v>-15.1</v>
      </c>
      <c r="BP180" s="33">
        <v>-11.7</v>
      </c>
      <c r="BQ180" s="33">
        <v>7.9</v>
      </c>
      <c r="BR180" s="33">
        <v>6.1</v>
      </c>
      <c r="BS180" s="33">
        <v>8.6999999999999993</v>
      </c>
      <c r="BT180" s="33">
        <v>-13.8</v>
      </c>
      <c r="BU180" s="33">
        <v>-5.6</v>
      </c>
      <c r="BV180" s="33">
        <v>3.9</v>
      </c>
      <c r="BW180" s="33">
        <v>-17.5</v>
      </c>
      <c r="BX180" s="33">
        <v>-29.9</v>
      </c>
      <c r="BY180" s="33">
        <v>-49</v>
      </c>
      <c r="BZ180" s="33">
        <v>92.5</v>
      </c>
      <c r="CA180" s="33">
        <v>-17.5</v>
      </c>
      <c r="CB180" s="33">
        <v>-11.3</v>
      </c>
      <c r="CC180" s="33">
        <v>-3.9</v>
      </c>
      <c r="CD180" s="33">
        <v>-52.3</v>
      </c>
      <c r="CE180" s="33">
        <v>-32.799999999999997</v>
      </c>
      <c r="CF180" s="33">
        <v>29.6</v>
      </c>
      <c r="CG180" s="33">
        <v>24.6</v>
      </c>
      <c r="CH180" s="33">
        <v>46.2</v>
      </c>
      <c r="CI180" s="33">
        <v>-29.5</v>
      </c>
      <c r="CJ180" s="33">
        <v>-21.9</v>
      </c>
      <c r="CK180" s="33">
        <v>3.4</v>
      </c>
      <c r="CL180" s="33">
        <v>19.100000000000001</v>
      </c>
      <c r="CM180" s="33">
        <v>2646.9279999999999</v>
      </c>
      <c r="CN180" s="33">
        <v>10179.16</v>
      </c>
      <c r="CO180" s="33">
        <v>1088.9349999999999</v>
      </c>
      <c r="CP180" s="33">
        <v>5.0869999999999997</v>
      </c>
      <c r="CQ180" s="33">
        <v>4.4800000000000004</v>
      </c>
      <c r="CR180" s="33">
        <v>88.2</v>
      </c>
      <c r="CS180" s="121">
        <f t="shared" si="27"/>
        <v>29.850000000000009</v>
      </c>
      <c r="CT180" s="33">
        <v>105.9</v>
      </c>
      <c r="CU180" s="33">
        <v>104.2</v>
      </c>
      <c r="CV180" s="33">
        <v>101.4</v>
      </c>
      <c r="CW180" s="33">
        <v>110.6</v>
      </c>
      <c r="CX180" s="33">
        <v>99.4</v>
      </c>
      <c r="CY180" s="33">
        <v>5.18</v>
      </c>
      <c r="CZ180" s="33">
        <v>31160.387999999999</v>
      </c>
      <c r="DA180" s="33">
        <v>3.16</v>
      </c>
      <c r="DB180" s="33">
        <v>20.52</v>
      </c>
      <c r="DC180" s="33">
        <v>35.15</v>
      </c>
      <c r="DD180" s="33">
        <v>9.92</v>
      </c>
      <c r="DE180" s="33">
        <v>6796.9359999999997</v>
      </c>
      <c r="DF180" s="33">
        <v>1431.288</v>
      </c>
      <c r="DG180" s="33">
        <v>1200.4390000000001</v>
      </c>
      <c r="DH180" s="33">
        <v>1067.1769999999999</v>
      </c>
      <c r="DI180" s="33">
        <v>1501.1590000000001</v>
      </c>
      <c r="DJ180" s="33">
        <v>100.3677</v>
      </c>
      <c r="DK180" s="33">
        <v>100.44840000000001</v>
      </c>
      <c r="DL180" s="33">
        <v>100.11</v>
      </c>
      <c r="DM180" s="33">
        <v>100.14400000000001</v>
      </c>
      <c r="DN180" s="33">
        <v>100.3035</v>
      </c>
      <c r="DO180" s="33">
        <v>100.3516</v>
      </c>
      <c r="DP180" s="33">
        <v>100.72799999999999</v>
      </c>
      <c r="DQ180" s="33">
        <v>100.8005</v>
      </c>
      <c r="DR180" s="104">
        <v>89049</v>
      </c>
      <c r="DS180" s="103">
        <v>26572</v>
      </c>
      <c r="DT180" s="73">
        <v>92.4</v>
      </c>
      <c r="DU180">
        <v>77.342399597167969</v>
      </c>
      <c r="DV180">
        <v>60.641838073730469</v>
      </c>
      <c r="DW180">
        <v>4100</v>
      </c>
      <c r="DX180">
        <v>86850</v>
      </c>
      <c r="DY180" s="102">
        <f t="shared" si="37"/>
        <v>69</v>
      </c>
    </row>
    <row r="181" spans="1:130" x14ac:dyDescent="0.25">
      <c r="A181" s="1">
        <v>38231</v>
      </c>
      <c r="B181" s="33">
        <v>85.7</v>
      </c>
      <c r="C181" s="107">
        <v>2.0499999999999998</v>
      </c>
      <c r="D181" s="33">
        <v>2</v>
      </c>
      <c r="E181" s="33">
        <v>2.12</v>
      </c>
      <c r="F181" s="33">
        <v>3.17</v>
      </c>
      <c r="G181" s="33">
        <v>3.64</v>
      </c>
      <c r="H181" s="33">
        <v>4.0199999999999996</v>
      </c>
      <c r="I181" s="33">
        <f t="shared" si="28"/>
        <v>1.9699999999999998</v>
      </c>
      <c r="J181" s="33">
        <f t="shared" si="29"/>
        <v>2.0199999999999996</v>
      </c>
      <c r="K181" s="33">
        <f t="shared" si="30"/>
        <v>1.8999999999999995</v>
      </c>
      <c r="L181" s="33">
        <f t="shared" si="31"/>
        <v>-4.9999999999999822E-2</v>
      </c>
      <c r="M181" s="33">
        <v>98.2</v>
      </c>
      <c r="N181" s="33">
        <v>3817.62</v>
      </c>
      <c r="O181" s="33">
        <v>19.77</v>
      </c>
      <c r="P181" s="33">
        <v>663.9</v>
      </c>
      <c r="Q181" s="34">
        <f t="shared" si="32"/>
        <v>8.1161369193154034</v>
      </c>
      <c r="R181" s="60">
        <v>1409.2</v>
      </c>
      <c r="S181" s="34">
        <f t="shared" si="33"/>
        <v>1722.7383863080686</v>
      </c>
      <c r="T181" s="60">
        <v>1517.3</v>
      </c>
      <c r="U181" s="34">
        <f t="shared" si="34"/>
        <v>1854.889975550122</v>
      </c>
      <c r="V181" s="116">
        <v>281483</v>
      </c>
      <c r="W181" s="116">
        <v>2868123</v>
      </c>
      <c r="X181" s="117">
        <v>5484081</v>
      </c>
      <c r="Y181" s="117">
        <v>933286</v>
      </c>
      <c r="Z181" s="33">
        <v>82.1</v>
      </c>
      <c r="AA181" s="33">
        <v>72.7</v>
      </c>
      <c r="AB181" s="33">
        <v>78.2</v>
      </c>
      <c r="AC181" s="33">
        <v>70.599999999999994</v>
      </c>
      <c r="AD181" s="33">
        <v>39386</v>
      </c>
      <c r="AE181" s="33">
        <v>10.7</v>
      </c>
      <c r="AF181" s="33">
        <v>201</v>
      </c>
      <c r="AG181" s="33">
        <v>80.5</v>
      </c>
      <c r="AH181" s="33">
        <v>81.8</v>
      </c>
      <c r="AI181" s="33">
        <v>83.1</v>
      </c>
      <c r="AJ181" s="33">
        <v>83.8</v>
      </c>
      <c r="AK181" s="33">
        <v>171.786405</v>
      </c>
      <c r="AL181" s="33">
        <v>66.8</v>
      </c>
      <c r="AM181" s="123">
        <v>26.906049104974716</v>
      </c>
      <c r="AN181" s="123">
        <v>54.367609535025402</v>
      </c>
      <c r="AO181" s="123">
        <v>56.694735446233928</v>
      </c>
      <c r="AP181" s="33">
        <v>35.46</v>
      </c>
      <c r="AQ181" s="33">
        <f t="shared" si="35"/>
        <v>0.42671480144404333</v>
      </c>
      <c r="AR181" s="33">
        <v>93.1</v>
      </c>
      <c r="AS181" s="33">
        <v>99</v>
      </c>
      <c r="AT181" s="33">
        <v>87.5</v>
      </c>
      <c r="AU181" s="33">
        <v>97.8</v>
      </c>
      <c r="AV181" s="65">
        <v>103.2</v>
      </c>
      <c r="AW181" s="33">
        <v>92.8</v>
      </c>
      <c r="AX181" s="33">
        <v>15</v>
      </c>
      <c r="AY181" s="33">
        <v>10.199999999999999</v>
      </c>
      <c r="AZ181" s="33">
        <v>9.6999999999999993</v>
      </c>
      <c r="BA181" s="33">
        <v>3</v>
      </c>
      <c r="BB181" s="33">
        <v>92.9</v>
      </c>
      <c r="BC181" s="33">
        <v>96.4</v>
      </c>
      <c r="BD181" s="33">
        <v>89.5</v>
      </c>
      <c r="BE181" s="33">
        <v>-61.5</v>
      </c>
      <c r="BF181" s="33">
        <v>38.4</v>
      </c>
      <c r="BG181" s="33">
        <v>-11.9</v>
      </c>
      <c r="BH181" s="33">
        <v>154.19999999999999</v>
      </c>
      <c r="BI181" s="33">
        <v>0.3</v>
      </c>
      <c r="BJ181" s="34">
        <v>54.133707719999997</v>
      </c>
      <c r="BK181" s="45">
        <v>19.625435996823683</v>
      </c>
      <c r="BL181" s="33">
        <v>0.65700000000000003</v>
      </c>
      <c r="BM181" s="33">
        <v>100.30419999999999</v>
      </c>
      <c r="BN181" s="33">
        <v>100.2629</v>
      </c>
      <c r="BO181" s="33">
        <v>-13.9</v>
      </c>
      <c r="BP181" s="33">
        <v>-11.7</v>
      </c>
      <c r="BQ181" s="33">
        <v>9</v>
      </c>
      <c r="BR181" s="33">
        <v>6.9</v>
      </c>
      <c r="BS181" s="33">
        <v>8.6</v>
      </c>
      <c r="BT181" s="33">
        <v>-11.9</v>
      </c>
      <c r="BU181" s="33">
        <v>-5.3</v>
      </c>
      <c r="BV181" s="33">
        <v>8.1999999999999993</v>
      </c>
      <c r="BW181" s="33">
        <v>-16</v>
      </c>
      <c r="BX181" s="33">
        <v>-28.6</v>
      </c>
      <c r="BY181" s="33">
        <v>-49</v>
      </c>
      <c r="BZ181" s="33">
        <v>94.4</v>
      </c>
      <c r="CA181" s="33">
        <v>-16</v>
      </c>
      <c r="CB181" s="33">
        <v>-10</v>
      </c>
      <c r="CC181" s="33">
        <v>-2.5</v>
      </c>
      <c r="CD181" s="33">
        <v>-51.6</v>
      </c>
      <c r="CE181" s="33">
        <v>-31.2</v>
      </c>
      <c r="CF181" s="33">
        <v>28.7</v>
      </c>
      <c r="CG181" s="33">
        <v>23.7</v>
      </c>
      <c r="CH181" s="33">
        <v>46.4</v>
      </c>
      <c r="CI181" s="33">
        <v>-28.4</v>
      </c>
      <c r="CJ181" s="33">
        <v>-20.3</v>
      </c>
      <c r="CK181" s="33">
        <v>4</v>
      </c>
      <c r="CL181" s="33">
        <v>19.3</v>
      </c>
      <c r="CM181" s="33">
        <v>2748.6519549999998</v>
      </c>
      <c r="CN181" s="33">
        <v>10168.459999999999</v>
      </c>
      <c r="CO181" s="33">
        <v>1117.473182</v>
      </c>
      <c r="CP181" s="33">
        <v>4.9219999999999997</v>
      </c>
      <c r="CQ181" s="33">
        <v>4.13</v>
      </c>
      <c r="CR181" s="33">
        <v>88</v>
      </c>
      <c r="CS181" s="121">
        <f t="shared" si="27"/>
        <v>30.549999999999997</v>
      </c>
      <c r="CT181" s="33">
        <v>105.2</v>
      </c>
      <c r="CU181" s="33">
        <v>104.7</v>
      </c>
      <c r="CV181" s="33">
        <v>101.9</v>
      </c>
      <c r="CW181" s="33">
        <v>109.9</v>
      </c>
      <c r="CX181" s="33">
        <v>98.8</v>
      </c>
      <c r="CY181" s="33">
        <v>5.2</v>
      </c>
      <c r="CZ181" s="33">
        <v>35340.896000000001</v>
      </c>
      <c r="DA181" s="33">
        <v>3.47</v>
      </c>
      <c r="DB181" s="33">
        <v>20.5</v>
      </c>
      <c r="DC181" s="33">
        <v>34.950000000000003</v>
      </c>
      <c r="DD181" s="33">
        <v>10.029999999999999</v>
      </c>
      <c r="DE181" s="33">
        <v>6887.5739999999996</v>
      </c>
      <c r="DF181" s="33">
        <v>1359.748</v>
      </c>
      <c r="DG181" s="33">
        <v>1323.8</v>
      </c>
      <c r="DH181" s="33">
        <v>1078.884</v>
      </c>
      <c r="DI181" s="33">
        <v>1679.3389999999999</v>
      </c>
      <c r="DJ181" s="33">
        <v>100.33669999999999</v>
      </c>
      <c r="DK181" s="33">
        <v>100.4179</v>
      </c>
      <c r="DL181" s="33">
        <v>100.03</v>
      </c>
      <c r="DM181" s="33">
        <v>100.0369</v>
      </c>
      <c r="DN181" s="33">
        <v>100.2629</v>
      </c>
      <c r="DO181" s="33">
        <v>100.30419999999999</v>
      </c>
      <c r="DP181" s="33">
        <v>100.6349</v>
      </c>
      <c r="DQ181" s="33">
        <v>100.6981</v>
      </c>
      <c r="DR181" s="104">
        <v>97016</v>
      </c>
      <c r="DS181" s="103">
        <v>26624</v>
      </c>
      <c r="DT181" s="73">
        <v>92.6</v>
      </c>
      <c r="DU181">
        <v>89.596771240234375</v>
      </c>
      <c r="DV181">
        <v>65.458061218261719</v>
      </c>
      <c r="DW181">
        <v>4134</v>
      </c>
      <c r="DX181">
        <v>111175</v>
      </c>
      <c r="DY181" s="102">
        <f t="shared" si="37"/>
        <v>68.2</v>
      </c>
    </row>
    <row r="182" spans="1:130" x14ac:dyDescent="0.25">
      <c r="A182" s="1">
        <v>38261</v>
      </c>
      <c r="B182" s="33">
        <v>86.4</v>
      </c>
      <c r="C182" s="107">
        <v>2.11</v>
      </c>
      <c r="D182" s="33">
        <v>2</v>
      </c>
      <c r="E182" s="33">
        <v>2.13</v>
      </c>
      <c r="F182" s="33">
        <v>3.01</v>
      </c>
      <c r="G182" s="33">
        <v>3.5</v>
      </c>
      <c r="H182" s="33">
        <v>3.89</v>
      </c>
      <c r="I182" s="33">
        <f t="shared" si="28"/>
        <v>1.7800000000000002</v>
      </c>
      <c r="J182" s="33">
        <f t="shared" si="29"/>
        <v>1.8900000000000001</v>
      </c>
      <c r="K182" s="33">
        <f t="shared" si="30"/>
        <v>1.7600000000000002</v>
      </c>
      <c r="L182" s="33">
        <f t="shared" si="31"/>
        <v>-0.10999999999999988</v>
      </c>
      <c r="M182" s="33">
        <v>98.6</v>
      </c>
      <c r="N182" s="33">
        <v>3994.96</v>
      </c>
      <c r="O182" s="33">
        <v>16.829999999999998</v>
      </c>
      <c r="P182" s="33">
        <v>662.7</v>
      </c>
      <c r="Q182" s="34">
        <f t="shared" si="32"/>
        <v>8.1014669926650367</v>
      </c>
      <c r="R182" s="60">
        <v>1410.5</v>
      </c>
      <c r="S182" s="34">
        <f t="shared" si="33"/>
        <v>1724.3276283618582</v>
      </c>
      <c r="T182" s="60">
        <v>1517.8</v>
      </c>
      <c r="U182" s="34">
        <f t="shared" si="34"/>
        <v>1855.5012224938873</v>
      </c>
      <c r="V182" s="116">
        <v>279989</v>
      </c>
      <c r="W182" s="116">
        <v>2888055</v>
      </c>
      <c r="X182" s="117">
        <v>5518152</v>
      </c>
      <c r="Y182" s="117">
        <v>943143</v>
      </c>
      <c r="Z182" s="33">
        <v>82.5</v>
      </c>
      <c r="AA182" s="33">
        <v>72.2</v>
      </c>
      <c r="AB182" s="33">
        <v>78.099999999999994</v>
      </c>
      <c r="AC182" s="33">
        <v>70.599999999999994</v>
      </c>
      <c r="AD182" s="33">
        <v>39369</v>
      </c>
      <c r="AE182" s="33">
        <v>10.7</v>
      </c>
      <c r="AF182" s="33">
        <v>202</v>
      </c>
      <c r="AG182" s="33">
        <v>80.7</v>
      </c>
      <c r="AH182" s="33">
        <v>81.8</v>
      </c>
      <c r="AI182" s="33">
        <v>84</v>
      </c>
      <c r="AJ182" s="33">
        <v>84.1</v>
      </c>
      <c r="AK182" s="33">
        <v>173.38855799999999</v>
      </c>
      <c r="AL182" s="33">
        <v>67.400000000000006</v>
      </c>
      <c r="AM182" s="123">
        <v>29.202906955399396</v>
      </c>
      <c r="AN182" s="123">
        <v>61.305316764034771</v>
      </c>
      <c r="AO182" s="123">
        <v>55.874393615018327</v>
      </c>
      <c r="AP182" s="33">
        <v>39.79</v>
      </c>
      <c r="AQ182" s="33">
        <f t="shared" si="35"/>
        <v>0.47369047619047616</v>
      </c>
      <c r="AR182" s="33">
        <v>92.7</v>
      </c>
      <c r="AS182" s="33">
        <v>98.5</v>
      </c>
      <c r="AT182" s="33">
        <v>87.2</v>
      </c>
      <c r="AU182" s="33">
        <v>97.3</v>
      </c>
      <c r="AV182" s="65">
        <v>102.3</v>
      </c>
      <c r="AW182" s="33">
        <v>92.6</v>
      </c>
      <c r="AX182" s="33">
        <v>13.4</v>
      </c>
      <c r="AY182" s="33">
        <v>9</v>
      </c>
      <c r="AZ182" s="33">
        <v>7.5</v>
      </c>
      <c r="BA182" s="33">
        <v>3.7</v>
      </c>
      <c r="BB182" s="33">
        <v>91.6</v>
      </c>
      <c r="BC182" s="33">
        <v>94.9</v>
      </c>
      <c r="BD182" s="33">
        <v>88.4</v>
      </c>
      <c r="BE182" s="33">
        <v>-58.9</v>
      </c>
      <c r="BF182" s="33">
        <v>31.3</v>
      </c>
      <c r="BG182" s="33">
        <v>-16.5</v>
      </c>
      <c r="BH182" s="33">
        <v>158.19999999999999</v>
      </c>
      <c r="BI182" s="33">
        <v>1.3</v>
      </c>
      <c r="BJ182" s="34">
        <v>52.799525430000003</v>
      </c>
      <c r="BK182" s="45">
        <v>15.513789540699804</v>
      </c>
      <c r="BL182" s="33">
        <v>0.58499999999999996</v>
      </c>
      <c r="BM182" s="33">
        <v>100.24460000000001</v>
      </c>
      <c r="BN182" s="33">
        <v>100.2116</v>
      </c>
      <c r="BO182" s="33">
        <v>-12.9</v>
      </c>
      <c r="BP182" s="33">
        <v>-11.1</v>
      </c>
      <c r="BQ182" s="33">
        <v>9.5</v>
      </c>
      <c r="BR182" s="33">
        <v>6.8</v>
      </c>
      <c r="BS182" s="33">
        <v>9.5</v>
      </c>
      <c r="BT182" s="33">
        <v>-12.3</v>
      </c>
      <c r="BU182" s="33">
        <v>-5.2</v>
      </c>
      <c r="BV182" s="33">
        <v>8.5</v>
      </c>
      <c r="BW182" s="33">
        <v>-17.100000000000001</v>
      </c>
      <c r="BX182" s="33">
        <v>-27.8</v>
      </c>
      <c r="BY182" s="33">
        <v>-49</v>
      </c>
      <c r="BZ182" s="33">
        <v>94.1</v>
      </c>
      <c r="CA182" s="33">
        <v>-17.100000000000001</v>
      </c>
      <c r="CB182" s="33">
        <v>-9.4</v>
      </c>
      <c r="CC182" s="33">
        <v>-4.2</v>
      </c>
      <c r="CD182" s="33">
        <v>-52.3</v>
      </c>
      <c r="CE182" s="33">
        <v>-34.1</v>
      </c>
      <c r="CF182" s="33">
        <v>26.1</v>
      </c>
      <c r="CG182" s="33">
        <v>24.2</v>
      </c>
      <c r="CH182" s="33">
        <v>48.4</v>
      </c>
      <c r="CI182" s="33">
        <v>-30.1</v>
      </c>
      <c r="CJ182" s="33">
        <v>-20.6</v>
      </c>
      <c r="CK182" s="33">
        <v>1.6</v>
      </c>
      <c r="CL182" s="33">
        <v>18.3</v>
      </c>
      <c r="CM182" s="33">
        <v>2794.3770479999998</v>
      </c>
      <c r="CN182" s="33">
        <v>10192.65</v>
      </c>
      <c r="CO182" s="33">
        <v>1118.068571</v>
      </c>
      <c r="CP182" s="33">
        <v>4.8550000000000004</v>
      </c>
      <c r="CQ182" s="33">
        <v>4.21</v>
      </c>
      <c r="CR182" s="33">
        <v>83.8</v>
      </c>
      <c r="CS182" s="121">
        <f t="shared" si="27"/>
        <v>31.25</v>
      </c>
      <c r="CT182" s="33">
        <v>107.6</v>
      </c>
      <c r="CU182" s="33">
        <v>105</v>
      </c>
      <c r="CV182" s="33">
        <v>102</v>
      </c>
      <c r="CW182" s="33">
        <v>108.6</v>
      </c>
      <c r="CX182" s="33">
        <v>97.5</v>
      </c>
      <c r="CY182" s="33">
        <v>5.33</v>
      </c>
      <c r="CZ182" s="33">
        <v>37316.063000000002</v>
      </c>
      <c r="DA182" s="33">
        <v>3.48</v>
      </c>
      <c r="DB182" s="33">
        <v>20.13</v>
      </c>
      <c r="DC182" s="33">
        <v>35.32</v>
      </c>
      <c r="DD182" s="33">
        <v>10.28</v>
      </c>
      <c r="DE182" s="33">
        <v>6979.5550000000003</v>
      </c>
      <c r="DF182" s="33">
        <v>1465.91</v>
      </c>
      <c r="DG182" s="33">
        <v>1285.154</v>
      </c>
      <c r="DH182" s="33">
        <v>1052.6659999999999</v>
      </c>
      <c r="DI182" s="33">
        <v>1713.4</v>
      </c>
      <c r="DJ182" s="33">
        <v>100.30419999999999</v>
      </c>
      <c r="DK182" s="33">
        <v>100.38630000000001</v>
      </c>
      <c r="DL182" s="33">
        <v>99.96</v>
      </c>
      <c r="DM182" s="33">
        <v>99.951599999999999</v>
      </c>
      <c r="DN182" s="33">
        <v>100.2116</v>
      </c>
      <c r="DO182" s="33">
        <v>100.24460000000001</v>
      </c>
      <c r="DP182" s="33">
        <v>100.57089999999999</v>
      </c>
      <c r="DQ182" s="33">
        <v>100.6277</v>
      </c>
      <c r="DR182" s="104">
        <v>106229</v>
      </c>
      <c r="DS182" s="103">
        <v>26531</v>
      </c>
      <c r="DT182" s="73">
        <v>93.4</v>
      </c>
      <c r="DU182">
        <v>120.00146484375</v>
      </c>
      <c r="DV182">
        <v>115.984375</v>
      </c>
      <c r="DW182">
        <v>4112</v>
      </c>
      <c r="DX182">
        <v>100150</v>
      </c>
      <c r="DY182" s="102">
        <f t="shared" si="37"/>
        <v>68.2</v>
      </c>
    </row>
    <row r="183" spans="1:130" x14ac:dyDescent="0.25">
      <c r="A183" s="1">
        <v>38292</v>
      </c>
      <c r="B183" s="33">
        <v>85.2</v>
      </c>
      <c r="C183" s="107">
        <v>2.09</v>
      </c>
      <c r="D183" s="33">
        <v>2</v>
      </c>
      <c r="E183" s="33">
        <v>2.15</v>
      </c>
      <c r="F183" s="33">
        <v>2.9</v>
      </c>
      <c r="G183" s="33">
        <v>3.38</v>
      </c>
      <c r="H183" s="33">
        <v>3.78</v>
      </c>
      <c r="I183" s="33">
        <f t="shared" si="28"/>
        <v>1.69</v>
      </c>
      <c r="J183" s="33">
        <f t="shared" si="29"/>
        <v>1.7799999999999998</v>
      </c>
      <c r="K183" s="33">
        <f t="shared" si="30"/>
        <v>1.63</v>
      </c>
      <c r="L183" s="33">
        <f t="shared" si="31"/>
        <v>-8.9999999999999858E-2</v>
      </c>
      <c r="M183" s="33">
        <v>98.6</v>
      </c>
      <c r="N183" s="33">
        <v>4012.64</v>
      </c>
      <c r="O183" s="33">
        <v>19.23</v>
      </c>
      <c r="P183" s="33">
        <v>671.2</v>
      </c>
      <c r="Q183" s="34">
        <f t="shared" si="32"/>
        <v>8.2053789731051356</v>
      </c>
      <c r="R183" s="60">
        <v>1410.8</v>
      </c>
      <c r="S183" s="34">
        <f t="shared" si="33"/>
        <v>1724.6943765281173</v>
      </c>
      <c r="T183" s="60">
        <v>1518</v>
      </c>
      <c r="U183" s="34">
        <f t="shared" si="34"/>
        <v>1855.7457212713939</v>
      </c>
      <c r="V183" s="116">
        <v>290434</v>
      </c>
      <c r="W183" s="116">
        <v>2913177</v>
      </c>
      <c r="X183" s="117">
        <v>5542737</v>
      </c>
      <c r="Y183" s="117">
        <v>941944</v>
      </c>
      <c r="Z183" s="33">
        <v>82.4</v>
      </c>
      <c r="AA183" s="33">
        <v>71.099999999999994</v>
      </c>
      <c r="AB183" s="33">
        <v>78.099999999999994</v>
      </c>
      <c r="AC183" s="33">
        <v>68.400000000000006</v>
      </c>
      <c r="AD183" s="33">
        <v>39361</v>
      </c>
      <c r="AE183" s="33">
        <v>10.8</v>
      </c>
      <c r="AF183" s="33">
        <v>201</v>
      </c>
      <c r="AG183" s="33">
        <v>80.599999999999994</v>
      </c>
      <c r="AH183" s="33">
        <v>81.8</v>
      </c>
      <c r="AI183" s="33">
        <v>83.2</v>
      </c>
      <c r="AJ183" s="33">
        <v>84.1</v>
      </c>
      <c r="AK183" s="33">
        <v>172.67649</v>
      </c>
      <c r="AL183" s="33">
        <v>104.1</v>
      </c>
      <c r="AM183" s="123">
        <v>28.606929262432057</v>
      </c>
      <c r="AN183" s="123">
        <v>54.630086280145967</v>
      </c>
      <c r="AO183" s="123">
        <v>54.257449748345778</v>
      </c>
      <c r="AP183" s="33">
        <v>33.659999999999997</v>
      </c>
      <c r="AQ183" s="33">
        <f t="shared" si="35"/>
        <v>0.40456730769230764</v>
      </c>
      <c r="AR183" s="33">
        <v>91.7</v>
      </c>
      <c r="AS183" s="33">
        <v>96.7</v>
      </c>
      <c r="AT183" s="33">
        <v>87</v>
      </c>
      <c r="AU183" s="33">
        <v>96.9</v>
      </c>
      <c r="AV183" s="65">
        <v>101.3</v>
      </c>
      <c r="AW183" s="33">
        <v>92.6</v>
      </c>
      <c r="AX183" s="33">
        <v>11.4</v>
      </c>
      <c r="AY183" s="33">
        <v>6.8</v>
      </c>
      <c r="AZ183" s="33">
        <v>7.1</v>
      </c>
      <c r="BA183" s="33">
        <v>0.7</v>
      </c>
      <c r="BB183" s="33">
        <v>88.6</v>
      </c>
      <c r="BC183" s="33">
        <v>92.1</v>
      </c>
      <c r="BD183" s="33">
        <v>85.3</v>
      </c>
      <c r="BE183" s="33">
        <v>-57.8</v>
      </c>
      <c r="BF183" s="33">
        <v>13.9</v>
      </c>
      <c r="BG183" s="33">
        <v>-17</v>
      </c>
      <c r="BH183" s="33">
        <v>159.30000000000001</v>
      </c>
      <c r="BI183" s="33">
        <v>3.9</v>
      </c>
      <c r="BJ183" s="34">
        <v>49.851898910000003</v>
      </c>
      <c r="BK183" s="45">
        <v>9.1585634875556057</v>
      </c>
      <c r="BL183" s="33">
        <v>0.53300000000000003</v>
      </c>
      <c r="BM183" s="33">
        <v>100.1765</v>
      </c>
      <c r="BN183" s="33">
        <v>100.15309999999999</v>
      </c>
      <c r="BO183" s="33">
        <v>-13.1</v>
      </c>
      <c r="BP183" s="33">
        <v>-12.1</v>
      </c>
      <c r="BQ183" s="33">
        <v>9.4</v>
      </c>
      <c r="BR183" s="33">
        <v>4.3</v>
      </c>
      <c r="BS183" s="33">
        <v>9.1999999999999993</v>
      </c>
      <c r="BT183" s="33">
        <v>-12.6</v>
      </c>
      <c r="BU183" s="33">
        <v>-6</v>
      </c>
      <c r="BV183" s="33">
        <v>10.3</v>
      </c>
      <c r="BW183" s="33">
        <v>-17</v>
      </c>
      <c r="BX183" s="33">
        <v>-27.3</v>
      </c>
      <c r="BY183" s="33">
        <v>-48.2</v>
      </c>
      <c r="BZ183" s="33">
        <v>94.4</v>
      </c>
      <c r="CA183" s="33">
        <v>-17</v>
      </c>
      <c r="CB183" s="33">
        <v>-9.3000000000000007</v>
      </c>
      <c r="CC183" s="33">
        <v>-4</v>
      </c>
      <c r="CD183" s="33">
        <v>-55.1</v>
      </c>
      <c r="CE183" s="33">
        <v>-34</v>
      </c>
      <c r="CF183" s="33">
        <v>25.8</v>
      </c>
      <c r="CG183" s="33">
        <v>21.5</v>
      </c>
      <c r="CH183" s="33">
        <v>49.7</v>
      </c>
      <c r="CI183" s="33">
        <v>-29.7</v>
      </c>
      <c r="CJ183" s="33">
        <v>-20.9</v>
      </c>
      <c r="CK183" s="33">
        <v>3</v>
      </c>
      <c r="CL183" s="33">
        <v>20</v>
      </c>
      <c r="CM183" s="33">
        <v>2882.6955910000001</v>
      </c>
      <c r="CN183" s="33">
        <v>10054.39</v>
      </c>
      <c r="CO183" s="33">
        <v>1169.5195450000001</v>
      </c>
      <c r="CP183" s="33">
        <v>4.7350000000000003</v>
      </c>
      <c r="CQ183" s="33">
        <v>4.1100000000000003</v>
      </c>
      <c r="CR183" s="33">
        <v>85.2</v>
      </c>
      <c r="CS183" s="121">
        <f t="shared" si="27"/>
        <v>28.850000000000009</v>
      </c>
      <c r="CT183" s="33">
        <v>104.7</v>
      </c>
      <c r="CU183" s="33">
        <v>103.9</v>
      </c>
      <c r="CV183" s="33">
        <v>102.1</v>
      </c>
      <c r="CW183" s="33">
        <v>109.8</v>
      </c>
      <c r="CX183" s="33">
        <v>93.7</v>
      </c>
      <c r="CY183" s="33">
        <v>5.21</v>
      </c>
      <c r="CZ183" s="33">
        <v>39186.775000000001</v>
      </c>
      <c r="DA183" s="33">
        <v>3.49</v>
      </c>
      <c r="DB183" s="33">
        <v>21</v>
      </c>
      <c r="DC183" s="33">
        <v>36.159999999999997</v>
      </c>
      <c r="DD183" s="33">
        <v>10.69</v>
      </c>
      <c r="DE183" s="33">
        <v>7032.7950000000001</v>
      </c>
      <c r="DF183" s="33">
        <v>1603.83</v>
      </c>
      <c r="DG183" s="33">
        <v>1365.556</v>
      </c>
      <c r="DH183" s="33">
        <v>1066.3810000000001</v>
      </c>
      <c r="DI183" s="33">
        <v>1681.9949999999999</v>
      </c>
      <c r="DJ183" s="33">
        <v>100.2677</v>
      </c>
      <c r="DK183" s="33">
        <v>100.3473</v>
      </c>
      <c r="DL183" s="33">
        <v>99.9</v>
      </c>
      <c r="DM183" s="33">
        <v>99.878200000000007</v>
      </c>
      <c r="DN183" s="33">
        <v>100.15309999999999</v>
      </c>
      <c r="DO183" s="33">
        <v>100.1765</v>
      </c>
      <c r="DP183" s="33">
        <v>100.5448</v>
      </c>
      <c r="DQ183" s="33">
        <v>100.5989</v>
      </c>
      <c r="DR183" s="104">
        <v>111598</v>
      </c>
      <c r="DS183" s="103">
        <v>26501</v>
      </c>
      <c r="DT183" s="73">
        <v>93.2</v>
      </c>
      <c r="DU183">
        <v>127.93832397460938</v>
      </c>
      <c r="DV183">
        <v>68.121673583984375</v>
      </c>
      <c r="DW183">
        <v>4928</v>
      </c>
      <c r="DX183">
        <v>77125</v>
      </c>
      <c r="DY183" s="102">
        <f t="shared" si="37"/>
        <v>68.900000000000006</v>
      </c>
    </row>
    <row r="184" spans="1:130" x14ac:dyDescent="0.25">
      <c r="A184" s="1">
        <v>38322</v>
      </c>
      <c r="B184" s="33">
        <v>85.3</v>
      </c>
      <c r="C184" s="107">
        <v>2.0499999999999998</v>
      </c>
      <c r="D184" s="33">
        <v>2</v>
      </c>
      <c r="E184" s="33">
        <v>2.16</v>
      </c>
      <c r="F184" s="33">
        <v>2.78</v>
      </c>
      <c r="G184" s="33">
        <v>3.2</v>
      </c>
      <c r="H184" s="33">
        <v>3.58</v>
      </c>
      <c r="I184" s="33">
        <f t="shared" si="28"/>
        <v>1.5300000000000002</v>
      </c>
      <c r="J184" s="33">
        <f t="shared" si="29"/>
        <v>1.58</v>
      </c>
      <c r="K184" s="33">
        <f t="shared" si="30"/>
        <v>1.42</v>
      </c>
      <c r="L184" s="33">
        <f t="shared" si="31"/>
        <v>-4.9999999999999822E-2</v>
      </c>
      <c r="M184" s="33">
        <v>99.7</v>
      </c>
      <c r="N184" s="33">
        <v>4186.03</v>
      </c>
      <c r="O184" s="33">
        <v>16.32</v>
      </c>
      <c r="P184" s="33">
        <v>653.20000000000005</v>
      </c>
      <c r="Q184" s="34">
        <f t="shared" si="32"/>
        <v>7.9755799755799757</v>
      </c>
      <c r="R184" s="60">
        <v>1410.6</v>
      </c>
      <c r="S184" s="34">
        <f t="shared" si="33"/>
        <v>1722.3443223443223</v>
      </c>
      <c r="T184" s="60">
        <v>1514.3</v>
      </c>
      <c r="U184" s="34">
        <f t="shared" si="34"/>
        <v>1848.9621489621488</v>
      </c>
      <c r="V184" s="116">
        <v>289889</v>
      </c>
      <c r="W184" s="116">
        <v>2905953</v>
      </c>
      <c r="X184" s="117">
        <v>5573540</v>
      </c>
      <c r="Y184" s="117">
        <v>966830</v>
      </c>
      <c r="Z184" s="33">
        <v>82.1</v>
      </c>
      <c r="AA184" s="33">
        <v>75.7</v>
      </c>
      <c r="AB184" s="33">
        <v>79.3</v>
      </c>
      <c r="AC184" s="33">
        <v>76.099999999999994</v>
      </c>
      <c r="AD184" s="33">
        <v>39325</v>
      </c>
      <c r="AE184" s="33">
        <v>10.9</v>
      </c>
      <c r="AF184" s="33">
        <v>204</v>
      </c>
      <c r="AG184" s="33">
        <v>80.8</v>
      </c>
      <c r="AH184" s="33">
        <v>81.900000000000006</v>
      </c>
      <c r="AI184" s="33">
        <v>82.7</v>
      </c>
      <c r="AJ184" s="33">
        <v>83.9</v>
      </c>
      <c r="AK184" s="33">
        <v>172.85450700000001</v>
      </c>
      <c r="AL184" s="33">
        <v>67</v>
      </c>
      <c r="AM184" s="123">
        <v>26.277374762234007</v>
      </c>
      <c r="AN184" s="123">
        <v>48.524052897696421</v>
      </c>
      <c r="AO184" s="123">
        <v>53.981096014483235</v>
      </c>
      <c r="AP184" s="33">
        <v>29.82</v>
      </c>
      <c r="AQ184" s="33">
        <f t="shared" si="35"/>
        <v>0.36058041112454653</v>
      </c>
      <c r="AR184" s="33">
        <v>92.6</v>
      </c>
      <c r="AS184" s="33">
        <v>97.8</v>
      </c>
      <c r="AT184" s="33">
        <v>87.7</v>
      </c>
      <c r="AU184" s="33">
        <v>97</v>
      </c>
      <c r="AV184" s="65">
        <v>101.2</v>
      </c>
      <c r="AW184" s="33">
        <v>92.9</v>
      </c>
      <c r="AX184" s="33">
        <v>10.9</v>
      </c>
      <c r="AY184" s="33">
        <v>8.9</v>
      </c>
      <c r="AZ184" s="33">
        <v>4.3</v>
      </c>
      <c r="BA184" s="33">
        <v>-0.1</v>
      </c>
      <c r="BB184" s="33">
        <v>90</v>
      </c>
      <c r="BC184" s="33">
        <v>93.7</v>
      </c>
      <c r="BD184" s="33">
        <v>86.5</v>
      </c>
      <c r="BE184" s="33">
        <v>-64.2</v>
      </c>
      <c r="BF184" s="33">
        <v>14.4</v>
      </c>
      <c r="BG184" s="33">
        <v>-18.3</v>
      </c>
      <c r="BH184" s="33">
        <v>157.1</v>
      </c>
      <c r="BI184" s="33">
        <v>10.8</v>
      </c>
      <c r="BJ184" s="34">
        <v>51.68919957</v>
      </c>
      <c r="BK184" s="45">
        <v>14.202417010473365</v>
      </c>
      <c r="BL184" s="33">
        <v>0.51700000000000002</v>
      </c>
      <c r="BM184" s="33">
        <v>100.0984</v>
      </c>
      <c r="BN184" s="33">
        <v>100.086</v>
      </c>
      <c r="BO184" s="33">
        <v>-10.6</v>
      </c>
      <c r="BP184" s="33">
        <v>-12.8</v>
      </c>
      <c r="BQ184" s="33">
        <v>10</v>
      </c>
      <c r="BR184" s="33">
        <v>4.2</v>
      </c>
      <c r="BS184" s="33">
        <v>12.7</v>
      </c>
      <c r="BT184" s="33">
        <v>-15.6</v>
      </c>
      <c r="BU184" s="33">
        <v>-5.5</v>
      </c>
      <c r="BV184" s="33">
        <v>3.2</v>
      </c>
      <c r="BW184" s="33">
        <v>-16.399999999999999</v>
      </c>
      <c r="BX184" s="33">
        <v>-23.4</v>
      </c>
      <c r="BY184" s="33">
        <v>-48.6</v>
      </c>
      <c r="BZ184" s="33">
        <v>92.6</v>
      </c>
      <c r="CA184" s="33">
        <v>-16.399999999999999</v>
      </c>
      <c r="CB184" s="33">
        <v>-10.1</v>
      </c>
      <c r="CC184" s="33">
        <v>-3.6</v>
      </c>
      <c r="CD184" s="33">
        <v>-51.7</v>
      </c>
      <c r="CE184" s="33">
        <v>-34.1</v>
      </c>
      <c r="CF184" s="33">
        <v>22.8</v>
      </c>
      <c r="CG184" s="33">
        <v>19.600000000000001</v>
      </c>
      <c r="CH184" s="33">
        <v>49.5</v>
      </c>
      <c r="CI184" s="33">
        <v>-28.2</v>
      </c>
      <c r="CJ184" s="33">
        <v>-17.8</v>
      </c>
      <c r="CK184" s="33">
        <v>3.8</v>
      </c>
      <c r="CL184" s="33">
        <v>19.8</v>
      </c>
      <c r="CM184" s="33">
        <v>2926.0002610000001</v>
      </c>
      <c r="CN184" s="33">
        <v>10590.21</v>
      </c>
      <c r="CO184" s="33">
        <v>1199.685217</v>
      </c>
      <c r="CP184" s="33">
        <v>4.6260000000000003</v>
      </c>
      <c r="CQ184" s="33">
        <v>4.38</v>
      </c>
      <c r="CR184" s="33">
        <v>90.9</v>
      </c>
      <c r="CS184" s="121">
        <f t="shared" si="27"/>
        <v>31.75</v>
      </c>
      <c r="CT184" s="33">
        <v>108.2</v>
      </c>
      <c r="CU184" s="33">
        <v>104.1</v>
      </c>
      <c r="CV184" s="33">
        <v>102.5</v>
      </c>
      <c r="CW184" s="33">
        <v>112.8</v>
      </c>
      <c r="CX184" s="33">
        <v>98.6</v>
      </c>
      <c r="CY184" s="33">
        <v>5.32</v>
      </c>
      <c r="CZ184" s="33">
        <v>32511.826000000001</v>
      </c>
      <c r="DA184" s="33">
        <v>3.33</v>
      </c>
      <c r="DB184" s="33">
        <v>20.28</v>
      </c>
      <c r="DC184" s="33">
        <v>33.840000000000003</v>
      </c>
      <c r="DD184" s="33">
        <v>10.34</v>
      </c>
      <c r="DE184" s="33">
        <v>7260.1440000000002</v>
      </c>
      <c r="DF184" s="33">
        <v>1641.0170000000001</v>
      </c>
      <c r="DG184" s="33">
        <v>1546.4949999999999</v>
      </c>
      <c r="DH184" s="33">
        <v>1057.885</v>
      </c>
      <c r="DI184" s="33">
        <v>1707.9780000000001</v>
      </c>
      <c r="DJ184" s="33">
        <v>100.2242</v>
      </c>
      <c r="DK184" s="33">
        <v>100.2954</v>
      </c>
      <c r="DL184" s="33">
        <v>99.85</v>
      </c>
      <c r="DM184" s="33">
        <v>99.806899999999999</v>
      </c>
      <c r="DN184" s="33">
        <v>100.086</v>
      </c>
      <c r="DO184" s="33">
        <v>100.0984</v>
      </c>
      <c r="DP184" s="33">
        <v>100.5325</v>
      </c>
      <c r="DQ184" s="33">
        <v>100.5855</v>
      </c>
      <c r="DR184" s="104">
        <v>110533</v>
      </c>
      <c r="DS184" s="103">
        <v>26460</v>
      </c>
      <c r="DT184" s="73">
        <v>92.8</v>
      </c>
      <c r="DU184">
        <v>83.334968566894531</v>
      </c>
      <c r="DV184">
        <v>54.962207794189453</v>
      </c>
      <c r="DW184">
        <v>6092</v>
      </c>
      <c r="DX184">
        <v>58700</v>
      </c>
      <c r="DY184" s="102">
        <f t="shared" si="37"/>
        <v>67.7</v>
      </c>
    </row>
    <row r="185" spans="1:130" x14ac:dyDescent="0.25">
      <c r="A185" s="1">
        <v>38353</v>
      </c>
      <c r="B185" s="33">
        <v>87.1</v>
      </c>
      <c r="C185" s="107">
        <v>2.08</v>
      </c>
      <c r="D185" s="33">
        <v>2</v>
      </c>
      <c r="E185" s="33">
        <v>2.16</v>
      </c>
      <c r="F185" s="33">
        <v>2.84</v>
      </c>
      <c r="G185" s="33">
        <v>3.23</v>
      </c>
      <c r="H185" s="33">
        <v>3.56</v>
      </c>
      <c r="I185" s="33">
        <f t="shared" si="28"/>
        <v>1.48</v>
      </c>
      <c r="J185" s="33">
        <f t="shared" si="29"/>
        <v>1.56</v>
      </c>
      <c r="K185" s="33">
        <f t="shared" si="30"/>
        <v>1.4</v>
      </c>
      <c r="L185" s="33">
        <f t="shared" si="31"/>
        <v>-8.0000000000000071E-2</v>
      </c>
      <c r="M185" s="33">
        <v>99.4</v>
      </c>
      <c r="N185" s="33">
        <v>4291.53</v>
      </c>
      <c r="O185" s="33">
        <v>15.13</v>
      </c>
      <c r="P185" s="33">
        <v>676.8</v>
      </c>
      <c r="Q185" s="34">
        <f t="shared" si="32"/>
        <v>8.2637362637362628</v>
      </c>
      <c r="R185" s="60">
        <v>1427</v>
      </c>
      <c r="S185" s="34">
        <f t="shared" si="33"/>
        <v>1742.3687423687422</v>
      </c>
      <c r="T185" s="60">
        <v>1532.9</v>
      </c>
      <c r="U185" s="34">
        <f t="shared" si="34"/>
        <v>1871.6727716727719</v>
      </c>
      <c r="V185" s="116">
        <v>283330</v>
      </c>
      <c r="W185" s="116">
        <v>2963795</v>
      </c>
      <c r="X185" s="117">
        <v>5623288</v>
      </c>
      <c r="Y185" s="117">
        <v>950200</v>
      </c>
      <c r="Z185" s="33">
        <v>85.1</v>
      </c>
      <c r="AA185" s="33">
        <v>73.599999999999994</v>
      </c>
      <c r="AB185" s="33">
        <v>82.2</v>
      </c>
      <c r="AC185" s="33">
        <v>71.599999999999994</v>
      </c>
      <c r="AD185" s="33">
        <v>39274</v>
      </c>
      <c r="AE185" s="33">
        <v>11.6</v>
      </c>
      <c r="AF185" s="33">
        <v>214</v>
      </c>
      <c r="AG185" s="33">
        <v>80.8</v>
      </c>
      <c r="AH185" s="33">
        <v>81.900000000000006</v>
      </c>
      <c r="AI185" s="33">
        <v>83.5</v>
      </c>
      <c r="AJ185" s="33">
        <v>84.1</v>
      </c>
      <c r="AK185" s="33">
        <v>174.27864299999999</v>
      </c>
      <c r="AL185" s="33">
        <v>66.8</v>
      </c>
      <c r="AM185" s="123">
        <v>23.947820262035957</v>
      </c>
      <c r="AN185" s="123">
        <v>54.572179834801844</v>
      </c>
      <c r="AO185" s="123">
        <v>54.073847038563102</v>
      </c>
      <c r="AP185" s="33">
        <v>33.71</v>
      </c>
      <c r="AQ185" s="33">
        <f t="shared" si="35"/>
        <v>0.40371257485029943</v>
      </c>
      <c r="AR185" s="33">
        <v>92.9</v>
      </c>
      <c r="AS185" s="33">
        <v>97.6</v>
      </c>
      <c r="AT185" s="33">
        <v>88.4</v>
      </c>
      <c r="AU185" s="33">
        <v>96.8</v>
      </c>
      <c r="AV185" s="65">
        <v>100.8</v>
      </c>
      <c r="AW185" s="33">
        <v>93</v>
      </c>
      <c r="AX185" s="33">
        <v>9.8000000000000007</v>
      </c>
      <c r="AY185" s="33">
        <v>1.4</v>
      </c>
      <c r="AZ185" s="33">
        <v>5.5</v>
      </c>
      <c r="BA185" s="33">
        <v>3.5</v>
      </c>
      <c r="BB185" s="33">
        <v>92.3</v>
      </c>
      <c r="BC185" s="33">
        <v>95.7</v>
      </c>
      <c r="BD185" s="33">
        <v>89.1</v>
      </c>
      <c r="BE185" s="33">
        <v>-61.2</v>
      </c>
      <c r="BF185" s="33">
        <v>26.9</v>
      </c>
      <c r="BG185" s="33">
        <v>-5.9</v>
      </c>
      <c r="BH185" s="33">
        <v>155.19999999999999</v>
      </c>
      <c r="BI185" s="33">
        <v>21.4</v>
      </c>
      <c r="BJ185" s="34">
        <v>52.36717488</v>
      </c>
      <c r="BK185" s="45">
        <v>21.458023263695186</v>
      </c>
      <c r="BL185" s="33">
        <v>0.53400000000000003</v>
      </c>
      <c r="BM185" s="33">
        <v>99.988600000000005</v>
      </c>
      <c r="BN185" s="33">
        <v>99.991699999999994</v>
      </c>
      <c r="BO185" s="33">
        <v>-11.2</v>
      </c>
      <c r="BP185" s="33">
        <v>-11.3</v>
      </c>
      <c r="BQ185" s="33">
        <v>8.8000000000000007</v>
      </c>
      <c r="BR185" s="33">
        <v>3</v>
      </c>
      <c r="BS185" s="33">
        <v>11.3</v>
      </c>
      <c r="BT185" s="33">
        <v>-16</v>
      </c>
      <c r="BU185" s="33">
        <v>-5.6</v>
      </c>
      <c r="BV185" s="33">
        <v>7.7</v>
      </c>
      <c r="BW185" s="33">
        <v>-14.4</v>
      </c>
      <c r="BX185" s="33">
        <v>-24.1</v>
      </c>
      <c r="BY185" s="33">
        <v>-47.4</v>
      </c>
      <c r="BZ185" s="33">
        <v>94.8</v>
      </c>
      <c r="CA185" s="33">
        <v>-14.4</v>
      </c>
      <c r="CB185" s="33">
        <v>-9</v>
      </c>
      <c r="CC185" s="33">
        <v>0.6</v>
      </c>
      <c r="CD185" s="33">
        <v>-46.9</v>
      </c>
      <c r="CE185" s="33">
        <v>-30.2</v>
      </c>
      <c r="CF185" s="33">
        <v>20.9</v>
      </c>
      <c r="CG185" s="33">
        <v>21.7</v>
      </c>
      <c r="CH185" s="33">
        <v>48.3</v>
      </c>
      <c r="CI185" s="33">
        <v>-26.1</v>
      </c>
      <c r="CJ185" s="33">
        <v>-19.100000000000001</v>
      </c>
      <c r="CK185" s="33">
        <v>6</v>
      </c>
      <c r="CL185" s="33">
        <v>21.5</v>
      </c>
      <c r="CM185" s="33">
        <v>2957.0262379999999</v>
      </c>
      <c r="CN185" s="33">
        <v>10729.43</v>
      </c>
      <c r="CO185" s="33">
        <v>1181.5557140000001</v>
      </c>
      <c r="CP185" s="33">
        <v>4.5730000000000004</v>
      </c>
      <c r="CQ185" s="33">
        <v>4.2300000000000004</v>
      </c>
      <c r="CR185" s="33">
        <v>85.7</v>
      </c>
      <c r="CS185" s="121">
        <f t="shared" ref="CS185:CS245" si="38">+CS186+(CT185-CT184)</f>
        <v>28.25</v>
      </c>
      <c r="CT185" s="33">
        <v>105.4</v>
      </c>
      <c r="CU185" s="33">
        <v>105.4</v>
      </c>
      <c r="CV185" s="33">
        <v>102.8</v>
      </c>
      <c r="CW185" s="33">
        <v>108.6</v>
      </c>
      <c r="CX185" s="33">
        <v>97.8</v>
      </c>
      <c r="CY185" s="33">
        <v>5.52</v>
      </c>
      <c r="CZ185" s="33">
        <v>34300.686999999998</v>
      </c>
      <c r="DA185" s="33">
        <v>3.37</v>
      </c>
      <c r="DB185" s="33">
        <v>20.8</v>
      </c>
      <c r="DC185" s="33">
        <v>35.92</v>
      </c>
      <c r="DD185" s="33">
        <v>11.15</v>
      </c>
      <c r="DE185" s="33">
        <v>7369.6890000000003</v>
      </c>
      <c r="DF185" s="33">
        <v>1744.027</v>
      </c>
      <c r="DG185" s="33">
        <v>1211.085</v>
      </c>
      <c r="DH185" s="33">
        <v>1145.74</v>
      </c>
      <c r="DI185" s="33">
        <v>1589.63</v>
      </c>
      <c r="DJ185" s="33">
        <v>100.17440000000001</v>
      </c>
      <c r="DK185" s="33">
        <v>100.23050000000001</v>
      </c>
      <c r="DL185" s="33">
        <v>99.79</v>
      </c>
      <c r="DM185" s="33">
        <v>99.739000000000004</v>
      </c>
      <c r="DN185" s="33">
        <v>99.991699999999994</v>
      </c>
      <c r="DO185" s="33">
        <v>99.988600000000005</v>
      </c>
      <c r="DP185" s="33">
        <v>100.5021</v>
      </c>
      <c r="DQ185" s="33">
        <v>100.5519</v>
      </c>
      <c r="DR185" s="104">
        <v>116526</v>
      </c>
      <c r="DS185" s="103">
        <v>26358</v>
      </c>
      <c r="DT185" s="73">
        <v>92.6</v>
      </c>
      <c r="DU185">
        <v>58.946617126464844</v>
      </c>
      <c r="DV185">
        <v>48.379840850830078</v>
      </c>
      <c r="DW185">
        <v>4598</v>
      </c>
      <c r="DX185">
        <v>48875</v>
      </c>
      <c r="DY185">
        <v>67.8</v>
      </c>
      <c r="DZ185" t="s">
        <v>312</v>
      </c>
    </row>
    <row r="186" spans="1:130" x14ac:dyDescent="0.25">
      <c r="A186" s="1">
        <v>38384</v>
      </c>
      <c r="B186" s="33">
        <v>85.8</v>
      </c>
      <c r="C186" s="107">
        <v>2.06</v>
      </c>
      <c r="D186" s="33">
        <v>2</v>
      </c>
      <c r="E186" s="33">
        <v>2.15</v>
      </c>
      <c r="F186" s="33">
        <v>2.86</v>
      </c>
      <c r="G186" s="33">
        <v>3.23</v>
      </c>
      <c r="H186" s="33">
        <v>3.54</v>
      </c>
      <c r="I186" s="33">
        <f t="shared" si="28"/>
        <v>1.48</v>
      </c>
      <c r="J186" s="33">
        <f t="shared" si="29"/>
        <v>1.54</v>
      </c>
      <c r="K186" s="33">
        <f t="shared" si="30"/>
        <v>1.3900000000000001</v>
      </c>
      <c r="L186" s="33">
        <f t="shared" si="31"/>
        <v>-6.0000000000000053E-2</v>
      </c>
      <c r="M186" s="33">
        <v>99.1</v>
      </c>
      <c r="N186" s="33">
        <v>4279.97</v>
      </c>
      <c r="O186" s="33">
        <v>12.91</v>
      </c>
      <c r="P186" s="33">
        <v>684.4</v>
      </c>
      <c r="Q186" s="34">
        <f t="shared" si="32"/>
        <v>8.3565323565323553</v>
      </c>
      <c r="R186" s="60">
        <v>1431.6</v>
      </c>
      <c r="S186" s="34">
        <f t="shared" si="33"/>
        <v>1747.9853479853477</v>
      </c>
      <c r="T186" s="60">
        <v>1542.5</v>
      </c>
      <c r="U186" s="34">
        <f t="shared" si="34"/>
        <v>1883.3943833943831</v>
      </c>
      <c r="V186" s="116">
        <v>286502</v>
      </c>
      <c r="W186" s="116">
        <v>2990384</v>
      </c>
      <c r="X186" s="117">
        <v>5653315</v>
      </c>
      <c r="Y186" s="117">
        <v>954799</v>
      </c>
      <c r="Z186" s="33">
        <v>82.6</v>
      </c>
      <c r="AA186" s="33">
        <v>72.3</v>
      </c>
      <c r="AB186" s="33">
        <v>82.6</v>
      </c>
      <c r="AC186" s="33">
        <v>70</v>
      </c>
      <c r="AD186" s="33">
        <v>39274</v>
      </c>
      <c r="AE186" s="33">
        <v>11.9</v>
      </c>
      <c r="AF186" s="33">
        <v>219</v>
      </c>
      <c r="AG186" s="33">
        <v>80.8</v>
      </c>
      <c r="AH186" s="33">
        <v>81.900000000000006</v>
      </c>
      <c r="AI186" s="33">
        <v>83.6</v>
      </c>
      <c r="AJ186" s="33">
        <v>84.2</v>
      </c>
      <c r="AK186" s="33">
        <v>174.81269399999999</v>
      </c>
      <c r="AL186" s="33">
        <v>66.900000000000006</v>
      </c>
      <c r="AM186" s="123">
        <v>28.737384314443151</v>
      </c>
      <c r="AN186" s="123">
        <v>57.127179851077088</v>
      </c>
      <c r="AO186" s="123">
        <v>55.991359344895116</v>
      </c>
      <c r="AP186" s="33">
        <v>35.119999999999997</v>
      </c>
      <c r="AQ186" s="33">
        <f t="shared" si="35"/>
        <v>0.4200956937799043</v>
      </c>
      <c r="AR186" s="33">
        <v>91.9</v>
      </c>
      <c r="AS186" s="33">
        <v>96.3</v>
      </c>
      <c r="AT186" s="33">
        <v>87.6</v>
      </c>
      <c r="AU186" s="33">
        <v>96.4</v>
      </c>
      <c r="AV186" s="65">
        <v>100.1</v>
      </c>
      <c r="AW186" s="33">
        <v>92.7</v>
      </c>
      <c r="AX186" s="33">
        <v>7.3</v>
      </c>
      <c r="AY186" s="33">
        <v>1.3</v>
      </c>
      <c r="AZ186" s="33">
        <v>5.6</v>
      </c>
      <c r="BA186" s="33">
        <v>4.5999999999999996</v>
      </c>
      <c r="BB186" s="33">
        <v>89.6</v>
      </c>
      <c r="BC186" s="33">
        <v>93.2</v>
      </c>
      <c r="BD186" s="33">
        <v>86.1</v>
      </c>
      <c r="BE186" s="33">
        <v>-58.7</v>
      </c>
      <c r="BF186" s="33">
        <v>35.9</v>
      </c>
      <c r="BG186" s="33">
        <v>-13</v>
      </c>
      <c r="BH186" s="33">
        <v>155.69999999999999</v>
      </c>
      <c r="BI186" s="33">
        <v>50</v>
      </c>
      <c r="BJ186" s="34">
        <v>52.168079579999997</v>
      </c>
      <c r="BK186" s="45">
        <v>22.082764959287569</v>
      </c>
      <c r="BL186" s="33">
        <v>0.52</v>
      </c>
      <c r="BM186" s="33">
        <v>99.847999999999999</v>
      </c>
      <c r="BN186" s="33">
        <v>99.870900000000006</v>
      </c>
      <c r="BO186" s="33">
        <v>-15</v>
      </c>
      <c r="BP186" s="33">
        <v>-11</v>
      </c>
      <c r="BQ186" s="33">
        <v>10.6</v>
      </c>
      <c r="BR186" s="33">
        <v>3.3</v>
      </c>
      <c r="BS186" s="33">
        <v>9.8000000000000007</v>
      </c>
      <c r="BT186" s="33">
        <v>-16.3</v>
      </c>
      <c r="BU186" s="33">
        <v>-7.4</v>
      </c>
      <c r="BV186" s="33">
        <v>6.7</v>
      </c>
      <c r="BW186" s="33">
        <v>-14.8</v>
      </c>
      <c r="BX186" s="33">
        <v>-26.5</v>
      </c>
      <c r="BY186" s="33">
        <v>-48.2</v>
      </c>
      <c r="BZ186" s="33">
        <v>93.7</v>
      </c>
      <c r="CA186" s="33">
        <v>-14.8</v>
      </c>
      <c r="CB186" s="33">
        <v>-9.3000000000000007</v>
      </c>
      <c r="CC186" s="33">
        <v>-0.2</v>
      </c>
      <c r="CD186" s="33">
        <v>-47.4</v>
      </c>
      <c r="CE186" s="33">
        <v>-31.5</v>
      </c>
      <c r="CF186" s="33">
        <v>24.8</v>
      </c>
      <c r="CG186" s="33">
        <v>21</v>
      </c>
      <c r="CH186" s="33">
        <v>48.5</v>
      </c>
      <c r="CI186" s="33">
        <v>-24.6</v>
      </c>
      <c r="CJ186" s="33">
        <v>-18.2</v>
      </c>
      <c r="CK186" s="33">
        <v>5.7</v>
      </c>
      <c r="CL186" s="33">
        <v>20.3</v>
      </c>
      <c r="CM186" s="33">
        <v>3050.4234000000001</v>
      </c>
      <c r="CN186" s="33">
        <v>10551.94</v>
      </c>
      <c r="CO186" s="33">
        <v>1199.7249999999999</v>
      </c>
      <c r="CP186" s="33">
        <v>4.585</v>
      </c>
      <c r="CQ186" s="33">
        <v>4.1500000000000004</v>
      </c>
      <c r="CR186" s="33">
        <v>84.4</v>
      </c>
      <c r="CS186" s="121">
        <f t="shared" si="38"/>
        <v>31.049999999999997</v>
      </c>
      <c r="CT186" s="33">
        <v>103.9</v>
      </c>
      <c r="CU186" s="33">
        <v>103.5</v>
      </c>
      <c r="CV186" s="33">
        <v>103.5</v>
      </c>
      <c r="CW186" s="33">
        <v>108.6</v>
      </c>
      <c r="CX186" s="33">
        <v>97</v>
      </c>
      <c r="CY186" s="33">
        <v>5.22</v>
      </c>
      <c r="CZ186" s="33">
        <v>34545.190999999999</v>
      </c>
      <c r="DA186" s="33">
        <v>3.26</v>
      </c>
      <c r="DB186" s="33">
        <v>20.100000000000001</v>
      </c>
      <c r="DC186" s="33">
        <v>35.26</v>
      </c>
      <c r="DD186" s="33">
        <v>10.79</v>
      </c>
      <c r="DE186" s="33">
        <v>6492.4849999999997</v>
      </c>
      <c r="DF186" s="33">
        <v>1420.152</v>
      </c>
      <c r="DG186" s="33">
        <v>1137.9829999999999</v>
      </c>
      <c r="DH186" s="33">
        <v>1104.835</v>
      </c>
      <c r="DI186" s="33">
        <v>1412.2239999999999</v>
      </c>
      <c r="DJ186" s="33">
        <v>100.1217</v>
      </c>
      <c r="DK186" s="33">
        <v>100.1589</v>
      </c>
      <c r="DL186" s="33">
        <v>99.75</v>
      </c>
      <c r="DM186" s="33">
        <v>99.683099999999996</v>
      </c>
      <c r="DN186" s="33">
        <v>99.870900000000006</v>
      </c>
      <c r="DO186" s="33">
        <v>99.847999999999999</v>
      </c>
      <c r="DP186" s="33">
        <v>100.44750000000001</v>
      </c>
      <c r="DQ186" s="33">
        <v>100.4919</v>
      </c>
      <c r="DR186" s="104">
        <v>128601</v>
      </c>
      <c r="DS186" s="103">
        <v>26321</v>
      </c>
      <c r="DT186" s="73">
        <v>93.1</v>
      </c>
      <c r="DU186">
        <v>74.977081298828125</v>
      </c>
      <c r="DV186">
        <v>53.162433624267578</v>
      </c>
      <c r="DW186">
        <v>4470</v>
      </c>
      <c r="DX186">
        <v>48025</v>
      </c>
      <c r="DY186">
        <v>69</v>
      </c>
      <c r="DZ186" t="s">
        <v>312</v>
      </c>
    </row>
    <row r="187" spans="1:130" x14ac:dyDescent="0.25">
      <c r="A187" s="1">
        <v>38412</v>
      </c>
      <c r="B187" s="33">
        <v>86.1</v>
      </c>
      <c r="C187" s="107">
        <v>2.06</v>
      </c>
      <c r="D187" s="33">
        <v>2</v>
      </c>
      <c r="E187" s="33">
        <v>2.14</v>
      </c>
      <c r="F187" s="33">
        <v>2.94</v>
      </c>
      <c r="G187" s="33">
        <v>3.35</v>
      </c>
      <c r="H187" s="33">
        <v>3.7</v>
      </c>
      <c r="I187" s="33">
        <f t="shared" si="28"/>
        <v>1.6400000000000001</v>
      </c>
      <c r="J187" s="33">
        <f t="shared" si="29"/>
        <v>1.7000000000000002</v>
      </c>
      <c r="K187" s="33">
        <f t="shared" si="30"/>
        <v>1.56</v>
      </c>
      <c r="L187" s="33">
        <f t="shared" si="31"/>
        <v>-6.0000000000000053E-2</v>
      </c>
      <c r="M187" s="33">
        <v>99.4</v>
      </c>
      <c r="N187" s="33">
        <v>4383.62</v>
      </c>
      <c r="O187" s="33">
        <v>12.7</v>
      </c>
      <c r="P187" s="33">
        <v>684.9</v>
      </c>
      <c r="Q187" s="34">
        <f t="shared" si="32"/>
        <v>8.3524390243902431</v>
      </c>
      <c r="R187" s="60">
        <v>1427.7</v>
      </c>
      <c r="S187" s="34">
        <f t="shared" si="33"/>
        <v>1741.0975609756097</v>
      </c>
      <c r="T187" s="60">
        <v>1535.5</v>
      </c>
      <c r="U187" s="34">
        <f t="shared" si="34"/>
        <v>1872.5609756097563</v>
      </c>
      <c r="V187" s="116">
        <v>283945</v>
      </c>
      <c r="W187" s="116">
        <v>3006328</v>
      </c>
      <c r="X187" s="117">
        <v>5679341</v>
      </c>
      <c r="Y187" s="117">
        <v>949563</v>
      </c>
      <c r="Z187" s="33">
        <v>82</v>
      </c>
      <c r="AA187" s="33">
        <v>73.7</v>
      </c>
      <c r="AB187" s="33">
        <v>83.2</v>
      </c>
      <c r="AC187" s="33">
        <v>72.599999999999994</v>
      </c>
      <c r="AD187" s="33">
        <v>39239</v>
      </c>
      <c r="AE187" s="33">
        <v>12.1</v>
      </c>
      <c r="AF187" s="33">
        <v>228</v>
      </c>
      <c r="AG187" s="33">
        <v>81.099999999999994</v>
      </c>
      <c r="AH187" s="33">
        <v>82</v>
      </c>
      <c r="AI187" s="33">
        <v>84.2</v>
      </c>
      <c r="AJ187" s="33">
        <v>84.2</v>
      </c>
      <c r="AK187" s="33">
        <v>175.70277899999999</v>
      </c>
      <c r="AL187" s="33">
        <v>67.8</v>
      </c>
      <c r="AM187" s="123">
        <v>31.071579312021086</v>
      </c>
      <c r="AN187" s="123">
        <v>66.381200056544941</v>
      </c>
      <c r="AO187" s="123">
        <v>59.33119481459061</v>
      </c>
      <c r="AP187" s="33">
        <v>40.369999999999997</v>
      </c>
      <c r="AQ187" s="33">
        <f t="shared" si="35"/>
        <v>0.47945368171021374</v>
      </c>
      <c r="AR187" s="33">
        <v>89.4</v>
      </c>
      <c r="AS187" s="33">
        <v>94.3</v>
      </c>
      <c r="AT187" s="33">
        <v>84.7</v>
      </c>
      <c r="AU187" s="33">
        <v>93.7</v>
      </c>
      <c r="AV187" s="65">
        <v>98.1</v>
      </c>
      <c r="AW187" s="33">
        <v>89.5</v>
      </c>
      <c r="AX187" s="33">
        <v>0.6</v>
      </c>
      <c r="AY187" s="33">
        <v>-3.4</v>
      </c>
      <c r="AZ187" s="33">
        <v>0.3</v>
      </c>
      <c r="BA187" s="33">
        <v>3.1</v>
      </c>
      <c r="BB187" s="33">
        <v>87.5</v>
      </c>
      <c r="BC187" s="33">
        <v>92.7</v>
      </c>
      <c r="BD187" s="33">
        <v>82.5</v>
      </c>
      <c r="BE187" s="33">
        <v>-66</v>
      </c>
      <c r="BF187" s="33">
        <v>36.299999999999997</v>
      </c>
      <c r="BG187" s="33">
        <v>-18.2</v>
      </c>
      <c r="BH187" s="33">
        <v>162.30000000000001</v>
      </c>
      <c r="BI187" s="33">
        <v>66.099999999999994</v>
      </c>
      <c r="BJ187" s="34">
        <v>50.301140689999997</v>
      </c>
      <c r="BK187" s="45">
        <v>13.66974856844045</v>
      </c>
      <c r="BL187" s="33">
        <v>0.436</v>
      </c>
      <c r="BM187" s="33">
        <v>99.703199999999995</v>
      </c>
      <c r="BN187" s="33">
        <v>99.746499999999997</v>
      </c>
      <c r="BO187" s="33">
        <v>-17.899999999999999</v>
      </c>
      <c r="BP187" s="33">
        <v>-13</v>
      </c>
      <c r="BQ187" s="33">
        <v>13.3</v>
      </c>
      <c r="BR187" s="33">
        <v>0.8</v>
      </c>
      <c r="BS187" s="33">
        <v>5.8</v>
      </c>
      <c r="BT187" s="33">
        <v>-18.7</v>
      </c>
      <c r="BU187" s="33">
        <v>-10.1</v>
      </c>
      <c r="BV187" s="33">
        <v>4.5999999999999996</v>
      </c>
      <c r="BW187" s="33">
        <v>-14.8</v>
      </c>
      <c r="BX187" s="33">
        <v>-32.5</v>
      </c>
      <c r="BY187" s="33">
        <v>-46.3</v>
      </c>
      <c r="BZ187" s="33">
        <v>91.6</v>
      </c>
      <c r="CA187" s="33">
        <v>-14.8</v>
      </c>
      <c r="CB187" s="33">
        <v>-9.5</v>
      </c>
      <c r="CC187" s="33">
        <v>-1.3</v>
      </c>
      <c r="CD187" s="33">
        <v>-52.1</v>
      </c>
      <c r="CE187" s="33">
        <v>-32.700000000000003</v>
      </c>
      <c r="CF187" s="33">
        <v>22.9</v>
      </c>
      <c r="CG187" s="33">
        <v>20.8</v>
      </c>
      <c r="CH187" s="33">
        <v>47.4</v>
      </c>
      <c r="CI187" s="33">
        <v>-23.7</v>
      </c>
      <c r="CJ187" s="33">
        <v>-15.7</v>
      </c>
      <c r="CK187" s="33">
        <v>1.8</v>
      </c>
      <c r="CL187" s="33">
        <v>20.6</v>
      </c>
      <c r="CM187" s="33">
        <v>3065.7687390000001</v>
      </c>
      <c r="CN187" s="33">
        <v>10830</v>
      </c>
      <c r="CO187" s="33">
        <v>1193.876522</v>
      </c>
      <c r="CP187" s="33">
        <v>4.7750000000000004</v>
      </c>
      <c r="CQ187" s="33">
        <v>4.38</v>
      </c>
      <c r="CR187" s="33">
        <v>82.8</v>
      </c>
      <c r="CS187" s="121">
        <f t="shared" si="38"/>
        <v>32.549999999999997</v>
      </c>
      <c r="CT187" s="33">
        <v>102</v>
      </c>
      <c r="CU187" s="33">
        <v>104.2</v>
      </c>
      <c r="CV187" s="33">
        <v>101.7</v>
      </c>
      <c r="CW187" s="33">
        <v>107.4</v>
      </c>
      <c r="CX187" s="33">
        <v>93.1</v>
      </c>
      <c r="CY187" s="33">
        <v>5.45</v>
      </c>
      <c r="CZ187" s="33">
        <v>37751.362000000001</v>
      </c>
      <c r="DA187" s="33">
        <v>3.08</v>
      </c>
      <c r="DB187" s="33">
        <v>20.66</v>
      </c>
      <c r="DC187" s="33">
        <v>35.92</v>
      </c>
      <c r="DD187" s="33">
        <v>10.74</v>
      </c>
      <c r="DE187" s="33">
        <v>7195.7889999999998</v>
      </c>
      <c r="DF187" s="33">
        <v>1550.1</v>
      </c>
      <c r="DG187" s="33">
        <v>1248.864</v>
      </c>
      <c r="DH187" s="33">
        <v>1228.125</v>
      </c>
      <c r="DI187" s="33">
        <v>1581.4570000000001</v>
      </c>
      <c r="DJ187" s="33">
        <v>100.0749</v>
      </c>
      <c r="DK187" s="33">
        <v>100.09220000000001</v>
      </c>
      <c r="DL187" s="33">
        <v>99.72</v>
      </c>
      <c r="DM187" s="33">
        <v>99.651899999999998</v>
      </c>
      <c r="DN187" s="33">
        <v>99.746499999999997</v>
      </c>
      <c r="DO187" s="33">
        <v>99.703199999999995</v>
      </c>
      <c r="DP187" s="33">
        <v>100.3792</v>
      </c>
      <c r="DQ187" s="33">
        <v>100.41679999999999</v>
      </c>
      <c r="DR187" s="104">
        <v>133778</v>
      </c>
      <c r="DS187" s="103">
        <v>26303</v>
      </c>
      <c r="DT187" s="73">
        <v>92.5</v>
      </c>
      <c r="DU187">
        <v>81.454788208007813</v>
      </c>
      <c r="DV187">
        <v>40.669960021972656</v>
      </c>
      <c r="DW187">
        <v>4663</v>
      </c>
      <c r="DX187">
        <v>50775</v>
      </c>
      <c r="DY187">
        <v>69.5</v>
      </c>
      <c r="DZ187" t="s">
        <v>312</v>
      </c>
    </row>
    <row r="188" spans="1:130" x14ac:dyDescent="0.25">
      <c r="A188" s="1">
        <v>38443</v>
      </c>
      <c r="B188" s="33">
        <v>87.4</v>
      </c>
      <c r="C188" s="107">
        <v>2.08</v>
      </c>
      <c r="D188" s="33">
        <v>2</v>
      </c>
      <c r="E188" s="33">
        <v>2.14</v>
      </c>
      <c r="F188" s="33">
        <v>2.75</v>
      </c>
      <c r="G188" s="33">
        <v>3.13</v>
      </c>
      <c r="H188" s="33">
        <v>3.48</v>
      </c>
      <c r="I188" s="33">
        <f t="shared" si="28"/>
        <v>1.4</v>
      </c>
      <c r="J188" s="33">
        <f t="shared" si="29"/>
        <v>1.48</v>
      </c>
      <c r="K188" s="33">
        <f t="shared" si="30"/>
        <v>1.3399999999999999</v>
      </c>
      <c r="L188" s="33">
        <f t="shared" si="31"/>
        <v>-8.0000000000000071E-2</v>
      </c>
      <c r="M188" s="33">
        <v>99</v>
      </c>
      <c r="N188" s="33">
        <v>4373.53</v>
      </c>
      <c r="O188" s="33">
        <v>12.81</v>
      </c>
      <c r="P188" s="33">
        <v>686.6</v>
      </c>
      <c r="Q188" s="34">
        <f t="shared" si="32"/>
        <v>8.3833943833943838</v>
      </c>
      <c r="R188" s="60">
        <v>1435.1</v>
      </c>
      <c r="S188" s="34">
        <f t="shared" si="33"/>
        <v>1752.2588522588521</v>
      </c>
      <c r="T188" s="60">
        <v>1545.6</v>
      </c>
      <c r="U188" s="34">
        <f t="shared" si="34"/>
        <v>1887.1794871794868</v>
      </c>
      <c r="V188" s="116">
        <v>282555</v>
      </c>
      <c r="W188" s="116">
        <v>3024122</v>
      </c>
      <c r="X188" s="117">
        <v>5721454</v>
      </c>
      <c r="Y188" s="117">
        <v>960717</v>
      </c>
      <c r="Z188" s="33">
        <v>83.8</v>
      </c>
      <c r="AA188" s="33">
        <v>73.2</v>
      </c>
      <c r="AB188" s="33">
        <v>81.900000000000006</v>
      </c>
      <c r="AC188" s="33">
        <v>71.5</v>
      </c>
      <c r="AD188" s="33">
        <v>39226</v>
      </c>
      <c r="AE188" s="33">
        <v>11.9</v>
      </c>
      <c r="AF188" s="33">
        <v>236</v>
      </c>
      <c r="AG188" s="33">
        <v>81</v>
      </c>
      <c r="AH188" s="33">
        <v>81.900000000000006</v>
      </c>
      <c r="AI188" s="33">
        <v>83.8</v>
      </c>
      <c r="AJ188" s="33">
        <v>84</v>
      </c>
      <c r="AK188" s="33">
        <v>176.770881</v>
      </c>
      <c r="AL188" s="33">
        <v>67.900000000000006</v>
      </c>
      <c r="AM188" s="123">
        <v>34.59883767779899</v>
      </c>
      <c r="AN188" s="123">
        <v>68.153991749449716</v>
      </c>
      <c r="AO188" s="123">
        <v>60.372092969232554</v>
      </c>
      <c r="AP188" s="33">
        <v>40.659999999999997</v>
      </c>
      <c r="AQ188" s="33">
        <f t="shared" si="35"/>
        <v>0.48520286396181384</v>
      </c>
      <c r="AR188" s="33">
        <v>89</v>
      </c>
      <c r="AS188" s="33">
        <v>93.7</v>
      </c>
      <c r="AT188" s="33">
        <v>84.5</v>
      </c>
      <c r="AU188" s="33">
        <v>92.7</v>
      </c>
      <c r="AV188" s="65">
        <v>96.9</v>
      </c>
      <c r="AW188" s="33">
        <v>88.7</v>
      </c>
      <c r="AX188" s="33">
        <v>3.4</v>
      </c>
      <c r="AY188" s="33">
        <v>1.4</v>
      </c>
      <c r="AZ188" s="33">
        <v>-3.4</v>
      </c>
      <c r="BA188" s="33">
        <v>-0.1</v>
      </c>
      <c r="BB188" s="33">
        <v>84.7</v>
      </c>
      <c r="BC188" s="33">
        <v>90.8</v>
      </c>
      <c r="BD188" s="33">
        <v>79</v>
      </c>
      <c r="BE188" s="33">
        <v>-73</v>
      </c>
      <c r="BF188" s="33">
        <v>20.100000000000001</v>
      </c>
      <c r="BG188" s="33">
        <v>-15.6</v>
      </c>
      <c r="BH188" s="33">
        <v>161.9</v>
      </c>
      <c r="BI188" s="33">
        <v>30.7</v>
      </c>
      <c r="BJ188" s="34">
        <v>49.72751719</v>
      </c>
      <c r="BK188" s="45">
        <v>-1.7791608272100596</v>
      </c>
      <c r="BL188" s="33">
        <v>0.308</v>
      </c>
      <c r="BM188" s="33">
        <v>99.594099999999997</v>
      </c>
      <c r="BN188" s="33">
        <v>99.652799999999999</v>
      </c>
      <c r="BO188" s="33">
        <v>-19.7</v>
      </c>
      <c r="BP188" s="33">
        <v>-14.7</v>
      </c>
      <c r="BQ188" s="33">
        <v>12.5</v>
      </c>
      <c r="BR188" s="33">
        <v>0.8</v>
      </c>
      <c r="BS188" s="33">
        <v>2.1</v>
      </c>
      <c r="BT188" s="33">
        <v>-18.3</v>
      </c>
      <c r="BU188" s="33">
        <v>-10.5</v>
      </c>
      <c r="BV188" s="33">
        <v>6.6</v>
      </c>
      <c r="BW188" s="33">
        <v>-15.3</v>
      </c>
      <c r="BX188" s="33">
        <v>-27.8</v>
      </c>
      <c r="BY188" s="33">
        <v>-44.2</v>
      </c>
      <c r="BZ188" s="33">
        <v>92.2</v>
      </c>
      <c r="CA188" s="33">
        <v>-15.3</v>
      </c>
      <c r="CB188" s="33">
        <v>-10.8</v>
      </c>
      <c r="CC188" s="33">
        <v>-0.6</v>
      </c>
      <c r="CD188" s="33">
        <v>-52.7</v>
      </c>
      <c r="CE188" s="33">
        <v>-31.1</v>
      </c>
      <c r="CF188" s="33">
        <v>27.3</v>
      </c>
      <c r="CG188" s="33">
        <v>20.8</v>
      </c>
      <c r="CH188" s="33">
        <v>44.7</v>
      </c>
      <c r="CI188" s="33">
        <v>-30.7</v>
      </c>
      <c r="CJ188" s="33">
        <v>-18.899999999999999</v>
      </c>
      <c r="CK188" s="33">
        <v>0.7</v>
      </c>
      <c r="CL188" s="33">
        <v>18.600000000000001</v>
      </c>
      <c r="CM188" s="33">
        <v>3013.7489519999999</v>
      </c>
      <c r="CN188" s="33">
        <v>10404.299999999999</v>
      </c>
      <c r="CO188" s="33">
        <v>1164.423333</v>
      </c>
      <c r="CP188" s="33">
        <v>4.726</v>
      </c>
      <c r="CQ188" s="33">
        <v>4.46</v>
      </c>
      <c r="CR188" s="33">
        <v>77</v>
      </c>
      <c r="CS188" s="121">
        <f t="shared" si="38"/>
        <v>34.450000000000003</v>
      </c>
      <c r="CT188" s="33">
        <v>100.9</v>
      </c>
      <c r="CU188" s="33">
        <v>104.2</v>
      </c>
      <c r="CV188" s="33">
        <v>100.9</v>
      </c>
      <c r="CW188" s="33">
        <v>106.1</v>
      </c>
      <c r="CX188" s="33">
        <v>93.2</v>
      </c>
      <c r="CY188" s="33">
        <v>5.55</v>
      </c>
      <c r="CZ188" s="33">
        <v>37542.502999999997</v>
      </c>
      <c r="DA188" s="33">
        <v>3.43</v>
      </c>
      <c r="DB188" s="33">
        <v>20.81</v>
      </c>
      <c r="DC188" s="33">
        <v>36.01</v>
      </c>
      <c r="DD188" s="33">
        <v>10.65</v>
      </c>
      <c r="DE188" s="33">
        <v>7067.5469999999996</v>
      </c>
      <c r="DF188" s="33">
        <v>1497.5239999999999</v>
      </c>
      <c r="DG188" s="33">
        <v>1295.02</v>
      </c>
      <c r="DH188" s="33">
        <v>1146.271</v>
      </c>
      <c r="DI188" s="33">
        <v>1595.508</v>
      </c>
      <c r="DJ188" s="33">
        <v>100.0441</v>
      </c>
      <c r="DK188" s="33">
        <v>100.0444</v>
      </c>
      <c r="DL188" s="33">
        <v>99.73</v>
      </c>
      <c r="DM188" s="33">
        <v>99.653800000000004</v>
      </c>
      <c r="DN188" s="33">
        <v>99.652799999999999</v>
      </c>
      <c r="DO188" s="33">
        <v>99.594099999999997</v>
      </c>
      <c r="DP188" s="33">
        <v>100.3302</v>
      </c>
      <c r="DQ188" s="33">
        <v>100.3629</v>
      </c>
      <c r="DR188" s="104">
        <v>126822</v>
      </c>
      <c r="DS188" s="103">
        <v>26329</v>
      </c>
      <c r="DT188" s="73">
        <v>91.5</v>
      </c>
      <c r="DU188">
        <v>89.078681945800781</v>
      </c>
      <c r="DV188">
        <v>34.602832794189453</v>
      </c>
      <c r="DW188">
        <v>4627</v>
      </c>
      <c r="DX188">
        <v>45250</v>
      </c>
      <c r="DY188">
        <v>70.5</v>
      </c>
      <c r="DZ188" t="s">
        <v>312</v>
      </c>
    </row>
    <row r="189" spans="1:130" x14ac:dyDescent="0.25">
      <c r="A189" s="1">
        <v>38473</v>
      </c>
      <c r="B189" s="33">
        <v>86.5</v>
      </c>
      <c r="C189" s="107">
        <v>2.0699999999999998</v>
      </c>
      <c r="D189" s="33">
        <v>2</v>
      </c>
      <c r="E189" s="33">
        <v>2.13</v>
      </c>
      <c r="F189" s="33">
        <v>2.58</v>
      </c>
      <c r="G189" s="33">
        <v>2.96</v>
      </c>
      <c r="H189" s="33">
        <v>3.3</v>
      </c>
      <c r="I189" s="33">
        <f t="shared" si="28"/>
        <v>1.23</v>
      </c>
      <c r="J189" s="33">
        <f t="shared" si="29"/>
        <v>1.2999999999999998</v>
      </c>
      <c r="K189" s="33">
        <f t="shared" si="30"/>
        <v>1.17</v>
      </c>
      <c r="L189" s="33">
        <f t="shared" si="31"/>
        <v>-6.999999999999984E-2</v>
      </c>
      <c r="M189" s="33">
        <v>98.6</v>
      </c>
      <c r="N189" s="33">
        <v>4224.0200000000004</v>
      </c>
      <c r="O189" s="33">
        <v>16.11</v>
      </c>
      <c r="P189" s="33">
        <v>695.3</v>
      </c>
      <c r="Q189" s="34">
        <f t="shared" si="32"/>
        <v>8.4792682926829261</v>
      </c>
      <c r="R189" s="60">
        <v>1444.6</v>
      </c>
      <c r="S189" s="34">
        <f t="shared" si="33"/>
        <v>1761.7073170731708</v>
      </c>
      <c r="T189" s="60">
        <v>1552.8</v>
      </c>
      <c r="U189" s="34">
        <f t="shared" si="34"/>
        <v>1893.6585365853659</v>
      </c>
      <c r="V189" s="116">
        <v>286757</v>
      </c>
      <c r="W189" s="116">
        <v>3054725</v>
      </c>
      <c r="X189" s="117">
        <v>5762299</v>
      </c>
      <c r="Y189" s="117">
        <v>968713</v>
      </c>
      <c r="Z189" s="33">
        <v>83</v>
      </c>
      <c r="AA189" s="33">
        <v>73.599999999999994</v>
      </c>
      <c r="AB189" s="33">
        <v>81.5</v>
      </c>
      <c r="AC189" s="33">
        <v>71.8</v>
      </c>
      <c r="AD189" s="33">
        <v>39232</v>
      </c>
      <c r="AE189" s="33">
        <v>11.9</v>
      </c>
      <c r="AF189" s="33">
        <v>246</v>
      </c>
      <c r="AG189" s="33">
        <v>81</v>
      </c>
      <c r="AH189" s="33">
        <v>82</v>
      </c>
      <c r="AI189" s="33">
        <v>83.4</v>
      </c>
      <c r="AJ189" s="33">
        <v>83.9</v>
      </c>
      <c r="AK189" s="33">
        <v>176.770881</v>
      </c>
      <c r="AL189" s="33">
        <v>67.3</v>
      </c>
      <c r="AM189" s="123">
        <v>32.56759476129416</v>
      </c>
      <c r="AN189" s="123">
        <v>65.390992083931479</v>
      </c>
      <c r="AO189" s="123">
        <v>59.186538273462126</v>
      </c>
      <c r="AP189" s="33">
        <v>38.85</v>
      </c>
      <c r="AQ189" s="33">
        <f t="shared" si="35"/>
        <v>0.46582733812949639</v>
      </c>
      <c r="AR189" s="33">
        <v>88.6</v>
      </c>
      <c r="AS189" s="33">
        <v>92.8</v>
      </c>
      <c r="AT189" s="33">
        <v>84.5</v>
      </c>
      <c r="AU189" s="33">
        <v>92.4</v>
      </c>
      <c r="AV189" s="65">
        <v>95.2</v>
      </c>
      <c r="AW189" s="33">
        <v>89.6</v>
      </c>
      <c r="AX189" s="33">
        <v>4.2</v>
      </c>
      <c r="AY189" s="33">
        <v>-1</v>
      </c>
      <c r="AZ189" s="33">
        <v>-6.9</v>
      </c>
      <c r="BA189" s="33">
        <v>-2.6</v>
      </c>
      <c r="BB189" s="33">
        <v>84.9</v>
      </c>
      <c r="BC189" s="33">
        <v>90.1</v>
      </c>
      <c r="BD189" s="33">
        <v>80</v>
      </c>
      <c r="BE189" s="33">
        <v>-69.3</v>
      </c>
      <c r="BF189" s="33">
        <v>13.9</v>
      </c>
      <c r="BG189" s="33">
        <v>-16.3</v>
      </c>
      <c r="BH189" s="33">
        <v>163.6</v>
      </c>
      <c r="BI189" s="33">
        <v>9.9</v>
      </c>
      <c r="BJ189" s="34">
        <v>49.443968259999998</v>
      </c>
      <c r="BK189" s="45">
        <v>-6.6350507830665864</v>
      </c>
      <c r="BL189" s="33">
        <v>0.192</v>
      </c>
      <c r="BM189" s="33">
        <v>99.546199999999999</v>
      </c>
      <c r="BN189" s="33">
        <v>99.611599999999996</v>
      </c>
      <c r="BO189" s="33">
        <v>-18.899999999999999</v>
      </c>
      <c r="BP189" s="33">
        <v>-13</v>
      </c>
      <c r="BQ189" s="33">
        <v>13</v>
      </c>
      <c r="BR189" s="33">
        <v>-0.3</v>
      </c>
      <c r="BS189" s="33">
        <v>-0.3</v>
      </c>
      <c r="BT189" s="33">
        <v>-17.100000000000001</v>
      </c>
      <c r="BU189" s="33">
        <v>-10.7</v>
      </c>
      <c r="BV189" s="33">
        <v>9</v>
      </c>
      <c r="BW189" s="33">
        <v>-14.8</v>
      </c>
      <c r="BX189" s="33">
        <v>-27.5</v>
      </c>
      <c r="BY189" s="33">
        <v>-42.2</v>
      </c>
      <c r="BZ189" s="33">
        <v>93</v>
      </c>
      <c r="CA189" s="33">
        <v>-14.8</v>
      </c>
      <c r="CB189" s="33">
        <v>-9</v>
      </c>
      <c r="CC189" s="33">
        <v>-2.1</v>
      </c>
      <c r="CD189" s="33">
        <v>-49.5</v>
      </c>
      <c r="CE189" s="33">
        <v>-30.3</v>
      </c>
      <c r="CF189" s="33">
        <v>22.2</v>
      </c>
      <c r="CG189" s="33">
        <v>20.399999999999999</v>
      </c>
      <c r="CH189" s="33">
        <v>42.9</v>
      </c>
      <c r="CI189" s="33">
        <v>-26.1</v>
      </c>
      <c r="CJ189" s="33">
        <v>-17.8</v>
      </c>
      <c r="CK189" s="33">
        <v>1</v>
      </c>
      <c r="CL189" s="33">
        <v>19.7</v>
      </c>
      <c r="CM189" s="33">
        <v>3023.470182</v>
      </c>
      <c r="CN189" s="33">
        <v>10251.700000000001</v>
      </c>
      <c r="CO189" s="33">
        <v>1179.207727</v>
      </c>
      <c r="CP189" s="33">
        <v>4.524</v>
      </c>
      <c r="CQ189" s="33">
        <v>4.21</v>
      </c>
      <c r="CR189" s="33">
        <v>75.3</v>
      </c>
      <c r="CS189" s="121">
        <f t="shared" si="38"/>
        <v>35.549999999999997</v>
      </c>
      <c r="CT189" s="33">
        <v>98.4</v>
      </c>
      <c r="CU189" s="33">
        <v>104.4</v>
      </c>
      <c r="CV189" s="33">
        <v>100.7</v>
      </c>
      <c r="CW189" s="33">
        <v>109.1</v>
      </c>
      <c r="CX189" s="33">
        <v>90.8</v>
      </c>
      <c r="CY189" s="33">
        <v>5.94</v>
      </c>
      <c r="CZ189" s="33">
        <v>36974.866000000002</v>
      </c>
      <c r="DA189" s="33">
        <v>3.51</v>
      </c>
      <c r="DB189" s="33">
        <v>21.88</v>
      </c>
      <c r="DC189" s="33">
        <v>37.380000000000003</v>
      </c>
      <c r="DD189" s="33">
        <v>11.43</v>
      </c>
      <c r="DE189" s="33">
        <v>6986.94</v>
      </c>
      <c r="DF189" s="33">
        <v>1637.374</v>
      </c>
      <c r="DG189" s="33">
        <v>1398.13</v>
      </c>
      <c r="DH189" s="33">
        <v>940.37800000000004</v>
      </c>
      <c r="DI189" s="33">
        <v>1623.9829999999999</v>
      </c>
      <c r="DJ189" s="33">
        <v>100.0322</v>
      </c>
      <c r="DK189" s="33">
        <v>100.0198</v>
      </c>
      <c r="DL189" s="33">
        <v>99.74</v>
      </c>
      <c r="DM189" s="33">
        <v>99.677400000000006</v>
      </c>
      <c r="DN189" s="33">
        <v>99.611599999999996</v>
      </c>
      <c r="DO189" s="33">
        <v>99.546199999999999</v>
      </c>
      <c r="DP189" s="33">
        <v>100.3236</v>
      </c>
      <c r="DQ189" s="33">
        <v>100.3557</v>
      </c>
      <c r="DR189" s="104">
        <v>116873</v>
      </c>
      <c r="DS189" s="103">
        <v>26332</v>
      </c>
      <c r="DT189" s="73">
        <v>92.7</v>
      </c>
      <c r="DU189">
        <v>99.440910339355469</v>
      </c>
      <c r="DV189">
        <v>66.399055480957031</v>
      </c>
      <c r="DW189">
        <v>3850</v>
      </c>
      <c r="DX189">
        <v>61000</v>
      </c>
      <c r="DY189">
        <v>70.599999999999994</v>
      </c>
      <c r="DZ189" t="s">
        <v>312</v>
      </c>
    </row>
    <row r="190" spans="1:130" x14ac:dyDescent="0.25">
      <c r="A190" s="1">
        <v>38504</v>
      </c>
      <c r="B190" s="33">
        <v>88.1</v>
      </c>
      <c r="C190" s="107">
        <v>2.06</v>
      </c>
      <c r="D190" s="33">
        <v>2</v>
      </c>
      <c r="E190" s="33">
        <v>2.13</v>
      </c>
      <c r="F190" s="33">
        <v>2.4</v>
      </c>
      <c r="G190" s="33">
        <v>2.78</v>
      </c>
      <c r="H190" s="33">
        <v>3.13</v>
      </c>
      <c r="I190" s="33">
        <f t="shared" si="28"/>
        <v>1.0699999999999998</v>
      </c>
      <c r="J190" s="33">
        <f t="shared" si="29"/>
        <v>1.1299999999999999</v>
      </c>
      <c r="K190" s="33">
        <f t="shared" si="30"/>
        <v>1</v>
      </c>
      <c r="L190" s="33">
        <f t="shared" si="31"/>
        <v>-6.0000000000000053E-2</v>
      </c>
      <c r="M190" s="33">
        <v>97.7</v>
      </c>
      <c r="N190" s="33">
        <v>4527.17</v>
      </c>
      <c r="O190" s="33">
        <v>13.46</v>
      </c>
      <c r="P190" s="33">
        <v>703.1</v>
      </c>
      <c r="Q190" s="34">
        <f t="shared" si="32"/>
        <v>8.5639464068209517</v>
      </c>
      <c r="R190" s="60">
        <v>1450.9</v>
      </c>
      <c r="S190" s="34">
        <f t="shared" si="33"/>
        <v>1767.235079171742</v>
      </c>
      <c r="T190" s="60">
        <v>1562.2</v>
      </c>
      <c r="U190" s="34">
        <f t="shared" si="34"/>
        <v>1902.8014616321559</v>
      </c>
      <c r="V190" s="116">
        <v>285906</v>
      </c>
      <c r="W190" s="116">
        <v>3256960</v>
      </c>
      <c r="X190" s="117">
        <v>5824959</v>
      </c>
      <c r="Y190" s="117">
        <v>982199</v>
      </c>
      <c r="Z190" s="33">
        <v>83.6</v>
      </c>
      <c r="AA190" s="33">
        <v>76</v>
      </c>
      <c r="AB190" s="33">
        <v>82.4</v>
      </c>
      <c r="AC190" s="33">
        <v>75.3</v>
      </c>
      <c r="AD190" s="33">
        <v>39274</v>
      </c>
      <c r="AE190" s="33">
        <v>11.8</v>
      </c>
      <c r="AF190" s="33">
        <v>253</v>
      </c>
      <c r="AG190" s="33">
        <v>81.2</v>
      </c>
      <c r="AH190" s="33">
        <v>82.1</v>
      </c>
      <c r="AI190" s="33">
        <v>84.9</v>
      </c>
      <c r="AJ190" s="33">
        <v>84.1</v>
      </c>
      <c r="AK190" s="33">
        <v>177.48294899999999</v>
      </c>
      <c r="AL190" s="33">
        <v>67.3</v>
      </c>
      <c r="AM190" s="123">
        <v>34.929810314729295</v>
      </c>
      <c r="AN190" s="123">
        <v>77.197698987974647</v>
      </c>
      <c r="AO190" s="123">
        <v>61.009138317539566</v>
      </c>
      <c r="AP190" s="33">
        <v>45.11</v>
      </c>
      <c r="AQ190" s="33">
        <f t="shared" si="35"/>
        <v>0.53133097762073023</v>
      </c>
      <c r="AR190" s="33">
        <v>89.3</v>
      </c>
      <c r="AS190" s="33">
        <v>93.8</v>
      </c>
      <c r="AT190" s="33">
        <v>85</v>
      </c>
      <c r="AU190" s="33">
        <v>92.5</v>
      </c>
      <c r="AV190" s="65">
        <v>96.2</v>
      </c>
      <c r="AW190" s="33">
        <v>89</v>
      </c>
      <c r="AX190" s="33">
        <v>0.2</v>
      </c>
      <c r="AY190" s="33">
        <v>2</v>
      </c>
      <c r="AZ190" s="33">
        <v>-3.1</v>
      </c>
      <c r="BA190" s="33">
        <v>-2.2000000000000002</v>
      </c>
      <c r="BB190" s="33">
        <v>85.9</v>
      </c>
      <c r="BC190" s="33">
        <v>89.8</v>
      </c>
      <c r="BD190" s="33">
        <v>82.3</v>
      </c>
      <c r="BE190" s="33">
        <v>-70</v>
      </c>
      <c r="BF190" s="33">
        <v>19.5</v>
      </c>
      <c r="BG190" s="33">
        <v>-13.4</v>
      </c>
      <c r="BH190" s="33">
        <v>165</v>
      </c>
      <c r="BI190" s="33">
        <v>2.4</v>
      </c>
      <c r="BJ190" s="34">
        <v>49.824328280000003</v>
      </c>
      <c r="BK190" s="45">
        <v>8.2672208134547809</v>
      </c>
      <c r="BL190" s="33">
        <v>0.124</v>
      </c>
      <c r="BM190" s="33">
        <v>99.572800000000001</v>
      </c>
      <c r="BN190" s="33">
        <v>99.634500000000003</v>
      </c>
      <c r="BO190" s="33">
        <v>-20.7</v>
      </c>
      <c r="BP190" s="33">
        <v>-15.5</v>
      </c>
      <c r="BQ190" s="33">
        <v>13.7</v>
      </c>
      <c r="BR190" s="33">
        <v>1.1000000000000001</v>
      </c>
      <c r="BS190" s="33">
        <v>-0.7</v>
      </c>
      <c r="BT190" s="33">
        <v>-15.2</v>
      </c>
      <c r="BU190" s="33">
        <v>-11.1</v>
      </c>
      <c r="BV190" s="33">
        <v>7.7</v>
      </c>
      <c r="BW190" s="33">
        <v>-15</v>
      </c>
      <c r="BX190" s="33">
        <v>-27</v>
      </c>
      <c r="BY190" s="33">
        <v>-44.6</v>
      </c>
      <c r="BZ190" s="33">
        <v>92.3</v>
      </c>
      <c r="CA190" s="33">
        <v>-15</v>
      </c>
      <c r="CB190" s="33">
        <v>-10.8</v>
      </c>
      <c r="CC190" s="33">
        <v>-2.2000000000000002</v>
      </c>
      <c r="CD190" s="33">
        <v>-54.6</v>
      </c>
      <c r="CE190" s="33">
        <v>-29.7</v>
      </c>
      <c r="CF190" s="33">
        <v>24.8</v>
      </c>
      <c r="CG190" s="33">
        <v>22.3</v>
      </c>
      <c r="CH190" s="33">
        <v>42.3</v>
      </c>
      <c r="CI190" s="33">
        <v>-30</v>
      </c>
      <c r="CJ190" s="33">
        <v>-17.399999999999999</v>
      </c>
      <c r="CK190" s="33">
        <v>-0.8</v>
      </c>
      <c r="CL190" s="33">
        <v>17.8</v>
      </c>
      <c r="CM190" s="33">
        <v>3151.6645450000001</v>
      </c>
      <c r="CN190" s="33">
        <v>10549.87</v>
      </c>
      <c r="CO190" s="33">
        <v>1202.255455</v>
      </c>
      <c r="CP190" s="33">
        <v>4.242</v>
      </c>
      <c r="CQ190" s="33">
        <v>3.91</v>
      </c>
      <c r="CR190" s="33">
        <v>85</v>
      </c>
      <c r="CS190" s="121">
        <f t="shared" si="38"/>
        <v>38.049999999999997</v>
      </c>
      <c r="CT190" s="33">
        <v>102.7</v>
      </c>
      <c r="CU190" s="33">
        <v>103.6</v>
      </c>
      <c r="CV190" s="33">
        <v>99.4</v>
      </c>
      <c r="CW190" s="33">
        <v>107.4</v>
      </c>
      <c r="CX190" s="33">
        <v>93.3</v>
      </c>
      <c r="CY190" s="33">
        <v>5.8</v>
      </c>
      <c r="CZ190" s="33">
        <v>39305.357000000004</v>
      </c>
      <c r="DA190" s="33">
        <v>3.6</v>
      </c>
      <c r="DB190" s="33">
        <v>20.58</v>
      </c>
      <c r="DC190" s="33">
        <v>36.92</v>
      </c>
      <c r="DD190" s="33">
        <v>10.99</v>
      </c>
      <c r="DE190" s="33">
        <v>7555.7849999999999</v>
      </c>
      <c r="DF190" s="33">
        <v>1727.0940000000001</v>
      </c>
      <c r="DG190" s="33">
        <v>1393.2059999999999</v>
      </c>
      <c r="DH190" s="33">
        <v>1061.9839999999999</v>
      </c>
      <c r="DI190" s="33">
        <v>1682.818</v>
      </c>
      <c r="DJ190" s="33">
        <v>100.0381</v>
      </c>
      <c r="DK190" s="33">
        <v>100.01609999999999</v>
      </c>
      <c r="DL190" s="33">
        <v>99.78</v>
      </c>
      <c r="DM190" s="33">
        <v>99.716499999999996</v>
      </c>
      <c r="DN190" s="33">
        <v>99.634500000000003</v>
      </c>
      <c r="DO190" s="33">
        <v>99.572800000000001</v>
      </c>
      <c r="DP190" s="33">
        <v>100.3567</v>
      </c>
      <c r="DQ190" s="33">
        <v>100.392</v>
      </c>
      <c r="DR190" s="104">
        <v>114778</v>
      </c>
      <c r="DS190" s="103">
        <v>26341</v>
      </c>
      <c r="DT190" s="73">
        <v>92.1</v>
      </c>
      <c r="DU190">
        <v>99.414970397949219</v>
      </c>
      <c r="DV190">
        <v>95.0440673828125</v>
      </c>
      <c r="DW190">
        <v>3180</v>
      </c>
      <c r="DX190">
        <v>43225</v>
      </c>
      <c r="DY190">
        <v>71.2</v>
      </c>
      <c r="DZ190" t="s">
        <v>312</v>
      </c>
    </row>
    <row r="191" spans="1:130" x14ac:dyDescent="0.25">
      <c r="A191" s="1">
        <v>38534</v>
      </c>
      <c r="B191" s="33">
        <v>89.3</v>
      </c>
      <c r="C191" s="107">
        <v>2.0699999999999998</v>
      </c>
      <c r="D191" s="33">
        <v>2</v>
      </c>
      <c r="E191" s="33">
        <v>2.12</v>
      </c>
      <c r="F191" s="33">
        <v>2.5099999999999998</v>
      </c>
      <c r="G191" s="33">
        <v>2.88</v>
      </c>
      <c r="H191" s="33">
        <v>3.2</v>
      </c>
      <c r="I191" s="33">
        <f t="shared" si="28"/>
        <v>1.1300000000000003</v>
      </c>
      <c r="J191" s="33">
        <f t="shared" si="29"/>
        <v>1.2000000000000002</v>
      </c>
      <c r="K191" s="33">
        <f t="shared" si="30"/>
        <v>1.08</v>
      </c>
      <c r="L191" s="33">
        <f t="shared" si="31"/>
        <v>-6.999999999999984E-2</v>
      </c>
      <c r="M191" s="33">
        <v>98</v>
      </c>
      <c r="N191" s="33">
        <v>4617.07</v>
      </c>
      <c r="O191" s="33">
        <v>12.06</v>
      </c>
      <c r="P191" s="33">
        <v>711.4</v>
      </c>
      <c r="Q191" s="34">
        <f t="shared" si="32"/>
        <v>8.6862026862026855</v>
      </c>
      <c r="R191" s="60">
        <v>1458.8</v>
      </c>
      <c r="S191" s="34">
        <f t="shared" si="33"/>
        <v>1781.1965811965808</v>
      </c>
      <c r="T191" s="60">
        <v>1571.1</v>
      </c>
      <c r="U191" s="34">
        <f t="shared" si="34"/>
        <v>1918.3150183150178</v>
      </c>
      <c r="V191" s="116">
        <v>286264</v>
      </c>
      <c r="W191" s="116">
        <v>3302577</v>
      </c>
      <c r="X191" s="117">
        <v>5885266</v>
      </c>
      <c r="Y191" s="117">
        <v>990832</v>
      </c>
      <c r="Z191" s="33">
        <v>85</v>
      </c>
      <c r="AA191" s="33">
        <v>77.7</v>
      </c>
      <c r="AB191" s="33">
        <v>83.7</v>
      </c>
      <c r="AC191" s="33">
        <v>76</v>
      </c>
      <c r="AD191" s="33">
        <v>39271</v>
      </c>
      <c r="AE191" s="33">
        <v>11.7</v>
      </c>
      <c r="AF191" s="33">
        <v>261</v>
      </c>
      <c r="AG191" s="33">
        <v>81.400000000000006</v>
      </c>
      <c r="AH191" s="33">
        <v>81.900000000000006</v>
      </c>
      <c r="AI191" s="33">
        <v>85.2</v>
      </c>
      <c r="AJ191" s="33">
        <v>84.3</v>
      </c>
      <c r="AK191" s="33">
        <v>178.72906800000001</v>
      </c>
      <c r="AL191" s="33">
        <v>88.8</v>
      </c>
      <c r="AM191" s="123">
        <v>38.355082477861245</v>
      </c>
      <c r="AN191" s="123">
        <v>81.567380062765665</v>
      </c>
      <c r="AO191" s="123">
        <v>60.730981151958076</v>
      </c>
      <c r="AP191" s="33">
        <v>47.88</v>
      </c>
      <c r="AQ191" s="33">
        <f t="shared" si="35"/>
        <v>0.56197183098591552</v>
      </c>
      <c r="AR191" s="33">
        <v>91.2</v>
      </c>
      <c r="AS191" s="33">
        <v>97</v>
      </c>
      <c r="AT191" s="33">
        <v>85.8</v>
      </c>
      <c r="AU191" s="33">
        <v>94.9</v>
      </c>
      <c r="AV191" s="65">
        <v>99.7</v>
      </c>
      <c r="AW191" s="33">
        <v>90.4</v>
      </c>
      <c r="AX191" s="33">
        <v>9.1</v>
      </c>
      <c r="AY191" s="33">
        <v>4</v>
      </c>
      <c r="AZ191" s="33">
        <v>0.7</v>
      </c>
      <c r="BA191" s="33">
        <v>0</v>
      </c>
      <c r="BB191" s="33">
        <v>88.3</v>
      </c>
      <c r="BC191" s="33">
        <v>94.2</v>
      </c>
      <c r="BD191" s="33">
        <v>82.8</v>
      </c>
      <c r="BE191" s="33">
        <v>-66.7</v>
      </c>
      <c r="BF191" s="33">
        <v>37</v>
      </c>
      <c r="BG191" s="33">
        <v>-15.7</v>
      </c>
      <c r="BH191" s="33">
        <v>158.30000000000001</v>
      </c>
      <c r="BI191" s="33">
        <v>1.2</v>
      </c>
      <c r="BJ191" s="34">
        <v>49.805611499999998</v>
      </c>
      <c r="BK191" s="45">
        <v>12.747276697253529</v>
      </c>
      <c r="BL191" s="33">
        <v>0.115</v>
      </c>
      <c r="BM191" s="33">
        <v>99.674199999999999</v>
      </c>
      <c r="BN191" s="33">
        <v>99.721599999999995</v>
      </c>
      <c r="BO191" s="33">
        <v>-18.600000000000001</v>
      </c>
      <c r="BP191" s="33">
        <v>-13.9</v>
      </c>
      <c r="BQ191" s="33">
        <v>11.2</v>
      </c>
      <c r="BR191" s="33">
        <v>3.2</v>
      </c>
      <c r="BS191" s="33">
        <v>1.1000000000000001</v>
      </c>
      <c r="BT191" s="33">
        <v>-14.7</v>
      </c>
      <c r="BU191" s="33">
        <v>-8.9</v>
      </c>
      <c r="BV191" s="33">
        <v>10</v>
      </c>
      <c r="BW191" s="33">
        <v>-15.5</v>
      </c>
      <c r="BX191" s="33">
        <v>-27.2</v>
      </c>
      <c r="BY191" s="33">
        <v>-43.2</v>
      </c>
      <c r="BZ191" s="33">
        <v>93.8</v>
      </c>
      <c r="CA191" s="33">
        <v>-15.5</v>
      </c>
      <c r="CB191" s="33">
        <v>-10.9</v>
      </c>
      <c r="CC191" s="33">
        <v>-3</v>
      </c>
      <c r="CD191" s="33">
        <v>-55.4</v>
      </c>
      <c r="CE191" s="33">
        <v>-30.1</v>
      </c>
      <c r="CF191" s="33">
        <v>28.8</v>
      </c>
      <c r="CG191" s="33">
        <v>28.6</v>
      </c>
      <c r="CH191" s="33">
        <v>41.5</v>
      </c>
      <c r="CI191" s="33">
        <v>-25.6</v>
      </c>
      <c r="CJ191" s="33">
        <v>-18.100000000000001</v>
      </c>
      <c r="CK191" s="33">
        <v>-1</v>
      </c>
      <c r="CL191" s="33">
        <v>18</v>
      </c>
      <c r="CM191" s="33">
        <v>3267.1004760000001</v>
      </c>
      <c r="CN191" s="33">
        <v>10303.44</v>
      </c>
      <c r="CO191" s="33">
        <v>1220.913333</v>
      </c>
      <c r="CP191" s="33">
        <v>4.1989999999999998</v>
      </c>
      <c r="CQ191" s="33">
        <v>4.0599999999999996</v>
      </c>
      <c r="CR191" s="33">
        <v>85.5</v>
      </c>
      <c r="CS191" s="121">
        <f t="shared" si="38"/>
        <v>33.75</v>
      </c>
      <c r="CT191" s="33">
        <v>103.4</v>
      </c>
      <c r="CU191" s="33">
        <v>104.9</v>
      </c>
      <c r="CV191" s="33">
        <v>100.3</v>
      </c>
      <c r="CW191" s="33">
        <v>111.5</v>
      </c>
      <c r="CX191" s="33">
        <v>96.2</v>
      </c>
      <c r="CY191" s="33">
        <v>5.69</v>
      </c>
      <c r="CZ191" s="33">
        <v>35421.512000000002</v>
      </c>
      <c r="DA191" s="33">
        <v>3.42</v>
      </c>
      <c r="DB191" s="33">
        <v>21.45</v>
      </c>
      <c r="DC191" s="33">
        <v>36.83</v>
      </c>
      <c r="DD191" s="33">
        <v>11.35</v>
      </c>
      <c r="DE191" s="33">
        <v>7839.9579999999996</v>
      </c>
      <c r="DF191" s="33">
        <v>1835.0260000000001</v>
      </c>
      <c r="DG191" s="33">
        <v>1468.1569999999999</v>
      </c>
      <c r="DH191" s="33">
        <v>1106.3789999999999</v>
      </c>
      <c r="DI191" s="33">
        <v>1937.5650000000001</v>
      </c>
      <c r="DJ191" s="33">
        <v>100.0551</v>
      </c>
      <c r="DK191" s="33">
        <v>100.0234</v>
      </c>
      <c r="DL191" s="33">
        <v>99.81</v>
      </c>
      <c r="DM191" s="33">
        <v>99.756</v>
      </c>
      <c r="DN191" s="33">
        <v>99.721599999999995</v>
      </c>
      <c r="DO191" s="33">
        <v>99.674199999999999</v>
      </c>
      <c r="DP191" s="33">
        <v>100.4053</v>
      </c>
      <c r="DQ191" s="33">
        <v>100.4455</v>
      </c>
      <c r="DR191" s="104">
        <v>92609</v>
      </c>
      <c r="DS191" s="103">
        <v>26323</v>
      </c>
      <c r="DT191" s="73">
        <v>93.3</v>
      </c>
      <c r="DU191">
        <v>85.083839416503906</v>
      </c>
      <c r="DV191">
        <v>80.35968017578125</v>
      </c>
      <c r="DW191">
        <v>2486</v>
      </c>
      <c r="DX191">
        <v>29625</v>
      </c>
      <c r="DY191">
        <v>71.900000000000006</v>
      </c>
      <c r="DZ191" t="s">
        <v>312</v>
      </c>
    </row>
    <row r="192" spans="1:130" x14ac:dyDescent="0.25">
      <c r="A192" s="1">
        <v>38565</v>
      </c>
      <c r="B192" s="33">
        <v>86.9</v>
      </c>
      <c r="C192" s="107">
        <v>2.06</v>
      </c>
      <c r="D192" s="33">
        <v>2</v>
      </c>
      <c r="E192" s="33">
        <v>2.12</v>
      </c>
      <c r="F192" s="33">
        <v>2.57</v>
      </c>
      <c r="G192" s="33">
        <v>2.91</v>
      </c>
      <c r="H192" s="33">
        <v>3.23</v>
      </c>
      <c r="I192" s="33">
        <f t="shared" si="28"/>
        <v>1.17</v>
      </c>
      <c r="J192" s="33">
        <f t="shared" si="29"/>
        <v>1.23</v>
      </c>
      <c r="K192" s="33">
        <f t="shared" si="30"/>
        <v>1.1099999999999999</v>
      </c>
      <c r="L192" s="33">
        <f t="shared" si="31"/>
        <v>-6.0000000000000053E-2</v>
      </c>
      <c r="M192" s="33">
        <v>98.3</v>
      </c>
      <c r="N192" s="33">
        <v>4890.8500000000004</v>
      </c>
      <c r="O192" s="33">
        <v>13.9</v>
      </c>
      <c r="P192" s="33">
        <v>716.9</v>
      </c>
      <c r="Q192" s="34">
        <f t="shared" si="32"/>
        <v>8.7426829268292678</v>
      </c>
      <c r="R192" s="60">
        <v>1463.4</v>
      </c>
      <c r="S192" s="34">
        <f t="shared" si="33"/>
        <v>1784.6341463414635</v>
      </c>
      <c r="T192" s="60">
        <v>1581</v>
      </c>
      <c r="U192" s="34">
        <f t="shared" si="34"/>
        <v>1928.0487804878048</v>
      </c>
      <c r="V192" s="116">
        <v>286521</v>
      </c>
      <c r="W192" s="116">
        <v>3323473</v>
      </c>
      <c r="X192" s="117">
        <v>5914509</v>
      </c>
      <c r="Y192" s="117">
        <v>996342</v>
      </c>
      <c r="Z192" s="33">
        <v>83.8</v>
      </c>
      <c r="AA192" s="33">
        <v>75.900000000000006</v>
      </c>
      <c r="AB192" s="33">
        <v>83</v>
      </c>
      <c r="AC192" s="33">
        <v>73.8</v>
      </c>
      <c r="AD192" s="33">
        <v>39339</v>
      </c>
      <c r="AE192" s="33">
        <v>11.7</v>
      </c>
      <c r="AF192" s="33">
        <v>269</v>
      </c>
      <c r="AG192" s="33">
        <v>81.7</v>
      </c>
      <c r="AH192" s="33">
        <v>82</v>
      </c>
      <c r="AI192" s="33">
        <v>85.5</v>
      </c>
      <c r="AJ192" s="33">
        <v>84.3</v>
      </c>
      <c r="AK192" s="33">
        <v>179.08510200000001</v>
      </c>
      <c r="AL192" s="33">
        <v>67.599999999999994</v>
      </c>
      <c r="AM192" s="123">
        <v>39.836120316115291</v>
      </c>
      <c r="AN192" s="123">
        <v>88.033087018960487</v>
      </c>
      <c r="AO192" s="123">
        <v>62.161067050355832</v>
      </c>
      <c r="AP192" s="33">
        <v>52.01</v>
      </c>
      <c r="AQ192" s="33">
        <f t="shared" si="35"/>
        <v>0.60830409356725146</v>
      </c>
      <c r="AR192" s="33">
        <v>91.7</v>
      </c>
      <c r="AS192" s="33">
        <v>96.8</v>
      </c>
      <c r="AT192" s="33">
        <v>86.8</v>
      </c>
      <c r="AU192" s="33">
        <v>95.4</v>
      </c>
      <c r="AV192" s="65">
        <v>100.2</v>
      </c>
      <c r="AW192" s="33">
        <v>90.8</v>
      </c>
      <c r="AX192" s="33">
        <v>7.6</v>
      </c>
      <c r="AY192" s="33">
        <v>0.9</v>
      </c>
      <c r="AZ192" s="33">
        <v>4.2</v>
      </c>
      <c r="BA192" s="33">
        <v>3.9</v>
      </c>
      <c r="BB192" s="33">
        <v>87.4</v>
      </c>
      <c r="BC192" s="33">
        <v>91.7</v>
      </c>
      <c r="BD192" s="33">
        <v>83.2</v>
      </c>
      <c r="BE192" s="33">
        <v>-61.1</v>
      </c>
      <c r="BF192" s="33">
        <v>50</v>
      </c>
      <c r="BG192" s="33">
        <v>-11.6</v>
      </c>
      <c r="BH192" s="33">
        <v>161.19999999999999</v>
      </c>
      <c r="BI192" s="33">
        <v>2.2999999999999998</v>
      </c>
      <c r="BJ192" s="34">
        <v>48.73882751</v>
      </c>
      <c r="BK192" s="45">
        <v>11.211446016639604</v>
      </c>
      <c r="BL192" s="33">
        <v>0.14799999999999999</v>
      </c>
      <c r="BM192" s="33">
        <v>99.8322</v>
      </c>
      <c r="BN192" s="33">
        <v>99.857299999999995</v>
      </c>
      <c r="BO192" s="33">
        <v>-18.2</v>
      </c>
      <c r="BP192" s="33">
        <v>-15</v>
      </c>
      <c r="BQ192" s="33">
        <v>10.8</v>
      </c>
      <c r="BR192" s="33">
        <v>4.9000000000000004</v>
      </c>
      <c r="BS192" s="33">
        <v>0.8</v>
      </c>
      <c r="BT192" s="33">
        <v>-13.8</v>
      </c>
      <c r="BU192" s="33">
        <v>-8</v>
      </c>
      <c r="BV192" s="33">
        <v>10.5</v>
      </c>
      <c r="BW192" s="33">
        <v>-13.9</v>
      </c>
      <c r="BX192" s="33">
        <v>-21.1</v>
      </c>
      <c r="BY192" s="33">
        <v>-41</v>
      </c>
      <c r="BZ192" s="33">
        <v>95.2</v>
      </c>
      <c r="CA192" s="33">
        <v>-13.9</v>
      </c>
      <c r="CB192" s="33">
        <v>-9.3000000000000007</v>
      </c>
      <c r="CC192" s="33">
        <v>-2.4</v>
      </c>
      <c r="CD192" s="33">
        <v>-51.3</v>
      </c>
      <c r="CE192" s="33">
        <v>-27.5</v>
      </c>
      <c r="CF192" s="33">
        <v>28.3</v>
      </c>
      <c r="CG192" s="33">
        <v>26.4</v>
      </c>
      <c r="CH192" s="33">
        <v>39.4</v>
      </c>
      <c r="CI192" s="33">
        <v>-21.4</v>
      </c>
      <c r="CJ192" s="33">
        <v>-16.600000000000001</v>
      </c>
      <c r="CK192" s="33">
        <v>3.2</v>
      </c>
      <c r="CL192" s="33">
        <v>20.7</v>
      </c>
      <c r="CM192" s="33">
        <v>3303.3191740000002</v>
      </c>
      <c r="CN192" s="33">
        <v>10623.16</v>
      </c>
      <c r="CO192" s="33">
        <v>1224.27</v>
      </c>
      <c r="CP192" s="33">
        <v>4.3520000000000003</v>
      </c>
      <c r="CQ192" s="33">
        <v>4.32</v>
      </c>
      <c r="CR192" s="33">
        <v>76.900000000000006</v>
      </c>
      <c r="CS192" s="121">
        <f t="shared" si="38"/>
        <v>33.049999999999997</v>
      </c>
      <c r="CT192" s="33">
        <v>103.6</v>
      </c>
      <c r="CU192" s="33">
        <v>105.5</v>
      </c>
      <c r="CV192" s="33">
        <v>100.5</v>
      </c>
      <c r="CW192" s="33">
        <v>107.8</v>
      </c>
      <c r="CX192" s="33">
        <v>97.8</v>
      </c>
      <c r="CY192" s="33">
        <v>6.02</v>
      </c>
      <c r="CZ192" s="33">
        <v>34002.1</v>
      </c>
      <c r="DA192" s="33">
        <v>3.79</v>
      </c>
      <c r="DB192" s="33">
        <v>21.83</v>
      </c>
      <c r="DC192" s="33">
        <v>37.76</v>
      </c>
      <c r="DD192" s="33">
        <v>11.08</v>
      </c>
      <c r="DE192" s="33">
        <v>8543.0229999999992</v>
      </c>
      <c r="DF192" s="33">
        <v>1990.6679999999999</v>
      </c>
      <c r="DG192" s="33">
        <v>1675.595</v>
      </c>
      <c r="DH192" s="33">
        <v>1173.6310000000001</v>
      </c>
      <c r="DI192" s="33">
        <v>2077.71</v>
      </c>
      <c r="DJ192" s="33">
        <v>100.07299999999999</v>
      </c>
      <c r="DK192" s="33">
        <v>100.0291</v>
      </c>
      <c r="DL192" s="33">
        <v>99.82</v>
      </c>
      <c r="DM192" s="33">
        <v>99.779700000000005</v>
      </c>
      <c r="DN192" s="33">
        <v>99.857299999999995</v>
      </c>
      <c r="DO192" s="33">
        <v>99.8322</v>
      </c>
      <c r="DP192" s="33">
        <v>100.4704</v>
      </c>
      <c r="DQ192" s="33">
        <v>100.5171</v>
      </c>
      <c r="DR192" s="104">
        <v>77283</v>
      </c>
      <c r="DS192" s="103">
        <v>26348</v>
      </c>
      <c r="DT192" s="73">
        <v>92</v>
      </c>
      <c r="DU192">
        <v>82.833488464355469</v>
      </c>
      <c r="DV192">
        <v>68.518013000488281</v>
      </c>
      <c r="DW192">
        <v>1769</v>
      </c>
      <c r="DX192">
        <v>31550</v>
      </c>
      <c r="DY192">
        <v>71.599999999999994</v>
      </c>
      <c r="DZ192" t="s">
        <v>312</v>
      </c>
    </row>
    <row r="193" spans="1:130" x14ac:dyDescent="0.25">
      <c r="A193" s="1">
        <v>38596</v>
      </c>
      <c r="B193" s="33">
        <v>88.9</v>
      </c>
      <c r="C193" s="107">
        <v>2.09</v>
      </c>
      <c r="D193" s="33">
        <v>2</v>
      </c>
      <c r="E193" s="33">
        <v>2.13</v>
      </c>
      <c r="F193" s="33">
        <v>2.4700000000000002</v>
      </c>
      <c r="G193" s="33">
        <v>2.77</v>
      </c>
      <c r="H193" s="33">
        <v>3.07</v>
      </c>
      <c r="I193" s="33">
        <f t="shared" si="28"/>
        <v>0.98</v>
      </c>
      <c r="J193" s="33">
        <f t="shared" si="29"/>
        <v>1.0699999999999998</v>
      </c>
      <c r="K193" s="33">
        <f t="shared" si="30"/>
        <v>0.94</v>
      </c>
      <c r="L193" s="33">
        <f t="shared" si="31"/>
        <v>-8.9999999999999858E-2</v>
      </c>
      <c r="M193" s="33">
        <v>98.1</v>
      </c>
      <c r="N193" s="33">
        <v>4842.9399999999996</v>
      </c>
      <c r="O193" s="33">
        <v>15.84</v>
      </c>
      <c r="P193" s="33">
        <v>719.2</v>
      </c>
      <c r="Q193" s="34">
        <f t="shared" si="32"/>
        <v>8.7493917274939168</v>
      </c>
      <c r="R193" s="60">
        <v>1468.4</v>
      </c>
      <c r="S193" s="34">
        <f t="shared" si="33"/>
        <v>1786.3746958637471</v>
      </c>
      <c r="T193" s="60">
        <v>1582.5</v>
      </c>
      <c r="U193" s="34">
        <f t="shared" si="34"/>
        <v>1925.1824817518248</v>
      </c>
      <c r="V193" s="116">
        <v>288048</v>
      </c>
      <c r="W193" s="116">
        <v>3343523</v>
      </c>
      <c r="X193" s="117">
        <v>5980748</v>
      </c>
      <c r="Y193" s="117">
        <v>991600</v>
      </c>
      <c r="Z193" s="33">
        <v>84.6</v>
      </c>
      <c r="AA193" s="33">
        <v>78.400000000000006</v>
      </c>
      <c r="AB193" s="33">
        <v>82.5</v>
      </c>
      <c r="AC193" s="33">
        <v>77.5</v>
      </c>
      <c r="AD193" s="33">
        <v>39397</v>
      </c>
      <c r="AE193" s="33">
        <v>11.6</v>
      </c>
      <c r="AF193" s="33">
        <v>277</v>
      </c>
      <c r="AG193" s="33">
        <v>81.900000000000006</v>
      </c>
      <c r="AH193" s="33">
        <v>82.2</v>
      </c>
      <c r="AI193" s="33">
        <v>86</v>
      </c>
      <c r="AJ193" s="33">
        <v>84.6</v>
      </c>
      <c r="AK193" s="33">
        <v>179.61915300000001</v>
      </c>
      <c r="AL193" s="33">
        <v>67.7</v>
      </c>
      <c r="AM193" s="123">
        <v>42.743292804668087</v>
      </c>
      <c r="AN193" s="123">
        <v>86.536589604743114</v>
      </c>
      <c r="AO193" s="123">
        <v>61.242882898947329</v>
      </c>
      <c r="AP193" s="33">
        <v>51.65</v>
      </c>
      <c r="AQ193" s="33">
        <f t="shared" si="35"/>
        <v>0.60058139534883714</v>
      </c>
      <c r="AR193" s="33">
        <v>93.4</v>
      </c>
      <c r="AS193" s="33">
        <v>98.6</v>
      </c>
      <c r="AT193" s="33">
        <v>88.5</v>
      </c>
      <c r="AU193" s="33">
        <v>96.5</v>
      </c>
      <c r="AV193" s="65">
        <v>101.3</v>
      </c>
      <c r="AW193" s="33">
        <v>92</v>
      </c>
      <c r="AX193" s="33">
        <v>8.1999999999999993</v>
      </c>
      <c r="AY193" s="33">
        <v>4.2</v>
      </c>
      <c r="AZ193" s="33">
        <v>5.8</v>
      </c>
      <c r="BA193" s="33">
        <v>3.8</v>
      </c>
      <c r="BB193" s="33">
        <v>91.6</v>
      </c>
      <c r="BC193" s="33">
        <v>95.4</v>
      </c>
      <c r="BD193" s="33">
        <v>87.9</v>
      </c>
      <c r="BE193" s="33">
        <v>-58.1</v>
      </c>
      <c r="BF193" s="33">
        <v>38.6</v>
      </c>
      <c r="BG193" s="33">
        <v>-4.5</v>
      </c>
      <c r="BH193" s="33">
        <v>158.5</v>
      </c>
      <c r="BI193" s="33">
        <v>1.9</v>
      </c>
      <c r="BJ193" s="34">
        <v>50.968839539999998</v>
      </c>
      <c r="BK193" s="45">
        <v>26.83151221928712</v>
      </c>
      <c r="BL193" s="33">
        <v>0.20200000000000001</v>
      </c>
      <c r="BM193" s="33">
        <v>100.04219999999999</v>
      </c>
      <c r="BN193" s="33">
        <v>100.0377</v>
      </c>
      <c r="BO193" s="33">
        <v>-14.3</v>
      </c>
      <c r="BP193" s="33">
        <v>-11.9</v>
      </c>
      <c r="BQ193" s="33">
        <v>10</v>
      </c>
      <c r="BR193" s="33">
        <v>5.3</v>
      </c>
      <c r="BS193" s="33">
        <v>4.9000000000000004</v>
      </c>
      <c r="BT193" s="33">
        <v>-11</v>
      </c>
      <c r="BU193" s="33">
        <v>-6.3</v>
      </c>
      <c r="BV193" s="33">
        <v>11.7</v>
      </c>
      <c r="BW193" s="33">
        <v>-13.9</v>
      </c>
      <c r="BX193" s="33">
        <v>-19.5</v>
      </c>
      <c r="BY193" s="33">
        <v>-37</v>
      </c>
      <c r="BZ193" s="33">
        <v>96.3</v>
      </c>
      <c r="CA193" s="33">
        <v>-13.9</v>
      </c>
      <c r="CB193" s="33">
        <v>-10.3</v>
      </c>
      <c r="CC193" s="33">
        <v>-3.7</v>
      </c>
      <c r="CD193" s="33">
        <v>-51.1</v>
      </c>
      <c r="CE193" s="33">
        <v>-26.1</v>
      </c>
      <c r="CF193" s="33">
        <v>34.299999999999997</v>
      </c>
      <c r="CG193" s="33">
        <v>31.1</v>
      </c>
      <c r="CH193" s="33">
        <v>36</v>
      </c>
      <c r="CI193" s="33">
        <v>-25.2</v>
      </c>
      <c r="CJ193" s="33">
        <v>-15.7</v>
      </c>
      <c r="CK193" s="33">
        <v>1.6</v>
      </c>
      <c r="CL193" s="33">
        <v>17.899999999999999</v>
      </c>
      <c r="CM193" s="33">
        <v>3351.844955</v>
      </c>
      <c r="CN193" s="33">
        <v>10459.629999999999</v>
      </c>
      <c r="CO193" s="33">
        <v>1225.5559089999999</v>
      </c>
      <c r="CP193" s="33">
        <v>4.1100000000000003</v>
      </c>
      <c r="CQ193" s="33">
        <v>4.0199999999999996</v>
      </c>
      <c r="CR193" s="33">
        <v>63.3</v>
      </c>
      <c r="CS193" s="121">
        <f t="shared" si="38"/>
        <v>32.850000000000009</v>
      </c>
      <c r="CT193" s="33">
        <v>103.5</v>
      </c>
      <c r="CU193" s="33">
        <v>105.6</v>
      </c>
      <c r="CV193" s="33">
        <v>102.9</v>
      </c>
      <c r="CW193" s="33">
        <v>109.4</v>
      </c>
      <c r="CX193" s="33">
        <v>99.6</v>
      </c>
      <c r="CY193" s="33">
        <v>5.69</v>
      </c>
      <c r="CZ193" s="33">
        <v>39002.11</v>
      </c>
      <c r="DA193" s="33">
        <v>3.33</v>
      </c>
      <c r="DB193" s="33">
        <v>21.92</v>
      </c>
      <c r="DC193" s="33">
        <v>38.36</v>
      </c>
      <c r="DD193" s="33">
        <v>11.33</v>
      </c>
      <c r="DE193" s="33">
        <v>8224.8700000000008</v>
      </c>
      <c r="DF193" s="33">
        <v>1859.492</v>
      </c>
      <c r="DG193" s="33">
        <v>1652.1210000000001</v>
      </c>
      <c r="DH193" s="33">
        <v>1091.98</v>
      </c>
      <c r="DI193" s="33">
        <v>2153.201</v>
      </c>
      <c r="DJ193" s="33">
        <v>100.0883</v>
      </c>
      <c r="DK193" s="33">
        <v>100.02970000000001</v>
      </c>
      <c r="DL193" s="33">
        <v>99.83</v>
      </c>
      <c r="DM193" s="33">
        <v>99.782399999999996</v>
      </c>
      <c r="DN193" s="33">
        <v>100.0377</v>
      </c>
      <c r="DO193" s="33">
        <v>100.04219999999999</v>
      </c>
      <c r="DP193" s="33">
        <v>100.566</v>
      </c>
      <c r="DQ193" s="33">
        <v>100.62220000000001</v>
      </c>
      <c r="DR193" s="104">
        <v>84120</v>
      </c>
      <c r="DS193" s="103">
        <v>26371</v>
      </c>
      <c r="DT193" s="73">
        <v>93.8</v>
      </c>
      <c r="DU193">
        <v>160.47383117675781</v>
      </c>
      <c r="DV193">
        <v>202.56431579589844</v>
      </c>
      <c r="DW193">
        <v>2548</v>
      </c>
      <c r="DX193">
        <v>65525</v>
      </c>
      <c r="DY193">
        <v>72.8</v>
      </c>
      <c r="DZ193" t="s">
        <v>312</v>
      </c>
    </row>
    <row r="194" spans="1:130" x14ac:dyDescent="0.25">
      <c r="A194" s="1">
        <v>38626</v>
      </c>
      <c r="B194" s="33">
        <v>90.5</v>
      </c>
      <c r="C194" s="107">
        <v>2.0699999999999998</v>
      </c>
      <c r="D194" s="33">
        <v>2</v>
      </c>
      <c r="E194" s="33">
        <v>2.16</v>
      </c>
      <c r="F194" s="33">
        <v>2.73</v>
      </c>
      <c r="G194" s="33">
        <v>2.98</v>
      </c>
      <c r="H194" s="33">
        <v>3.24</v>
      </c>
      <c r="I194" s="33">
        <f t="shared" si="28"/>
        <v>1.1700000000000004</v>
      </c>
      <c r="J194" s="33">
        <f t="shared" si="29"/>
        <v>1.2400000000000002</v>
      </c>
      <c r="K194" s="33">
        <f t="shared" si="30"/>
        <v>1.08</v>
      </c>
      <c r="L194" s="33">
        <f t="shared" si="31"/>
        <v>-6.999999999999984E-2</v>
      </c>
      <c r="M194" s="33">
        <v>98</v>
      </c>
      <c r="N194" s="33">
        <v>5082.07</v>
      </c>
      <c r="O194" s="33">
        <v>16.66</v>
      </c>
      <c r="P194" s="33">
        <v>724.8</v>
      </c>
      <c r="Q194" s="34">
        <f t="shared" si="32"/>
        <v>8.8175182481751815</v>
      </c>
      <c r="R194" s="60">
        <v>1475.5</v>
      </c>
      <c r="S194" s="34">
        <f t="shared" si="33"/>
        <v>1795.0121654501218</v>
      </c>
      <c r="T194" s="60">
        <v>1592.3</v>
      </c>
      <c r="U194" s="34">
        <f t="shared" si="34"/>
        <v>1937.1046228710461</v>
      </c>
      <c r="V194" s="116">
        <v>294041</v>
      </c>
      <c r="W194" s="116">
        <v>3370621</v>
      </c>
      <c r="X194" s="117">
        <v>6001860</v>
      </c>
      <c r="Y194" s="117">
        <v>989185</v>
      </c>
      <c r="Z194" s="33">
        <v>87</v>
      </c>
      <c r="AA194" s="33">
        <v>79.3</v>
      </c>
      <c r="AB194" s="33">
        <v>83.5</v>
      </c>
      <c r="AC194" s="33">
        <v>78.5</v>
      </c>
      <c r="AD194" s="33">
        <v>39413</v>
      </c>
      <c r="AE194" s="33">
        <v>11.5</v>
      </c>
      <c r="AF194" s="33">
        <v>285</v>
      </c>
      <c r="AG194" s="33">
        <v>82</v>
      </c>
      <c r="AH194" s="33">
        <v>82.2</v>
      </c>
      <c r="AI194" s="33">
        <v>86.5</v>
      </c>
      <c r="AJ194" s="33">
        <v>84.8</v>
      </c>
      <c r="AK194" s="33">
        <v>180.865272</v>
      </c>
      <c r="AL194" s="33">
        <v>68.400000000000006</v>
      </c>
      <c r="AM194" s="123">
        <v>41.218013476368739</v>
      </c>
      <c r="AN194" s="123">
        <v>82.197182131830857</v>
      </c>
      <c r="AO194" s="123">
        <v>62.382285371485878</v>
      </c>
      <c r="AP194" s="33">
        <v>49.01</v>
      </c>
      <c r="AQ194" s="33">
        <f t="shared" si="35"/>
        <v>0.56658959537572251</v>
      </c>
      <c r="AR194" s="33">
        <v>95.4</v>
      </c>
      <c r="AS194" s="33">
        <v>101.1</v>
      </c>
      <c r="AT194" s="33">
        <v>90</v>
      </c>
      <c r="AU194" s="33">
        <v>98.8</v>
      </c>
      <c r="AV194" s="65">
        <v>103.5</v>
      </c>
      <c r="AW194" s="33">
        <v>94.4</v>
      </c>
      <c r="AX194" s="33">
        <v>12.8</v>
      </c>
      <c r="AY194" s="33">
        <v>7.1</v>
      </c>
      <c r="AZ194" s="33">
        <v>11.3</v>
      </c>
      <c r="BA194" s="33">
        <v>4.7</v>
      </c>
      <c r="BB194" s="33">
        <v>94.4</v>
      </c>
      <c r="BC194" s="33">
        <v>99.2</v>
      </c>
      <c r="BD194" s="33">
        <v>89.8</v>
      </c>
      <c r="BE194" s="33">
        <v>-58</v>
      </c>
      <c r="BF194" s="33">
        <v>39.4</v>
      </c>
      <c r="BG194" s="33">
        <v>1.4</v>
      </c>
      <c r="BH194" s="33">
        <v>156.5</v>
      </c>
      <c r="BI194" s="33">
        <v>0.7</v>
      </c>
      <c r="BJ194" s="34">
        <v>53.147139070000001</v>
      </c>
      <c r="BK194" s="45">
        <v>30.179299202319058</v>
      </c>
      <c r="BL194" s="33">
        <v>0.28899999999999998</v>
      </c>
      <c r="BM194" s="33">
        <v>100.28440000000001</v>
      </c>
      <c r="BN194" s="33">
        <v>100.2458</v>
      </c>
      <c r="BO194" s="33">
        <v>-11.3</v>
      </c>
      <c r="BP194" s="33">
        <v>-9.1</v>
      </c>
      <c r="BQ194" s="33">
        <v>9.3000000000000007</v>
      </c>
      <c r="BR194" s="33">
        <v>7.9</v>
      </c>
      <c r="BS194" s="33">
        <v>3.9</v>
      </c>
      <c r="BT194" s="33">
        <v>-10</v>
      </c>
      <c r="BU194" s="33">
        <v>-4.2</v>
      </c>
      <c r="BV194" s="33">
        <v>12.1</v>
      </c>
      <c r="BW194" s="33">
        <v>-12.8</v>
      </c>
      <c r="BX194" s="33">
        <v>-21.2</v>
      </c>
      <c r="BY194" s="33">
        <v>-34.9</v>
      </c>
      <c r="BZ194" s="33">
        <v>97.6</v>
      </c>
      <c r="CA194" s="33">
        <v>-12.8</v>
      </c>
      <c r="CB194" s="33">
        <v>-9</v>
      </c>
      <c r="CC194" s="33">
        <v>-1.5</v>
      </c>
      <c r="CD194" s="33">
        <v>-47.9</v>
      </c>
      <c r="CE194" s="33">
        <v>-23.1</v>
      </c>
      <c r="CF194" s="33">
        <v>32.1</v>
      </c>
      <c r="CG194" s="33">
        <v>29.5</v>
      </c>
      <c r="CH194" s="33">
        <v>33.200000000000003</v>
      </c>
      <c r="CI194" s="33">
        <v>-22.4</v>
      </c>
      <c r="CJ194" s="33">
        <v>-17.600000000000001</v>
      </c>
      <c r="CK194" s="33">
        <v>1.3</v>
      </c>
      <c r="CL194" s="33">
        <v>19</v>
      </c>
      <c r="CM194" s="33">
        <v>3340.0625709999999</v>
      </c>
      <c r="CN194" s="33">
        <v>10535.48</v>
      </c>
      <c r="CO194" s="33">
        <v>1191.9642859999999</v>
      </c>
      <c r="CP194" s="33">
        <v>4.3079999999999998</v>
      </c>
      <c r="CQ194" s="33">
        <v>4.3899999999999997</v>
      </c>
      <c r="CR194" s="33">
        <v>63.2</v>
      </c>
      <c r="CS194" s="121">
        <f t="shared" si="38"/>
        <v>32.950000000000003</v>
      </c>
      <c r="CT194" s="33">
        <v>103.9</v>
      </c>
      <c r="CU194" s="33">
        <v>106.5</v>
      </c>
      <c r="CV194" s="33">
        <v>104.1</v>
      </c>
      <c r="CW194" s="33">
        <v>110.9</v>
      </c>
      <c r="CX194" s="33">
        <v>102.8</v>
      </c>
      <c r="CY194" s="33">
        <v>6.13</v>
      </c>
      <c r="CZ194" s="33">
        <v>39443.707000000002</v>
      </c>
      <c r="DA194" s="33">
        <v>4.0599999999999996</v>
      </c>
      <c r="DB194" s="33">
        <v>22.29</v>
      </c>
      <c r="DC194" s="33">
        <v>38.159999999999997</v>
      </c>
      <c r="DD194" s="33">
        <v>11.4</v>
      </c>
      <c r="DE194" s="33">
        <v>7514.3370000000004</v>
      </c>
      <c r="DF194" s="33">
        <v>1638.3779999999999</v>
      </c>
      <c r="DG194" s="33">
        <v>1538.9110000000001</v>
      </c>
      <c r="DH194" s="33">
        <v>1180.8530000000001</v>
      </c>
      <c r="DI194" s="33">
        <v>1782.6289999999999</v>
      </c>
      <c r="DJ194" s="33">
        <v>100.1071</v>
      </c>
      <c r="DK194" s="33">
        <v>100.0352</v>
      </c>
      <c r="DL194" s="33">
        <v>99.82</v>
      </c>
      <c r="DM194" s="33">
        <v>99.779499999999999</v>
      </c>
      <c r="DN194" s="33">
        <v>100.2458</v>
      </c>
      <c r="DO194" s="33">
        <v>100.28440000000001</v>
      </c>
      <c r="DP194" s="33">
        <v>100.7029</v>
      </c>
      <c r="DQ194" s="33">
        <v>100.77290000000001</v>
      </c>
      <c r="DR194" s="104">
        <v>90628</v>
      </c>
      <c r="DS194" s="103">
        <v>26369</v>
      </c>
      <c r="DT194" s="73">
        <v>94.9</v>
      </c>
      <c r="DU194">
        <v>71.51885986328125</v>
      </c>
      <c r="DV194">
        <v>83.172004699707031</v>
      </c>
      <c r="DW194">
        <v>2944</v>
      </c>
      <c r="DX194">
        <v>76350</v>
      </c>
      <c r="DY194">
        <v>74.8</v>
      </c>
      <c r="DZ194" t="s">
        <v>312</v>
      </c>
    </row>
    <row r="195" spans="1:130" x14ac:dyDescent="0.25">
      <c r="A195" s="1">
        <v>38657</v>
      </c>
      <c r="B195" s="33">
        <v>89.6</v>
      </c>
      <c r="C195" s="107">
        <v>2.09</v>
      </c>
      <c r="D195" s="33">
        <v>2</v>
      </c>
      <c r="E195" s="33">
        <v>2.23</v>
      </c>
      <c r="F195" s="33">
        <v>2.98</v>
      </c>
      <c r="G195" s="33">
        <v>3.22</v>
      </c>
      <c r="H195" s="33">
        <v>3.45</v>
      </c>
      <c r="I195" s="33">
        <f t="shared" si="28"/>
        <v>1.3600000000000003</v>
      </c>
      <c r="J195" s="33">
        <f t="shared" si="29"/>
        <v>1.4500000000000002</v>
      </c>
      <c r="K195" s="33">
        <f t="shared" si="30"/>
        <v>1.2200000000000002</v>
      </c>
      <c r="L195" s="33">
        <f t="shared" si="31"/>
        <v>-8.9999999999999858E-2</v>
      </c>
      <c r="M195" s="33">
        <v>97.8</v>
      </c>
      <c r="N195" s="33">
        <v>4922.55</v>
      </c>
      <c r="O195" s="33">
        <v>18.829999999999998</v>
      </c>
      <c r="P195" s="33">
        <v>719.6</v>
      </c>
      <c r="Q195" s="34">
        <f t="shared" si="32"/>
        <v>8.7436208991494535</v>
      </c>
      <c r="R195" s="60">
        <v>1471.7</v>
      </c>
      <c r="S195" s="34">
        <f t="shared" si="33"/>
        <v>1788.2138517618473</v>
      </c>
      <c r="T195" s="60">
        <v>1587.6</v>
      </c>
      <c r="U195" s="34">
        <f t="shared" si="34"/>
        <v>1929.0400972053462</v>
      </c>
      <c r="V195" s="116">
        <v>287235</v>
      </c>
      <c r="W195" s="116">
        <v>3390768</v>
      </c>
      <c r="X195" s="117">
        <v>6027064</v>
      </c>
      <c r="Y195" s="117">
        <v>998947</v>
      </c>
      <c r="Z195" s="33">
        <v>86</v>
      </c>
      <c r="AA195" s="33">
        <v>80.5</v>
      </c>
      <c r="AB195" s="33">
        <v>83.7</v>
      </c>
      <c r="AC195" s="33">
        <v>79.8</v>
      </c>
      <c r="AD195" s="33">
        <v>39455</v>
      </c>
      <c r="AE195" s="33">
        <v>11.5</v>
      </c>
      <c r="AF195" s="33">
        <v>285</v>
      </c>
      <c r="AG195" s="33">
        <v>81.900000000000006</v>
      </c>
      <c r="AH195" s="33">
        <v>82.3</v>
      </c>
      <c r="AI195" s="33">
        <v>86.9</v>
      </c>
      <c r="AJ195" s="33">
        <v>84.8</v>
      </c>
      <c r="AK195" s="33">
        <v>180.68725499999999</v>
      </c>
      <c r="AL195" s="33">
        <v>104.6</v>
      </c>
      <c r="AM195" s="123">
        <v>39.624533573931807</v>
      </c>
      <c r="AN195" s="123">
        <v>79.252423270410119</v>
      </c>
      <c r="AO195" s="123">
        <v>62.757517163194059</v>
      </c>
      <c r="AP195" s="33">
        <v>47.06</v>
      </c>
      <c r="AQ195" s="33">
        <f t="shared" si="35"/>
        <v>0.54154200230149596</v>
      </c>
      <c r="AR195" s="33">
        <v>95</v>
      </c>
      <c r="AS195" s="33">
        <v>99.9</v>
      </c>
      <c r="AT195" s="33">
        <v>90.3</v>
      </c>
      <c r="AU195" s="33">
        <v>98.1</v>
      </c>
      <c r="AV195" s="65">
        <v>102.4</v>
      </c>
      <c r="AW195" s="33">
        <v>94</v>
      </c>
      <c r="AX195" s="33">
        <v>13.5</v>
      </c>
      <c r="AY195" s="33">
        <v>5</v>
      </c>
      <c r="AZ195" s="33">
        <v>10.4</v>
      </c>
      <c r="BA195" s="33">
        <v>5.3</v>
      </c>
      <c r="BB195" s="33">
        <v>93.4</v>
      </c>
      <c r="BC195" s="33">
        <v>97.5</v>
      </c>
      <c r="BD195" s="33">
        <v>89.4</v>
      </c>
      <c r="BE195" s="33">
        <v>-55.2</v>
      </c>
      <c r="BF195" s="33">
        <v>38.700000000000003</v>
      </c>
      <c r="BG195" s="33">
        <v>-8.6</v>
      </c>
      <c r="BH195" s="33">
        <v>158.9</v>
      </c>
      <c r="BI195" s="33">
        <v>1</v>
      </c>
      <c r="BJ195" s="34">
        <v>52.679224980000001</v>
      </c>
      <c r="BK195" s="45">
        <v>28.109132176791732</v>
      </c>
      <c r="BL195" s="33">
        <v>0.40699999999999997</v>
      </c>
      <c r="BM195" s="33">
        <v>100.54</v>
      </c>
      <c r="BN195" s="33">
        <v>100.4654</v>
      </c>
      <c r="BO195" s="33">
        <v>-11.9</v>
      </c>
      <c r="BP195" s="33">
        <v>-9.9</v>
      </c>
      <c r="BQ195" s="33">
        <v>8.8000000000000007</v>
      </c>
      <c r="BR195" s="33">
        <v>5.4</v>
      </c>
      <c r="BS195" s="33">
        <v>6.5</v>
      </c>
      <c r="BT195" s="33">
        <v>-11.9</v>
      </c>
      <c r="BU195" s="33">
        <v>-5.0999999999999996</v>
      </c>
      <c r="BV195" s="33">
        <v>11.2</v>
      </c>
      <c r="BW195" s="33">
        <v>-12.3</v>
      </c>
      <c r="BX195" s="33">
        <v>-21.3</v>
      </c>
      <c r="BY195" s="33">
        <v>-34.9</v>
      </c>
      <c r="BZ195" s="33">
        <v>97.2</v>
      </c>
      <c r="CA195" s="33">
        <v>-12.3</v>
      </c>
      <c r="CB195" s="33">
        <v>-7.3</v>
      </c>
      <c r="CC195" s="33">
        <v>-3</v>
      </c>
      <c r="CD195" s="33">
        <v>-47.4</v>
      </c>
      <c r="CE195" s="33">
        <v>-25.2</v>
      </c>
      <c r="CF195" s="33">
        <v>30.4</v>
      </c>
      <c r="CG195" s="33">
        <v>36.299999999999997</v>
      </c>
      <c r="CH195" s="33">
        <v>31.5</v>
      </c>
      <c r="CI195" s="33">
        <v>-21.6</v>
      </c>
      <c r="CJ195" s="33">
        <v>-13.7</v>
      </c>
      <c r="CK195" s="33">
        <v>2.6</v>
      </c>
      <c r="CL195" s="33">
        <v>18.899999999999999</v>
      </c>
      <c r="CM195" s="33">
        <v>3404.8939999999998</v>
      </c>
      <c r="CN195" s="33">
        <v>10406.77</v>
      </c>
      <c r="CO195" s="33">
        <v>1238.6522729999999</v>
      </c>
      <c r="CP195" s="33">
        <v>4.3380000000000001</v>
      </c>
      <c r="CQ195" s="33">
        <v>4.58</v>
      </c>
      <c r="CR195" s="33">
        <v>69.599999999999994</v>
      </c>
      <c r="CS195" s="121">
        <f t="shared" si="38"/>
        <v>32.549999999999997</v>
      </c>
      <c r="CT195" s="33">
        <v>101.3</v>
      </c>
      <c r="CU195" s="33">
        <v>104.3</v>
      </c>
      <c r="CV195" s="33">
        <v>104.6</v>
      </c>
      <c r="CW195" s="33">
        <v>110.5</v>
      </c>
      <c r="CX195" s="33">
        <v>103.8</v>
      </c>
      <c r="CY195" s="33">
        <v>5.79</v>
      </c>
      <c r="CZ195" s="33">
        <v>41841.866000000002</v>
      </c>
      <c r="DA195" s="33">
        <v>3.49</v>
      </c>
      <c r="DB195" s="33">
        <v>22.25</v>
      </c>
      <c r="DC195" s="33">
        <v>38.74</v>
      </c>
      <c r="DD195" s="33">
        <v>10.92</v>
      </c>
      <c r="DE195" s="33">
        <v>7717.5219999999999</v>
      </c>
      <c r="DF195" s="33">
        <v>1764.4649999999999</v>
      </c>
      <c r="DG195" s="33">
        <v>1615.4469999999999</v>
      </c>
      <c r="DH195" s="33">
        <v>1070.83</v>
      </c>
      <c r="DI195" s="33">
        <v>1849.8620000000001</v>
      </c>
      <c r="DJ195" s="33">
        <v>100.1332</v>
      </c>
      <c r="DK195" s="33">
        <v>100.0535</v>
      </c>
      <c r="DL195" s="33">
        <v>99.83</v>
      </c>
      <c r="DM195" s="33">
        <v>99.784899999999993</v>
      </c>
      <c r="DN195" s="33">
        <v>100.4654</v>
      </c>
      <c r="DO195" s="33">
        <v>100.54</v>
      </c>
      <c r="DP195" s="33">
        <v>100.8682</v>
      </c>
      <c r="DQ195" s="33">
        <v>100.9547</v>
      </c>
      <c r="DR195" s="104">
        <v>85348</v>
      </c>
      <c r="DS195" s="103">
        <v>26399</v>
      </c>
      <c r="DT195" s="73">
        <v>93.7</v>
      </c>
      <c r="DU195">
        <v>95.447647094726563</v>
      </c>
      <c r="DV195">
        <v>140.0655517578125</v>
      </c>
      <c r="DW195">
        <v>3081</v>
      </c>
      <c r="DX195">
        <v>64900</v>
      </c>
      <c r="DY195">
        <v>74.5</v>
      </c>
      <c r="DZ195" t="s">
        <v>312</v>
      </c>
    </row>
    <row r="196" spans="1:130" x14ac:dyDescent="0.25">
      <c r="A196" s="1">
        <v>38687</v>
      </c>
      <c r="B196" s="33">
        <v>89.9</v>
      </c>
      <c r="C196" s="107">
        <v>2.2799999999999998</v>
      </c>
      <c r="D196" s="33">
        <v>2.25</v>
      </c>
      <c r="E196" s="33">
        <v>2.34</v>
      </c>
      <c r="F196" s="33">
        <v>2.98</v>
      </c>
      <c r="G196" s="33">
        <v>3.16</v>
      </c>
      <c r="H196" s="33">
        <v>3.34</v>
      </c>
      <c r="I196" s="33">
        <f t="shared" si="28"/>
        <v>1.06</v>
      </c>
      <c r="J196" s="33">
        <f t="shared" si="29"/>
        <v>1.0899999999999999</v>
      </c>
      <c r="K196" s="33">
        <f t="shared" si="30"/>
        <v>1</v>
      </c>
      <c r="L196" s="33">
        <f t="shared" si="31"/>
        <v>-2.9999999999999805E-2</v>
      </c>
      <c r="M196" s="33">
        <v>97.9</v>
      </c>
      <c r="N196" s="33">
        <v>5266.55</v>
      </c>
      <c r="O196" s="33">
        <v>14.17</v>
      </c>
      <c r="P196" s="33">
        <v>723.2</v>
      </c>
      <c r="Q196" s="34">
        <f t="shared" si="32"/>
        <v>8.8087697929354452</v>
      </c>
      <c r="R196" s="60">
        <v>1477.1</v>
      </c>
      <c r="S196" s="34">
        <f t="shared" si="33"/>
        <v>1799.1473812423874</v>
      </c>
      <c r="T196" s="60">
        <v>1590.1</v>
      </c>
      <c r="U196" s="34">
        <f t="shared" si="34"/>
        <v>1936.7844092570035</v>
      </c>
      <c r="V196" s="116">
        <v>280437</v>
      </c>
      <c r="W196" s="116">
        <v>3422279</v>
      </c>
      <c r="X196" s="117">
        <v>6093186</v>
      </c>
      <c r="Y196" s="117">
        <v>994502</v>
      </c>
      <c r="Z196" s="33">
        <v>86.4</v>
      </c>
      <c r="AA196" s="33">
        <v>80</v>
      </c>
      <c r="AB196" s="33">
        <v>83.9</v>
      </c>
      <c r="AC196" s="33">
        <v>78.099999999999994</v>
      </c>
      <c r="AD196" s="33">
        <v>39464</v>
      </c>
      <c r="AE196" s="33">
        <v>11.3</v>
      </c>
      <c r="AF196" s="33">
        <v>288</v>
      </c>
      <c r="AG196" s="33">
        <v>81.900000000000006</v>
      </c>
      <c r="AH196" s="33">
        <v>82.1</v>
      </c>
      <c r="AI196" s="33">
        <v>87.4</v>
      </c>
      <c r="AJ196" s="33">
        <v>85</v>
      </c>
      <c r="AK196" s="33">
        <v>181.221306</v>
      </c>
      <c r="AL196" s="33">
        <v>67.8</v>
      </c>
      <c r="AM196" s="123">
        <v>37.895591325380906</v>
      </c>
      <c r="AN196" s="123">
        <v>81.298527141418987</v>
      </c>
      <c r="AO196" s="123">
        <v>67.361736923173225</v>
      </c>
      <c r="AP196" s="33">
        <v>48.19</v>
      </c>
      <c r="AQ196" s="33">
        <f t="shared" si="35"/>
        <v>0.55137299771167037</v>
      </c>
      <c r="AR196" s="33">
        <v>95.8</v>
      </c>
      <c r="AS196" s="33">
        <v>101.5</v>
      </c>
      <c r="AT196" s="33">
        <v>90.5</v>
      </c>
      <c r="AU196" s="33">
        <v>99.2</v>
      </c>
      <c r="AV196" s="65">
        <v>103.9</v>
      </c>
      <c r="AW196" s="33">
        <v>94.7</v>
      </c>
      <c r="AX196" s="33">
        <v>13.8</v>
      </c>
      <c r="AY196" s="33">
        <v>8.4</v>
      </c>
      <c r="AZ196" s="33">
        <v>12.4</v>
      </c>
      <c r="BA196" s="33">
        <v>7.6</v>
      </c>
      <c r="BB196" s="33">
        <v>95.2</v>
      </c>
      <c r="BC196" s="33">
        <v>99</v>
      </c>
      <c r="BD196" s="33">
        <v>91.6</v>
      </c>
      <c r="BE196" s="33">
        <v>-44.4</v>
      </c>
      <c r="BF196" s="33">
        <v>61.6</v>
      </c>
      <c r="BG196" s="33">
        <v>11.9</v>
      </c>
      <c r="BH196" s="33">
        <v>153.80000000000001</v>
      </c>
      <c r="BI196" s="33">
        <v>18.8</v>
      </c>
      <c r="BJ196" s="34">
        <v>53.557605369999997</v>
      </c>
      <c r="BK196" s="45">
        <v>29.168620969654494</v>
      </c>
      <c r="BL196" s="33">
        <v>0.53600000000000003</v>
      </c>
      <c r="BM196" s="33">
        <v>100.8074</v>
      </c>
      <c r="BN196" s="33">
        <v>100.6952</v>
      </c>
      <c r="BO196" s="33">
        <v>-9.1</v>
      </c>
      <c r="BP196" s="33">
        <v>-6.5</v>
      </c>
      <c r="BQ196" s="33">
        <v>9.3000000000000007</v>
      </c>
      <c r="BR196" s="33">
        <v>7.1</v>
      </c>
      <c r="BS196" s="33">
        <v>4.7</v>
      </c>
      <c r="BT196" s="33">
        <v>-11.2</v>
      </c>
      <c r="BU196" s="33">
        <v>-3.8</v>
      </c>
      <c r="BV196" s="33">
        <v>14.6</v>
      </c>
      <c r="BW196" s="33">
        <v>-11.8</v>
      </c>
      <c r="BX196" s="33">
        <v>-19.399999999999999</v>
      </c>
      <c r="BY196" s="33">
        <v>-36.299999999999997</v>
      </c>
      <c r="BZ196" s="33">
        <v>98.6</v>
      </c>
      <c r="CA196" s="33">
        <v>-11.8</v>
      </c>
      <c r="CB196" s="33">
        <v>-9.4</v>
      </c>
      <c r="CC196" s="33">
        <v>-3.1</v>
      </c>
      <c r="CD196" s="33">
        <v>-42.5</v>
      </c>
      <c r="CE196" s="33">
        <v>-20.7</v>
      </c>
      <c r="CF196" s="33">
        <v>28.2</v>
      </c>
      <c r="CG196" s="33">
        <v>33.200000000000003</v>
      </c>
      <c r="CH196" s="33">
        <v>29.7</v>
      </c>
      <c r="CI196" s="33">
        <v>-17.2</v>
      </c>
      <c r="CJ196" s="33">
        <v>-14.2</v>
      </c>
      <c r="CK196" s="33">
        <v>1.1000000000000001</v>
      </c>
      <c r="CL196" s="33">
        <v>19.899999999999999</v>
      </c>
      <c r="CM196" s="33">
        <v>3550.055636</v>
      </c>
      <c r="CN196" s="33">
        <v>10912.57</v>
      </c>
      <c r="CO196" s="33">
        <v>1262.370909</v>
      </c>
      <c r="CP196" s="33">
        <v>4.1840000000000002</v>
      </c>
      <c r="CQ196" s="33">
        <v>4.5199999999999996</v>
      </c>
      <c r="CR196" s="33">
        <v>80.2</v>
      </c>
      <c r="CS196" s="121">
        <f t="shared" si="38"/>
        <v>35.150000000000006</v>
      </c>
      <c r="CT196" s="33">
        <v>103.4</v>
      </c>
      <c r="CU196" s="33">
        <v>105.5</v>
      </c>
      <c r="CV196" s="33">
        <v>105.4</v>
      </c>
      <c r="CW196" s="33">
        <v>112.1</v>
      </c>
      <c r="CX196" s="33">
        <v>101.4</v>
      </c>
      <c r="CY196" s="33">
        <v>6.07</v>
      </c>
      <c r="CZ196" s="33">
        <v>37441.682999999997</v>
      </c>
      <c r="DA196" s="33">
        <v>3.25</v>
      </c>
      <c r="DB196" s="33">
        <v>22.69</v>
      </c>
      <c r="DC196" s="33">
        <v>39.049999999999997</v>
      </c>
      <c r="DD196" s="33">
        <v>11.58</v>
      </c>
      <c r="DE196" s="33">
        <v>7990.4679999999998</v>
      </c>
      <c r="DF196" s="33">
        <v>1755.452</v>
      </c>
      <c r="DG196" s="33">
        <v>1643.0050000000001</v>
      </c>
      <c r="DH196" s="33">
        <v>1087.3510000000001</v>
      </c>
      <c r="DI196" s="33">
        <v>1948.1969999999999</v>
      </c>
      <c r="DJ196" s="33">
        <v>100.1704</v>
      </c>
      <c r="DK196" s="33">
        <v>100.0907</v>
      </c>
      <c r="DL196" s="33">
        <v>99.85</v>
      </c>
      <c r="DM196" s="33">
        <v>99.812399999999997</v>
      </c>
      <c r="DN196" s="33">
        <v>100.6952</v>
      </c>
      <c r="DO196" s="33">
        <v>100.8074</v>
      </c>
      <c r="DP196" s="33">
        <v>101.026</v>
      </c>
      <c r="DQ196" s="33">
        <v>101.1283</v>
      </c>
      <c r="DR196" s="104">
        <v>71869</v>
      </c>
      <c r="DS196" s="103">
        <v>26375</v>
      </c>
      <c r="DT196" s="73">
        <v>94.8</v>
      </c>
      <c r="DU196">
        <v>61.47662353515625</v>
      </c>
      <c r="DV196">
        <v>63.615402221679688</v>
      </c>
      <c r="DW196">
        <v>2772</v>
      </c>
      <c r="DX196">
        <v>73650</v>
      </c>
      <c r="DY196">
        <v>74.8</v>
      </c>
      <c r="DZ196" t="s">
        <v>312</v>
      </c>
    </row>
    <row r="197" spans="1:130" x14ac:dyDescent="0.25">
      <c r="A197" s="1">
        <v>38718</v>
      </c>
      <c r="B197" s="33">
        <v>90.4</v>
      </c>
      <c r="C197" s="107">
        <v>2.33</v>
      </c>
      <c r="D197" s="33">
        <v>2.25</v>
      </c>
      <c r="E197" s="33">
        <v>2.4500000000000002</v>
      </c>
      <c r="F197" s="33">
        <v>3.03</v>
      </c>
      <c r="G197" s="33">
        <v>3.19</v>
      </c>
      <c r="H197" s="33">
        <v>3.32</v>
      </c>
      <c r="I197" s="33">
        <f t="shared" si="28"/>
        <v>0.98999999999999977</v>
      </c>
      <c r="J197" s="33">
        <f t="shared" si="29"/>
        <v>1.0699999999999998</v>
      </c>
      <c r="K197" s="33">
        <f t="shared" si="30"/>
        <v>0.86999999999999966</v>
      </c>
      <c r="L197" s="33">
        <f t="shared" si="31"/>
        <v>-8.0000000000000071E-2</v>
      </c>
      <c r="M197" s="33">
        <v>98</v>
      </c>
      <c r="N197" s="33">
        <v>5449.98</v>
      </c>
      <c r="O197" s="33">
        <v>15.12</v>
      </c>
      <c r="P197" s="33">
        <v>726</v>
      </c>
      <c r="Q197" s="34">
        <f t="shared" si="32"/>
        <v>8.8213851761846911</v>
      </c>
      <c r="R197" s="60">
        <v>1486.3</v>
      </c>
      <c r="S197" s="34">
        <f t="shared" si="33"/>
        <v>1805.9538274605102</v>
      </c>
      <c r="T197" s="60">
        <v>1598.6</v>
      </c>
      <c r="U197" s="34">
        <f t="shared" si="34"/>
        <v>1942.4058323207778</v>
      </c>
      <c r="V197" s="116">
        <v>287719</v>
      </c>
      <c r="W197" s="116">
        <v>3445371</v>
      </c>
      <c r="X197" s="117">
        <v>6124570</v>
      </c>
      <c r="Y197" s="117">
        <v>995989</v>
      </c>
      <c r="Z197" s="33">
        <v>87</v>
      </c>
      <c r="AA197" s="33">
        <v>80.7</v>
      </c>
      <c r="AB197" s="33">
        <v>83.4</v>
      </c>
      <c r="AC197" s="33">
        <v>80.099999999999994</v>
      </c>
      <c r="AD197" s="33">
        <v>39282</v>
      </c>
      <c r="AE197" s="33">
        <v>11.4</v>
      </c>
      <c r="AF197" s="33">
        <v>293</v>
      </c>
      <c r="AG197" s="33">
        <v>82.1</v>
      </c>
      <c r="AH197" s="33">
        <v>82.3</v>
      </c>
      <c r="AI197" s="33">
        <v>87.9</v>
      </c>
      <c r="AJ197" s="33">
        <v>85</v>
      </c>
      <c r="AK197" s="33">
        <v>183.71354400000001</v>
      </c>
      <c r="AL197" s="33">
        <v>67.7</v>
      </c>
      <c r="AM197" s="123">
        <v>41.060233729931745</v>
      </c>
      <c r="AN197" s="123">
        <v>88.623372138103477</v>
      </c>
      <c r="AO197" s="123">
        <v>69.788312460751499</v>
      </c>
      <c r="AP197" s="33">
        <v>52.28</v>
      </c>
      <c r="AQ197" s="33">
        <f t="shared" si="35"/>
        <v>0.59476678043230946</v>
      </c>
      <c r="AR197" s="33">
        <v>97.9</v>
      </c>
      <c r="AS197" s="33">
        <v>103.5</v>
      </c>
      <c r="AT197" s="33">
        <v>92.6</v>
      </c>
      <c r="AU197" s="33">
        <v>100.3</v>
      </c>
      <c r="AV197" s="65">
        <v>105.2</v>
      </c>
      <c r="AW197" s="33">
        <v>95.7</v>
      </c>
      <c r="AX197" s="33">
        <v>17.8</v>
      </c>
      <c r="AY197" s="33">
        <v>13</v>
      </c>
      <c r="AZ197" s="33">
        <v>15.2</v>
      </c>
      <c r="BA197" s="33">
        <v>8.6999999999999993</v>
      </c>
      <c r="BB197" s="33">
        <v>97.5</v>
      </c>
      <c r="BC197" s="33">
        <v>103.5</v>
      </c>
      <c r="BD197" s="33">
        <v>91.9</v>
      </c>
      <c r="BE197" s="33">
        <v>-31.6</v>
      </c>
      <c r="BF197" s="33">
        <v>71</v>
      </c>
      <c r="BG197" s="33">
        <v>23.5</v>
      </c>
      <c r="BH197" s="33">
        <v>145.1</v>
      </c>
      <c r="BI197" s="33">
        <v>43.4</v>
      </c>
      <c r="BJ197" s="34">
        <v>54.980679879999997</v>
      </c>
      <c r="BK197" s="45">
        <v>16.40922786734124</v>
      </c>
      <c r="BL197" s="33">
        <v>0.628</v>
      </c>
      <c r="BM197" s="33">
        <v>101.0655</v>
      </c>
      <c r="BN197" s="33">
        <v>100.91679999999999</v>
      </c>
      <c r="BO197" s="33">
        <v>-6.8</v>
      </c>
      <c r="BP197" s="33">
        <v>-7.2</v>
      </c>
      <c r="BQ197" s="33">
        <v>7.4</v>
      </c>
      <c r="BR197" s="33">
        <v>10.3</v>
      </c>
      <c r="BS197" s="33">
        <v>4.9000000000000004</v>
      </c>
      <c r="BT197" s="33">
        <v>-11.2</v>
      </c>
      <c r="BU197" s="33">
        <v>-1.3</v>
      </c>
      <c r="BV197" s="33">
        <v>14.5</v>
      </c>
      <c r="BW197" s="33">
        <v>-8.5</v>
      </c>
      <c r="BX197" s="33">
        <v>-14.1</v>
      </c>
      <c r="BY197" s="33">
        <v>-31.6</v>
      </c>
      <c r="BZ197" s="33">
        <v>101.4</v>
      </c>
      <c r="CA197" s="33">
        <v>-8.5</v>
      </c>
      <c r="CB197" s="33">
        <v>-6.1</v>
      </c>
      <c r="CC197" s="33">
        <v>0.9</v>
      </c>
      <c r="CD197" s="33">
        <v>-35.5</v>
      </c>
      <c r="CE197" s="33">
        <v>-17.600000000000001</v>
      </c>
      <c r="CF197" s="33">
        <v>26.8</v>
      </c>
      <c r="CG197" s="33">
        <v>27.4</v>
      </c>
      <c r="CH197" s="33">
        <v>29.3</v>
      </c>
      <c r="CI197" s="33">
        <v>-8.8000000000000007</v>
      </c>
      <c r="CJ197" s="33">
        <v>-11.4</v>
      </c>
      <c r="CK197" s="33">
        <v>1.9</v>
      </c>
      <c r="CL197" s="33">
        <v>20.7</v>
      </c>
      <c r="CM197" s="33">
        <v>3626.937727</v>
      </c>
      <c r="CN197" s="33">
        <v>10717.5</v>
      </c>
      <c r="CO197" s="33">
        <v>1277.7436359999999</v>
      </c>
      <c r="CP197" s="33">
        <v>4.0979999999999999</v>
      </c>
      <c r="CQ197" s="33">
        <v>4.3899999999999997</v>
      </c>
      <c r="CR197" s="33">
        <v>78.900000000000006</v>
      </c>
      <c r="CS197" s="121">
        <f t="shared" si="38"/>
        <v>33.049999999999997</v>
      </c>
      <c r="CT197" s="33">
        <v>105.9</v>
      </c>
      <c r="CU197" s="33">
        <v>101.7</v>
      </c>
      <c r="CV197" s="33">
        <v>106.9</v>
      </c>
      <c r="CW197" s="33">
        <v>112.6</v>
      </c>
      <c r="CX197" s="33">
        <v>105.6</v>
      </c>
      <c r="CY197" s="33">
        <v>6.08</v>
      </c>
      <c r="CZ197" s="33">
        <v>39044.074000000001</v>
      </c>
      <c r="DA197" s="33">
        <v>3.98</v>
      </c>
      <c r="DB197" s="33">
        <v>23.16</v>
      </c>
      <c r="DC197" s="33">
        <v>40.01</v>
      </c>
      <c r="DD197" s="33">
        <v>11.96</v>
      </c>
      <c r="DE197" s="33">
        <v>8106.335</v>
      </c>
      <c r="DF197" s="33">
        <v>1698.758</v>
      </c>
      <c r="DG197" s="33">
        <v>1414.2619999999999</v>
      </c>
      <c r="DH197" s="33">
        <v>1155.865</v>
      </c>
      <c r="DI197" s="33">
        <v>1881.4169999999999</v>
      </c>
      <c r="DJ197" s="33">
        <v>100.21550000000001</v>
      </c>
      <c r="DK197" s="33">
        <v>100.1417</v>
      </c>
      <c r="DL197" s="33">
        <v>99.89</v>
      </c>
      <c r="DM197" s="33">
        <v>99.863100000000003</v>
      </c>
      <c r="DN197" s="33">
        <v>100.91679999999999</v>
      </c>
      <c r="DO197" s="33">
        <v>101.0655</v>
      </c>
      <c r="DP197" s="33">
        <v>101.14870000000001</v>
      </c>
      <c r="DQ197" s="33">
        <v>101.2633</v>
      </c>
      <c r="DR197" s="104">
        <v>77497</v>
      </c>
      <c r="DS197" s="103">
        <v>26294</v>
      </c>
      <c r="DT197" s="73">
        <v>96.5</v>
      </c>
      <c r="DU197">
        <v>83.961135864257813</v>
      </c>
      <c r="DV197">
        <v>88.123405456542969</v>
      </c>
      <c r="DW197">
        <v>2407</v>
      </c>
      <c r="DX197">
        <v>92225</v>
      </c>
      <c r="DY197">
        <v>73.599999999999994</v>
      </c>
      <c r="DZ197" t="s">
        <v>312</v>
      </c>
    </row>
    <row r="198" spans="1:130" x14ac:dyDescent="0.25">
      <c r="A198" s="1">
        <v>38749</v>
      </c>
      <c r="B198" s="33">
        <v>90.6</v>
      </c>
      <c r="C198" s="107">
        <v>2.35</v>
      </c>
      <c r="D198" s="33">
        <v>2.25</v>
      </c>
      <c r="E198" s="33">
        <v>2.5299999999999998</v>
      </c>
      <c r="F198" s="33">
        <v>3.17</v>
      </c>
      <c r="G198" s="33">
        <v>3.34</v>
      </c>
      <c r="H198" s="33">
        <v>3.47</v>
      </c>
      <c r="I198" s="33">
        <f t="shared" ref="I198:I243" si="39">H198-C198</f>
        <v>1.1200000000000001</v>
      </c>
      <c r="J198" s="33">
        <f t="shared" si="29"/>
        <v>1.2200000000000002</v>
      </c>
      <c r="K198" s="33">
        <f t="shared" si="30"/>
        <v>0.94000000000000039</v>
      </c>
      <c r="L198" s="33">
        <f t="shared" si="31"/>
        <v>-0.10000000000000009</v>
      </c>
      <c r="M198" s="33">
        <v>98</v>
      </c>
      <c r="N198" s="33">
        <v>5726.53</v>
      </c>
      <c r="O198" s="33">
        <v>16.39</v>
      </c>
      <c r="P198" s="33">
        <v>726.1</v>
      </c>
      <c r="Q198" s="34">
        <f t="shared" si="32"/>
        <v>8.8226002430133654</v>
      </c>
      <c r="R198" s="60">
        <v>1489</v>
      </c>
      <c r="S198" s="34">
        <f t="shared" si="33"/>
        <v>1809.2345078979345</v>
      </c>
      <c r="T198" s="60">
        <v>1599.7</v>
      </c>
      <c r="U198" s="34">
        <f t="shared" si="34"/>
        <v>1943.7424058323209</v>
      </c>
      <c r="V198" s="116">
        <v>284774</v>
      </c>
      <c r="W198" s="116">
        <v>3470031</v>
      </c>
      <c r="X198" s="117">
        <v>6175649</v>
      </c>
      <c r="Y198" s="117">
        <v>995233</v>
      </c>
      <c r="Z198" s="33">
        <v>87</v>
      </c>
      <c r="AA198" s="33">
        <v>81</v>
      </c>
      <c r="AB198" s="33">
        <v>85.1</v>
      </c>
      <c r="AC198" s="33">
        <v>79.3</v>
      </c>
      <c r="AD198" s="33">
        <v>39298</v>
      </c>
      <c r="AE198" s="33">
        <v>11.4</v>
      </c>
      <c r="AF198" s="33">
        <v>301</v>
      </c>
      <c r="AG198" s="33">
        <v>82.3</v>
      </c>
      <c r="AH198" s="33">
        <v>82.3</v>
      </c>
      <c r="AI198" s="33">
        <v>88</v>
      </c>
      <c r="AJ198" s="33">
        <v>85.2</v>
      </c>
      <c r="AK198" s="33">
        <v>184.95966300000001</v>
      </c>
      <c r="AL198" s="33">
        <v>68.2</v>
      </c>
      <c r="AM198" s="123">
        <v>45.060137214557308</v>
      </c>
      <c r="AN198" s="123">
        <v>86.530421652185154</v>
      </c>
      <c r="AO198" s="123">
        <v>72.720594496917528</v>
      </c>
      <c r="AP198" s="33">
        <v>50.94</v>
      </c>
      <c r="AQ198" s="33">
        <f t="shared" si="35"/>
        <v>0.57886363636363636</v>
      </c>
      <c r="AR198" s="33">
        <v>99.1</v>
      </c>
      <c r="AS198" s="33">
        <v>104.5</v>
      </c>
      <c r="AT198" s="33">
        <v>94</v>
      </c>
      <c r="AU198" s="33">
        <v>101.4</v>
      </c>
      <c r="AV198" s="65">
        <v>105.8</v>
      </c>
      <c r="AW198" s="33">
        <v>97.2</v>
      </c>
      <c r="AX198" s="33">
        <v>21.1</v>
      </c>
      <c r="AY198" s="33">
        <v>8.1999999999999993</v>
      </c>
      <c r="AZ198" s="33">
        <v>15.6</v>
      </c>
      <c r="BA198" s="33">
        <v>11.4</v>
      </c>
      <c r="BB198" s="33">
        <v>100.6</v>
      </c>
      <c r="BC198" s="33">
        <v>106.4</v>
      </c>
      <c r="BD198" s="33">
        <v>95.1</v>
      </c>
      <c r="BE198" s="33">
        <v>-19.5</v>
      </c>
      <c r="BF198" s="33">
        <v>69.8</v>
      </c>
      <c r="BG198" s="33">
        <v>22.3</v>
      </c>
      <c r="BH198" s="33">
        <v>139.1</v>
      </c>
      <c r="BI198" s="33">
        <v>72</v>
      </c>
      <c r="BJ198" s="34">
        <v>55.83439851</v>
      </c>
      <c r="BK198" s="45">
        <v>14.314067106453722</v>
      </c>
      <c r="BL198" s="33">
        <v>0.64700000000000002</v>
      </c>
      <c r="BM198" s="33">
        <v>101.2812</v>
      </c>
      <c r="BN198" s="33">
        <v>101.10209999999999</v>
      </c>
      <c r="BO198" s="33">
        <v>-4.0999999999999996</v>
      </c>
      <c r="BP198" s="33">
        <v>-4.0999999999999996</v>
      </c>
      <c r="BQ198" s="33">
        <v>6.4</v>
      </c>
      <c r="BR198" s="33">
        <v>10.8</v>
      </c>
      <c r="BS198" s="33">
        <v>7.1</v>
      </c>
      <c r="BT198" s="33">
        <v>-10</v>
      </c>
      <c r="BU198" s="33">
        <v>0.1</v>
      </c>
      <c r="BV198" s="33">
        <v>15.8</v>
      </c>
      <c r="BW198" s="33">
        <v>-8.8000000000000007</v>
      </c>
      <c r="BX198" s="33">
        <v>-10.199999999999999</v>
      </c>
      <c r="BY198" s="33">
        <v>-28.1</v>
      </c>
      <c r="BZ198" s="33">
        <v>102.5</v>
      </c>
      <c r="CA198" s="33">
        <v>-8.8000000000000007</v>
      </c>
      <c r="CB198" s="33">
        <v>-5.9</v>
      </c>
      <c r="CC198" s="33">
        <v>0</v>
      </c>
      <c r="CD198" s="33">
        <v>-33.6</v>
      </c>
      <c r="CE198" s="33">
        <v>-17.7</v>
      </c>
      <c r="CF198" s="33">
        <v>28.6</v>
      </c>
      <c r="CG198" s="33">
        <v>31.5</v>
      </c>
      <c r="CH198" s="33">
        <v>29.9</v>
      </c>
      <c r="CI198" s="33">
        <v>-14.3</v>
      </c>
      <c r="CJ198" s="33">
        <v>-11.5</v>
      </c>
      <c r="CK198" s="33">
        <v>4.8</v>
      </c>
      <c r="CL198" s="33">
        <v>21.5</v>
      </c>
      <c r="CM198" s="33">
        <v>3743.7892499999998</v>
      </c>
      <c r="CN198" s="33">
        <v>10953.95</v>
      </c>
      <c r="CO198" s="33">
        <v>1277.1745000000001</v>
      </c>
      <c r="CP198" s="33">
        <v>4.1840000000000002</v>
      </c>
      <c r="CQ198" s="33">
        <v>4.57</v>
      </c>
      <c r="CR198" s="33">
        <v>74.5</v>
      </c>
      <c r="CS198" s="121">
        <f t="shared" si="38"/>
        <v>30.549999999999997</v>
      </c>
      <c r="CT198" s="33">
        <v>105.5</v>
      </c>
      <c r="CU198" s="33">
        <v>101.5</v>
      </c>
      <c r="CV198" s="33">
        <v>106.2</v>
      </c>
      <c r="CW198" s="33">
        <v>112.4</v>
      </c>
      <c r="CX198" s="33">
        <v>105.6</v>
      </c>
      <c r="CY198" s="33">
        <v>6.46</v>
      </c>
      <c r="CZ198" s="33">
        <v>39507.317999999999</v>
      </c>
      <c r="DA198" s="33">
        <v>4.0599999999999996</v>
      </c>
      <c r="DB198" s="33">
        <v>23.54</v>
      </c>
      <c r="DC198" s="33">
        <v>40.32</v>
      </c>
      <c r="DD198" s="33">
        <v>12.33</v>
      </c>
      <c r="DE198" s="33">
        <v>8285.0480000000007</v>
      </c>
      <c r="DF198" s="33">
        <v>1762.43</v>
      </c>
      <c r="DG198" s="33">
        <v>1495.364</v>
      </c>
      <c r="DH198" s="33">
        <v>1239.1199999999999</v>
      </c>
      <c r="DI198" s="33">
        <v>2022.931</v>
      </c>
      <c r="DJ198" s="33">
        <v>100.2625</v>
      </c>
      <c r="DK198" s="33">
        <v>100.1982</v>
      </c>
      <c r="DL198" s="33">
        <v>99.94</v>
      </c>
      <c r="DM198" s="33">
        <v>99.931299999999993</v>
      </c>
      <c r="DN198" s="33">
        <v>101.10209999999999</v>
      </c>
      <c r="DO198" s="33">
        <v>101.2812</v>
      </c>
      <c r="DP198" s="33">
        <v>101.2276</v>
      </c>
      <c r="DQ198" s="33">
        <v>101.35</v>
      </c>
      <c r="DR198" s="104">
        <v>77992</v>
      </c>
      <c r="DS198" s="103">
        <v>26306</v>
      </c>
      <c r="DT198" s="73">
        <v>97.8</v>
      </c>
      <c r="DU198">
        <v>60.634151458740234</v>
      </c>
      <c r="DV198">
        <v>76.186714172363281</v>
      </c>
      <c r="DW198">
        <v>2087</v>
      </c>
      <c r="DX198">
        <v>95850</v>
      </c>
      <c r="DY198">
        <v>74.599999999999994</v>
      </c>
      <c r="DZ198" t="s">
        <v>312</v>
      </c>
    </row>
    <row r="199" spans="1:130" x14ac:dyDescent="0.25">
      <c r="A199" s="1">
        <v>38777</v>
      </c>
      <c r="B199" s="33">
        <v>89.3</v>
      </c>
      <c r="C199" s="107">
        <v>2.52</v>
      </c>
      <c r="D199" s="33">
        <v>2.5</v>
      </c>
      <c r="E199" s="33">
        <v>2.61</v>
      </c>
      <c r="F199" s="33">
        <v>3.38</v>
      </c>
      <c r="G199" s="33">
        <v>3.53</v>
      </c>
      <c r="H199" s="33">
        <v>3.64</v>
      </c>
      <c r="I199" s="33">
        <f t="shared" si="39"/>
        <v>1.1200000000000001</v>
      </c>
      <c r="J199" s="33">
        <f t="shared" ref="J199:J243" si="40">H199-D199</f>
        <v>1.1400000000000001</v>
      </c>
      <c r="K199" s="33">
        <f t="shared" ref="K199:K243" si="41">H199-E199</f>
        <v>1.0300000000000002</v>
      </c>
      <c r="L199" s="33">
        <f t="shared" ref="L199:L243" si="42">D199-C199</f>
        <v>-2.0000000000000018E-2</v>
      </c>
      <c r="M199" s="33">
        <v>98.1</v>
      </c>
      <c r="N199" s="33">
        <v>5866.61</v>
      </c>
      <c r="O199" s="33">
        <v>15.36</v>
      </c>
      <c r="P199" s="33">
        <v>734.4</v>
      </c>
      <c r="Q199" s="34">
        <f t="shared" si="32"/>
        <v>8.9126213592232997</v>
      </c>
      <c r="R199" s="60">
        <v>1498.5</v>
      </c>
      <c r="S199" s="34">
        <f t="shared" si="33"/>
        <v>1818.5679611650485</v>
      </c>
      <c r="T199" s="60">
        <v>1616.3</v>
      </c>
      <c r="U199" s="34">
        <f t="shared" si="34"/>
        <v>1961.529126213592</v>
      </c>
      <c r="V199" s="116">
        <v>288230</v>
      </c>
      <c r="W199" s="116">
        <v>3489442</v>
      </c>
      <c r="X199" s="117">
        <v>6222149</v>
      </c>
      <c r="Y199" s="117">
        <v>999753</v>
      </c>
      <c r="Z199" s="33">
        <v>86.2</v>
      </c>
      <c r="AA199" s="33">
        <v>80.3</v>
      </c>
      <c r="AB199" s="33">
        <v>84.6</v>
      </c>
      <c r="AC199" s="33">
        <v>78.8</v>
      </c>
      <c r="AD199" s="33">
        <v>39313</v>
      </c>
      <c r="AE199" s="33">
        <v>11.4</v>
      </c>
      <c r="AF199" s="33">
        <v>309</v>
      </c>
      <c r="AG199" s="33">
        <v>82.2</v>
      </c>
      <c r="AH199" s="33">
        <v>82.4</v>
      </c>
      <c r="AI199" s="33">
        <v>88.1</v>
      </c>
      <c r="AJ199" s="33">
        <v>85.3</v>
      </c>
      <c r="AK199" s="33">
        <v>185.84974800000001</v>
      </c>
      <c r="AL199" s="33">
        <v>68.099999999999994</v>
      </c>
      <c r="AM199" s="123">
        <v>43.122838321574747</v>
      </c>
      <c r="AN199" s="123">
        <v>88.941699325613882</v>
      </c>
      <c r="AO199" s="123">
        <v>72.533170284296602</v>
      </c>
      <c r="AP199" s="33">
        <v>52.18</v>
      </c>
      <c r="AQ199" s="33">
        <f t="shared" si="35"/>
        <v>0.59228149829738941</v>
      </c>
      <c r="AR199" s="33">
        <v>100</v>
      </c>
      <c r="AS199" s="33">
        <v>105</v>
      </c>
      <c r="AT199" s="33">
        <v>95.2</v>
      </c>
      <c r="AU199" s="33">
        <v>102.7</v>
      </c>
      <c r="AV199" s="65">
        <v>106.2</v>
      </c>
      <c r="AW199" s="33">
        <v>99.4</v>
      </c>
      <c r="AX199" s="33">
        <v>25.6</v>
      </c>
      <c r="AY199" s="33">
        <v>10.6</v>
      </c>
      <c r="AZ199" s="33">
        <v>18.8</v>
      </c>
      <c r="BA199" s="33">
        <v>16.100000000000001</v>
      </c>
      <c r="BB199" s="33">
        <v>100.8</v>
      </c>
      <c r="BC199" s="33">
        <v>107.3</v>
      </c>
      <c r="BD199" s="33">
        <v>94.7</v>
      </c>
      <c r="BE199" s="33">
        <v>-8.4</v>
      </c>
      <c r="BF199" s="33">
        <v>63.4</v>
      </c>
      <c r="BG199" s="33">
        <v>14</v>
      </c>
      <c r="BH199" s="33">
        <v>138</v>
      </c>
      <c r="BI199" s="33">
        <v>75.2</v>
      </c>
      <c r="BJ199" s="34">
        <v>58.087473039999999</v>
      </c>
      <c r="BK199" s="45">
        <v>12.77935602698718</v>
      </c>
      <c r="BL199" s="33">
        <v>0.65500000000000003</v>
      </c>
      <c r="BM199" s="33">
        <v>101.43859999999999</v>
      </c>
      <c r="BN199" s="33">
        <v>101.23739999999999</v>
      </c>
      <c r="BO199" s="33">
        <v>-2.7</v>
      </c>
      <c r="BP199" s="33">
        <v>-3.4</v>
      </c>
      <c r="BQ199" s="33">
        <v>6.8</v>
      </c>
      <c r="BR199" s="33">
        <v>12.2</v>
      </c>
      <c r="BS199" s="33">
        <v>6.9</v>
      </c>
      <c r="BT199" s="33">
        <v>-8</v>
      </c>
      <c r="BU199" s="33">
        <v>0.9</v>
      </c>
      <c r="BV199" s="33">
        <v>16</v>
      </c>
      <c r="BW199" s="33">
        <v>-8.6999999999999993</v>
      </c>
      <c r="BX199" s="33">
        <v>-9.5</v>
      </c>
      <c r="BY199" s="33">
        <v>-26.6</v>
      </c>
      <c r="BZ199" s="33">
        <v>103.1</v>
      </c>
      <c r="CA199" s="33">
        <v>-8.6999999999999993</v>
      </c>
      <c r="CB199" s="33">
        <v>-6.3</v>
      </c>
      <c r="CC199" s="33">
        <v>0</v>
      </c>
      <c r="CD199" s="33">
        <v>-34.1</v>
      </c>
      <c r="CE199" s="33">
        <v>-18.3</v>
      </c>
      <c r="CF199" s="33">
        <v>25.3</v>
      </c>
      <c r="CG199" s="33">
        <v>32.5</v>
      </c>
      <c r="CH199" s="33">
        <v>29.4</v>
      </c>
      <c r="CI199" s="33">
        <v>-9</v>
      </c>
      <c r="CJ199" s="33">
        <v>-10.1</v>
      </c>
      <c r="CK199" s="33">
        <v>4.9000000000000004</v>
      </c>
      <c r="CL199" s="33">
        <v>20.5</v>
      </c>
      <c r="CM199" s="33">
        <v>3814.932174</v>
      </c>
      <c r="CN199" s="33">
        <v>11053.53</v>
      </c>
      <c r="CO199" s="33">
        <v>1293.7395650000001</v>
      </c>
      <c r="CP199" s="33">
        <v>4.165</v>
      </c>
      <c r="CQ199" s="33">
        <v>4.59</v>
      </c>
      <c r="CR199" s="33">
        <v>76</v>
      </c>
      <c r="CS199" s="121">
        <f t="shared" si="38"/>
        <v>30.950000000000003</v>
      </c>
      <c r="CT199" s="33">
        <v>105.4</v>
      </c>
      <c r="CU199" s="33">
        <v>102.5</v>
      </c>
      <c r="CV199" s="33">
        <v>106.5</v>
      </c>
      <c r="CW199" s="33">
        <v>113.4</v>
      </c>
      <c r="CX199" s="33">
        <v>103.6</v>
      </c>
      <c r="CY199" s="33">
        <v>6.45</v>
      </c>
      <c r="CZ199" s="33">
        <v>44170.142</v>
      </c>
      <c r="DA199" s="33">
        <v>3.85</v>
      </c>
      <c r="DB199" s="33">
        <v>23.95</v>
      </c>
      <c r="DC199" s="33">
        <v>40.29</v>
      </c>
      <c r="DD199" s="33">
        <v>11.53</v>
      </c>
      <c r="DE199" s="33">
        <v>8474.893</v>
      </c>
      <c r="DF199" s="33">
        <v>1913.9480000000001</v>
      </c>
      <c r="DG199" s="33">
        <v>1617.0409999999999</v>
      </c>
      <c r="DH199" s="33">
        <v>1176.2550000000001</v>
      </c>
      <c r="DI199" s="33">
        <v>2009.558</v>
      </c>
      <c r="DJ199" s="33">
        <v>100.307</v>
      </c>
      <c r="DK199" s="33">
        <v>100.25409999999999</v>
      </c>
      <c r="DL199" s="33">
        <v>100.01</v>
      </c>
      <c r="DM199" s="33">
        <v>100.0094</v>
      </c>
      <c r="DN199" s="33">
        <v>101.23739999999999</v>
      </c>
      <c r="DO199" s="33">
        <v>101.43859999999999</v>
      </c>
      <c r="DP199" s="33">
        <v>101.25709999999999</v>
      </c>
      <c r="DQ199" s="33">
        <v>101.3824</v>
      </c>
      <c r="DR199" s="104">
        <v>81350</v>
      </c>
      <c r="DS199" s="103">
        <v>26338</v>
      </c>
      <c r="DT199" s="73">
        <v>97.4</v>
      </c>
      <c r="DU199">
        <v>79.829933166503906</v>
      </c>
      <c r="DV199">
        <v>94.212898254394531</v>
      </c>
      <c r="DW199">
        <v>2708</v>
      </c>
      <c r="DX199">
        <v>118375</v>
      </c>
      <c r="DY199">
        <v>74.5</v>
      </c>
      <c r="DZ199" t="s">
        <v>312</v>
      </c>
    </row>
    <row r="200" spans="1:130" x14ac:dyDescent="0.25">
      <c r="A200" s="1">
        <v>38808</v>
      </c>
      <c r="B200" s="33">
        <v>91.9</v>
      </c>
      <c r="C200" s="107">
        <v>2.63</v>
      </c>
      <c r="D200" s="33">
        <v>2.5</v>
      </c>
      <c r="E200" s="33">
        <v>2.71</v>
      </c>
      <c r="F200" s="33">
        <v>3.58</v>
      </c>
      <c r="G200" s="33">
        <v>3.77</v>
      </c>
      <c r="H200" s="33">
        <v>3.89</v>
      </c>
      <c r="I200" s="33">
        <f t="shared" si="39"/>
        <v>1.2600000000000002</v>
      </c>
      <c r="J200" s="33">
        <f t="shared" si="40"/>
        <v>1.3900000000000001</v>
      </c>
      <c r="K200" s="33">
        <f t="shared" si="41"/>
        <v>1.1800000000000002</v>
      </c>
      <c r="L200" s="33">
        <f t="shared" si="42"/>
        <v>-0.12999999999999989</v>
      </c>
      <c r="M200" s="33">
        <v>98.4</v>
      </c>
      <c r="N200" s="33">
        <v>6024.05</v>
      </c>
      <c r="O200" s="33">
        <v>14.34</v>
      </c>
      <c r="P200" s="33">
        <v>742.4</v>
      </c>
      <c r="Q200" s="34">
        <f t="shared" si="32"/>
        <v>8.9878934624697333</v>
      </c>
      <c r="R200" s="60">
        <v>1515.8</v>
      </c>
      <c r="S200" s="34">
        <f t="shared" si="33"/>
        <v>1835.1089588377724</v>
      </c>
      <c r="T200" s="60">
        <v>1630.9</v>
      </c>
      <c r="U200" s="34">
        <f t="shared" si="34"/>
        <v>1974.4552058111381</v>
      </c>
      <c r="V200" s="116">
        <v>292592</v>
      </c>
      <c r="W200" s="116">
        <v>3523343</v>
      </c>
      <c r="X200" s="117">
        <v>6295495</v>
      </c>
      <c r="Y200" s="117">
        <v>1007686</v>
      </c>
      <c r="Z200" s="33">
        <v>89.1</v>
      </c>
      <c r="AA200" s="33">
        <v>82.3</v>
      </c>
      <c r="AB200" s="33">
        <v>86</v>
      </c>
      <c r="AC200" s="33">
        <v>80.7</v>
      </c>
      <c r="AD200" s="33">
        <v>39406</v>
      </c>
      <c r="AE200" s="33">
        <v>11.3</v>
      </c>
      <c r="AF200" s="33">
        <v>322</v>
      </c>
      <c r="AG200" s="33">
        <v>82.6</v>
      </c>
      <c r="AH200" s="33">
        <v>82.6</v>
      </c>
      <c r="AI200" s="33">
        <v>88.6</v>
      </c>
      <c r="AJ200" s="33">
        <v>85.5</v>
      </c>
      <c r="AK200" s="33">
        <v>187.45190099999999</v>
      </c>
      <c r="AL200" s="33">
        <v>69.400000000000006</v>
      </c>
      <c r="AM200" s="123">
        <v>46.879752266257391</v>
      </c>
      <c r="AN200" s="123">
        <v>99.189817750852839</v>
      </c>
      <c r="AO200" s="123">
        <v>73.970419365227187</v>
      </c>
      <c r="AP200" s="33">
        <v>57.32</v>
      </c>
      <c r="AQ200" s="33">
        <f t="shared" si="35"/>
        <v>0.64695259593679466</v>
      </c>
      <c r="AR200" s="33">
        <v>100.7</v>
      </c>
      <c r="AS200" s="33">
        <v>105.3</v>
      </c>
      <c r="AT200" s="33">
        <v>96.4</v>
      </c>
      <c r="AU200" s="33">
        <v>102.9</v>
      </c>
      <c r="AV200" s="65">
        <v>105.4</v>
      </c>
      <c r="AW200" s="33">
        <v>100.4</v>
      </c>
      <c r="AX200" s="33">
        <v>23.8</v>
      </c>
      <c r="AY200" s="33">
        <v>11.9</v>
      </c>
      <c r="AZ200" s="33">
        <v>20.8</v>
      </c>
      <c r="BA200" s="33">
        <v>14.4</v>
      </c>
      <c r="BB200" s="33">
        <v>102.5</v>
      </c>
      <c r="BC200" s="33">
        <v>107.9</v>
      </c>
      <c r="BD200" s="33">
        <v>97.5</v>
      </c>
      <c r="BE200" s="33">
        <v>2.9</v>
      </c>
      <c r="BF200" s="33">
        <v>62.7</v>
      </c>
      <c r="BG200" s="33">
        <v>22.2</v>
      </c>
      <c r="BH200" s="33">
        <v>136</v>
      </c>
      <c r="BI200" s="33">
        <v>54.5</v>
      </c>
      <c r="BJ200" s="34">
        <v>58.11282044</v>
      </c>
      <c r="BK200" s="45">
        <v>11.718440061180406</v>
      </c>
      <c r="BL200" s="33">
        <v>0.624</v>
      </c>
      <c r="BM200" s="33">
        <v>101.53489999999999</v>
      </c>
      <c r="BN200" s="33">
        <v>101.3201</v>
      </c>
      <c r="BO200" s="33">
        <v>2.7</v>
      </c>
      <c r="BP200" s="33">
        <v>1.4</v>
      </c>
      <c r="BQ200" s="33">
        <v>3.5</v>
      </c>
      <c r="BR200" s="33">
        <v>13</v>
      </c>
      <c r="BS200" s="33">
        <v>8.6999999999999993</v>
      </c>
      <c r="BT200" s="33">
        <v>-8.4</v>
      </c>
      <c r="BU200" s="33">
        <v>4.0999999999999996</v>
      </c>
      <c r="BV200" s="33">
        <v>14.4</v>
      </c>
      <c r="BW200" s="33">
        <v>-8.6999999999999993</v>
      </c>
      <c r="BX200" s="33">
        <v>-9.1</v>
      </c>
      <c r="BY200" s="33">
        <v>-20.3</v>
      </c>
      <c r="BZ200" s="33">
        <v>104</v>
      </c>
      <c r="CA200" s="33">
        <v>-8.6999999999999993</v>
      </c>
      <c r="CB200" s="33">
        <v>-6.2</v>
      </c>
      <c r="CC200" s="33">
        <v>-0.2</v>
      </c>
      <c r="CD200" s="33">
        <v>-30.2</v>
      </c>
      <c r="CE200" s="33">
        <v>-16.8</v>
      </c>
      <c r="CF200" s="33">
        <v>27.8</v>
      </c>
      <c r="CG200" s="33">
        <v>37.1</v>
      </c>
      <c r="CH200" s="33">
        <v>27.4</v>
      </c>
      <c r="CI200" s="33">
        <v>-2.5</v>
      </c>
      <c r="CJ200" s="33">
        <v>-11.5</v>
      </c>
      <c r="CK200" s="33">
        <v>4.0999999999999996</v>
      </c>
      <c r="CL200" s="33">
        <v>20.2</v>
      </c>
      <c r="CM200" s="33">
        <v>3834.60115</v>
      </c>
      <c r="CN200" s="33">
        <v>11144.94</v>
      </c>
      <c r="CO200" s="33">
        <v>1301.5305000000001</v>
      </c>
      <c r="CP200" s="33">
        <v>4.4160000000000004</v>
      </c>
      <c r="CQ200" s="33">
        <v>4.88</v>
      </c>
      <c r="CR200" s="33">
        <v>73.400000000000006</v>
      </c>
      <c r="CS200" s="121">
        <f t="shared" si="38"/>
        <v>31.049999999999997</v>
      </c>
      <c r="CT200" s="33">
        <v>108.1</v>
      </c>
      <c r="CU200" s="33">
        <v>104.2</v>
      </c>
      <c r="CV200" s="33">
        <v>105.6</v>
      </c>
      <c r="CW200" s="33">
        <v>112.1</v>
      </c>
      <c r="CX200" s="33">
        <v>107.1</v>
      </c>
      <c r="CY200" s="33">
        <v>6.41</v>
      </c>
      <c r="CZ200" s="33">
        <v>40158.794000000002</v>
      </c>
      <c r="DA200" s="33">
        <v>3.89</v>
      </c>
      <c r="DB200" s="33">
        <v>24.38</v>
      </c>
      <c r="DC200" s="33">
        <v>40.950000000000003</v>
      </c>
      <c r="DD200" s="33">
        <v>12.97</v>
      </c>
      <c r="DE200" s="33">
        <v>8069.4</v>
      </c>
      <c r="DF200" s="33">
        <v>1740.1379999999999</v>
      </c>
      <c r="DG200" s="33">
        <v>1631.22</v>
      </c>
      <c r="DH200" s="33">
        <v>1030.8240000000001</v>
      </c>
      <c r="DI200" s="33">
        <v>2059.4409999999998</v>
      </c>
      <c r="DJ200" s="33">
        <v>100.348</v>
      </c>
      <c r="DK200" s="33">
        <v>100.3073</v>
      </c>
      <c r="DL200" s="33">
        <v>100.08</v>
      </c>
      <c r="DM200" s="33">
        <v>100.1009</v>
      </c>
      <c r="DN200" s="33">
        <v>101.3201</v>
      </c>
      <c r="DO200" s="33">
        <v>101.53489999999999</v>
      </c>
      <c r="DP200" s="33">
        <v>101.2333</v>
      </c>
      <c r="DQ200" s="33">
        <v>101.3563</v>
      </c>
      <c r="DR200" s="104">
        <v>66508</v>
      </c>
      <c r="DS200" s="103">
        <v>26437</v>
      </c>
      <c r="DT200" s="73">
        <v>98.4</v>
      </c>
      <c r="DU200">
        <v>89.043563842773438</v>
      </c>
      <c r="DV200">
        <v>79.12750244140625</v>
      </c>
      <c r="DW200">
        <v>2508</v>
      </c>
      <c r="DX200">
        <v>116200</v>
      </c>
      <c r="DY200">
        <v>76.599999999999994</v>
      </c>
      <c r="DZ200" t="s">
        <v>312</v>
      </c>
    </row>
    <row r="201" spans="1:130" x14ac:dyDescent="0.25">
      <c r="A201" s="1">
        <v>38838</v>
      </c>
      <c r="B201" s="33">
        <v>92.9</v>
      </c>
      <c r="C201" s="107">
        <v>2.58</v>
      </c>
      <c r="D201" s="33">
        <v>2.5</v>
      </c>
      <c r="E201" s="33">
        <v>2.8</v>
      </c>
      <c r="F201" s="33">
        <v>3.62</v>
      </c>
      <c r="G201" s="33">
        <v>3.81</v>
      </c>
      <c r="H201" s="33">
        <v>3.96</v>
      </c>
      <c r="I201" s="33">
        <f t="shared" si="39"/>
        <v>1.38</v>
      </c>
      <c r="J201" s="33">
        <f t="shared" si="40"/>
        <v>1.46</v>
      </c>
      <c r="K201" s="33">
        <f t="shared" si="41"/>
        <v>1.1600000000000001</v>
      </c>
      <c r="L201" s="33">
        <f t="shared" si="42"/>
        <v>-8.0000000000000071E-2</v>
      </c>
      <c r="M201" s="33">
        <v>98.7</v>
      </c>
      <c r="N201" s="33">
        <v>6009.89</v>
      </c>
      <c r="O201" s="33">
        <v>15.6</v>
      </c>
      <c r="P201" s="33">
        <v>737.3</v>
      </c>
      <c r="Q201" s="34">
        <f t="shared" si="32"/>
        <v>8.9261501210653762</v>
      </c>
      <c r="R201" s="60">
        <v>1505.2</v>
      </c>
      <c r="S201" s="34">
        <f t="shared" si="33"/>
        <v>1822.2760290556903</v>
      </c>
      <c r="T201" s="60">
        <v>1625.1</v>
      </c>
      <c r="U201" s="34">
        <f t="shared" si="34"/>
        <v>1967.4334140435835</v>
      </c>
      <c r="V201" s="116">
        <v>292420</v>
      </c>
      <c r="W201" s="116">
        <v>3553540</v>
      </c>
      <c r="X201" s="117">
        <v>6317503</v>
      </c>
      <c r="Y201" s="117">
        <v>1029598</v>
      </c>
      <c r="Z201" s="33">
        <v>90.6</v>
      </c>
      <c r="AA201" s="33">
        <v>82.7</v>
      </c>
      <c r="AB201" s="33">
        <v>86.6</v>
      </c>
      <c r="AC201" s="33">
        <v>81.099999999999994</v>
      </c>
      <c r="AD201" s="33">
        <v>39539</v>
      </c>
      <c r="AE201" s="33">
        <v>10.9</v>
      </c>
      <c r="AF201" s="33">
        <v>339</v>
      </c>
      <c r="AG201" s="33">
        <v>82.7</v>
      </c>
      <c r="AH201" s="33">
        <v>82.6</v>
      </c>
      <c r="AI201" s="33">
        <v>88.8</v>
      </c>
      <c r="AJ201" s="33">
        <v>85.7</v>
      </c>
      <c r="AK201" s="33">
        <v>187.985952</v>
      </c>
      <c r="AL201" s="33">
        <v>68.3</v>
      </c>
      <c r="AM201" s="123">
        <v>48.241404821708855</v>
      </c>
      <c r="AN201" s="123">
        <v>94.598893982723382</v>
      </c>
      <c r="AO201" s="123">
        <v>77.516271691656172</v>
      </c>
      <c r="AP201" s="33">
        <v>55.23</v>
      </c>
      <c r="AQ201" s="33">
        <f t="shared" si="35"/>
        <v>0.62195945945945941</v>
      </c>
      <c r="AR201" s="33">
        <v>101.4</v>
      </c>
      <c r="AS201" s="33">
        <v>103.9</v>
      </c>
      <c r="AT201" s="33">
        <v>98.9</v>
      </c>
      <c r="AU201" s="33">
        <v>102.9</v>
      </c>
      <c r="AV201" s="65">
        <v>103.8</v>
      </c>
      <c r="AW201" s="33">
        <v>102.1</v>
      </c>
      <c r="AX201" s="33">
        <v>24.3</v>
      </c>
      <c r="AY201" s="33">
        <v>15.1</v>
      </c>
      <c r="AZ201" s="33">
        <v>22.3</v>
      </c>
      <c r="BA201" s="33">
        <v>12.9</v>
      </c>
      <c r="BB201" s="33">
        <v>104.6</v>
      </c>
      <c r="BC201" s="33">
        <v>106.7</v>
      </c>
      <c r="BD201" s="33">
        <v>102.5</v>
      </c>
      <c r="BE201" s="33">
        <v>8.6999999999999993</v>
      </c>
      <c r="BF201" s="33">
        <v>50</v>
      </c>
      <c r="BG201" s="33">
        <v>30.9</v>
      </c>
      <c r="BH201" s="33">
        <v>138.5</v>
      </c>
      <c r="BI201" s="33">
        <v>6.6</v>
      </c>
      <c r="BJ201" s="34">
        <v>58.529075990000003</v>
      </c>
      <c r="BK201" s="45">
        <v>-4.7673275088926736</v>
      </c>
      <c r="BL201" s="33">
        <v>0.60699999999999998</v>
      </c>
      <c r="BM201" s="33">
        <v>101.5728</v>
      </c>
      <c r="BN201" s="33">
        <v>101.3527</v>
      </c>
      <c r="BO201" s="33">
        <v>2.6</v>
      </c>
      <c r="BP201" s="33">
        <v>0.2</v>
      </c>
      <c r="BQ201" s="33">
        <v>4.0999999999999996</v>
      </c>
      <c r="BR201" s="33">
        <v>13.4</v>
      </c>
      <c r="BS201" s="33">
        <v>8.3000000000000007</v>
      </c>
      <c r="BT201" s="33">
        <v>-7.1</v>
      </c>
      <c r="BU201" s="33">
        <v>4</v>
      </c>
      <c r="BV201" s="33">
        <v>18</v>
      </c>
      <c r="BW201" s="33">
        <v>-6.6</v>
      </c>
      <c r="BX201" s="33">
        <v>-9.6999999999999993</v>
      </c>
      <c r="BY201" s="33">
        <v>-18.8</v>
      </c>
      <c r="BZ201" s="33">
        <v>105.8</v>
      </c>
      <c r="CA201" s="33">
        <v>-6.6</v>
      </c>
      <c r="CB201" s="33">
        <v>-6.3</v>
      </c>
      <c r="CC201" s="33">
        <v>0.5</v>
      </c>
      <c r="CD201" s="33">
        <v>-23.9</v>
      </c>
      <c r="CE201" s="33">
        <v>-15.4</v>
      </c>
      <c r="CF201" s="33">
        <v>28.1</v>
      </c>
      <c r="CG201" s="33">
        <v>44.2</v>
      </c>
      <c r="CH201" s="33">
        <v>24.4</v>
      </c>
      <c r="CI201" s="33">
        <v>6.1</v>
      </c>
      <c r="CJ201" s="33">
        <v>-5.4</v>
      </c>
      <c r="CK201" s="33">
        <v>3.9</v>
      </c>
      <c r="CL201" s="33">
        <v>21.7</v>
      </c>
      <c r="CM201" s="33">
        <v>3726.8473479999998</v>
      </c>
      <c r="CN201" s="33">
        <v>11343.29</v>
      </c>
      <c r="CO201" s="33">
        <v>1289.5721739999999</v>
      </c>
      <c r="CP201" s="33">
        <v>4.6379999999999999</v>
      </c>
      <c r="CQ201" s="33">
        <v>5.14</v>
      </c>
      <c r="CR201" s="33">
        <v>68.2</v>
      </c>
      <c r="CS201" s="121">
        <f t="shared" si="38"/>
        <v>28.350000000000009</v>
      </c>
      <c r="CT201" s="33">
        <v>108.5</v>
      </c>
      <c r="CU201" s="33">
        <v>105.7</v>
      </c>
      <c r="CV201" s="33">
        <v>107.4</v>
      </c>
      <c r="CW201" s="33">
        <v>113.2</v>
      </c>
      <c r="CX201" s="33">
        <v>102.7</v>
      </c>
      <c r="CY201" s="33">
        <v>6.28</v>
      </c>
      <c r="CZ201" s="33">
        <v>41903.756999999998</v>
      </c>
      <c r="DA201" s="33">
        <v>4</v>
      </c>
      <c r="DB201" s="33">
        <v>23.63</v>
      </c>
      <c r="DC201" s="33">
        <v>40.9</v>
      </c>
      <c r="DD201" s="33">
        <v>12.32</v>
      </c>
      <c r="DE201" s="33">
        <v>8041.7359999999999</v>
      </c>
      <c r="DF201" s="33">
        <v>1788.145</v>
      </c>
      <c r="DG201" s="33">
        <v>1697.809</v>
      </c>
      <c r="DH201" s="33">
        <v>1018.635</v>
      </c>
      <c r="DI201" s="33">
        <v>1991.2539999999999</v>
      </c>
      <c r="DJ201" s="33">
        <v>100.3801</v>
      </c>
      <c r="DK201" s="33">
        <v>100.35129999999999</v>
      </c>
      <c r="DL201" s="33">
        <v>100.16</v>
      </c>
      <c r="DM201" s="33">
        <v>100.2032</v>
      </c>
      <c r="DN201" s="33">
        <v>101.3527</v>
      </c>
      <c r="DO201" s="33">
        <v>101.5728</v>
      </c>
      <c r="DP201" s="33">
        <v>101.1769</v>
      </c>
      <c r="DQ201" s="33">
        <v>101.29430000000001</v>
      </c>
      <c r="DR201" s="104">
        <v>61268</v>
      </c>
      <c r="DS201" s="103">
        <v>26543</v>
      </c>
      <c r="DT201" s="73">
        <v>97.9</v>
      </c>
      <c r="DU201">
        <v>82.445144653320313</v>
      </c>
      <c r="DV201">
        <v>71.288543701171875</v>
      </c>
      <c r="DW201">
        <v>2368</v>
      </c>
      <c r="DX201">
        <v>117725</v>
      </c>
      <c r="DY201">
        <v>78.099999999999994</v>
      </c>
      <c r="DZ201" t="s">
        <v>312</v>
      </c>
    </row>
    <row r="202" spans="1:130" x14ac:dyDescent="0.25">
      <c r="A202" s="1">
        <v>38869</v>
      </c>
      <c r="B202" s="33">
        <v>92.7</v>
      </c>
      <c r="C202" s="107">
        <v>2.7</v>
      </c>
      <c r="D202" s="33">
        <v>2.75</v>
      </c>
      <c r="E202" s="33">
        <v>2.89</v>
      </c>
      <c r="F202" s="33">
        <v>3.66</v>
      </c>
      <c r="G202" s="33">
        <v>3.83</v>
      </c>
      <c r="H202" s="33">
        <v>3.96</v>
      </c>
      <c r="I202" s="33">
        <f t="shared" si="39"/>
        <v>1.2599999999999998</v>
      </c>
      <c r="J202" s="33">
        <f t="shared" si="40"/>
        <v>1.21</v>
      </c>
      <c r="K202" s="33">
        <f t="shared" si="41"/>
        <v>1.0699999999999998</v>
      </c>
      <c r="L202" s="33">
        <f t="shared" si="42"/>
        <v>4.9999999999999822E-2</v>
      </c>
      <c r="M202" s="33">
        <v>98.6</v>
      </c>
      <c r="N202" s="33">
        <v>5707.59</v>
      </c>
      <c r="O202" s="33">
        <v>23.03</v>
      </c>
      <c r="P202" s="33">
        <v>747.2</v>
      </c>
      <c r="Q202" s="34">
        <f t="shared" si="32"/>
        <v>9.0241545893719817</v>
      </c>
      <c r="R202" s="60">
        <v>1523</v>
      </c>
      <c r="S202" s="34">
        <f t="shared" si="33"/>
        <v>1839.3719806763286</v>
      </c>
      <c r="T202" s="60">
        <v>1641.3</v>
      </c>
      <c r="U202" s="34">
        <f t="shared" si="34"/>
        <v>1982.2463768115942</v>
      </c>
      <c r="V202" s="116">
        <v>289294</v>
      </c>
      <c r="W202" s="116">
        <v>3560905</v>
      </c>
      <c r="X202" s="117">
        <v>6363553</v>
      </c>
      <c r="Y202" s="117">
        <v>1021078</v>
      </c>
      <c r="Z202" s="33">
        <v>90.2</v>
      </c>
      <c r="AA202" s="33">
        <v>81.400000000000006</v>
      </c>
      <c r="AB202" s="33">
        <v>83.2</v>
      </c>
      <c r="AC202" s="33">
        <v>78.400000000000006</v>
      </c>
      <c r="AD202" s="33">
        <v>39646</v>
      </c>
      <c r="AE202" s="33">
        <v>10.8</v>
      </c>
      <c r="AF202" s="33">
        <v>349</v>
      </c>
      <c r="AG202" s="33">
        <v>82.8</v>
      </c>
      <c r="AH202" s="33">
        <v>82.8</v>
      </c>
      <c r="AI202" s="33">
        <v>88.9</v>
      </c>
      <c r="AJ202" s="33">
        <v>85.8</v>
      </c>
      <c r="AK202" s="33">
        <v>187.985952</v>
      </c>
      <c r="AL202" s="33">
        <v>67.8</v>
      </c>
      <c r="AM202" s="123">
        <v>45.969948540866064</v>
      </c>
      <c r="AN202" s="123">
        <v>94.260315264102331</v>
      </c>
      <c r="AO202" s="123">
        <v>77.048178263566456</v>
      </c>
      <c r="AP202" s="33">
        <v>54.7</v>
      </c>
      <c r="AQ202" s="33">
        <f t="shared" si="35"/>
        <v>0.61529808773903261</v>
      </c>
      <c r="AR202" s="33">
        <v>102.1</v>
      </c>
      <c r="AS202" s="33">
        <v>104.5</v>
      </c>
      <c r="AT202" s="33">
        <v>99.8</v>
      </c>
      <c r="AU202" s="33">
        <v>103.5</v>
      </c>
      <c r="AV202" s="65">
        <v>104.5</v>
      </c>
      <c r="AW202" s="33">
        <v>102.6</v>
      </c>
      <c r="AX202" s="33">
        <v>26.1</v>
      </c>
      <c r="AY202" s="33">
        <v>8.5</v>
      </c>
      <c r="AZ202" s="33">
        <v>21.9</v>
      </c>
      <c r="BA202" s="33">
        <v>9.5</v>
      </c>
      <c r="BB202" s="33">
        <v>105.1</v>
      </c>
      <c r="BC202" s="33">
        <v>106.8</v>
      </c>
      <c r="BD202" s="33">
        <v>103.3</v>
      </c>
      <c r="BE202" s="33">
        <v>11.9</v>
      </c>
      <c r="BF202" s="33">
        <v>37.799999999999997</v>
      </c>
      <c r="BG202" s="33">
        <v>20.399999999999999</v>
      </c>
      <c r="BH202" s="33">
        <v>138.4</v>
      </c>
      <c r="BI202" s="33">
        <v>6.1</v>
      </c>
      <c r="BJ202" s="34">
        <v>59.500410309999999</v>
      </c>
      <c r="BK202" s="45">
        <v>-22.525623628108175</v>
      </c>
      <c r="BL202" s="33">
        <v>0.58799999999999997</v>
      </c>
      <c r="BM202" s="33">
        <v>101.5714</v>
      </c>
      <c r="BN202" s="33">
        <v>101.3515</v>
      </c>
      <c r="BO202" s="33">
        <v>6.7</v>
      </c>
      <c r="BP202" s="33">
        <v>2.9</v>
      </c>
      <c r="BQ202" s="33">
        <v>0.8</v>
      </c>
      <c r="BR202" s="33">
        <v>9.6999999999999993</v>
      </c>
      <c r="BS202" s="33">
        <v>8.1999999999999993</v>
      </c>
      <c r="BT202" s="33">
        <v>-5.4</v>
      </c>
      <c r="BU202" s="33">
        <v>5.2</v>
      </c>
      <c r="BV202" s="33">
        <v>14.7</v>
      </c>
      <c r="BW202" s="33">
        <v>-7.5</v>
      </c>
      <c r="BX202" s="33">
        <v>-6.6</v>
      </c>
      <c r="BY202" s="33">
        <v>-17.399999999999999</v>
      </c>
      <c r="BZ202" s="33">
        <v>105.1</v>
      </c>
      <c r="CA202" s="33">
        <v>-7.5</v>
      </c>
      <c r="CB202" s="33">
        <v>-5.8</v>
      </c>
      <c r="CC202" s="33">
        <v>-2</v>
      </c>
      <c r="CD202" s="33">
        <v>-21.8</v>
      </c>
      <c r="CE202" s="33">
        <v>-16.600000000000001</v>
      </c>
      <c r="CF202" s="33">
        <v>28.2</v>
      </c>
      <c r="CG202" s="33">
        <v>52.5</v>
      </c>
      <c r="CH202" s="33">
        <v>22.1</v>
      </c>
      <c r="CI202" s="33">
        <v>7.9</v>
      </c>
      <c r="CJ202" s="33">
        <v>-5.6</v>
      </c>
      <c r="CK202" s="33">
        <v>-0.1</v>
      </c>
      <c r="CL202" s="33">
        <v>18.899999999999999</v>
      </c>
      <c r="CM202" s="33">
        <v>3528.6558639999998</v>
      </c>
      <c r="CN202" s="33">
        <v>11260.28</v>
      </c>
      <c r="CO202" s="33">
        <v>1253.1213640000001</v>
      </c>
      <c r="CP202" s="33">
        <v>4.6429999999999998</v>
      </c>
      <c r="CQ202" s="33">
        <v>5.1100000000000003</v>
      </c>
      <c r="CR202" s="33">
        <v>72</v>
      </c>
      <c r="CS202" s="121">
        <f t="shared" si="38"/>
        <v>27.950000000000003</v>
      </c>
      <c r="CT202" s="33">
        <v>107.6</v>
      </c>
      <c r="CU202" s="33">
        <v>103.1</v>
      </c>
      <c r="CV202" s="33">
        <v>108.8</v>
      </c>
      <c r="CW202" s="33">
        <v>114.6</v>
      </c>
      <c r="CX202" s="33">
        <v>95.6</v>
      </c>
      <c r="CY202" s="33">
        <v>6.11</v>
      </c>
      <c r="CZ202" s="33">
        <v>42705.294000000002</v>
      </c>
      <c r="DA202" s="33">
        <v>3.97</v>
      </c>
      <c r="DB202" s="33">
        <v>24.63</v>
      </c>
      <c r="DC202" s="33">
        <v>41.58</v>
      </c>
      <c r="DD202" s="33">
        <v>12.23</v>
      </c>
      <c r="DE202" s="33">
        <v>7956.74</v>
      </c>
      <c r="DF202" s="33">
        <v>1697.252</v>
      </c>
      <c r="DG202" s="33">
        <v>1738.4749999999999</v>
      </c>
      <c r="DH202" s="33">
        <v>1019.748</v>
      </c>
      <c r="DI202" s="33">
        <v>2107.3890000000001</v>
      </c>
      <c r="DJ202" s="33">
        <v>100.4113</v>
      </c>
      <c r="DK202" s="33">
        <v>100.396</v>
      </c>
      <c r="DL202" s="33">
        <v>100.24</v>
      </c>
      <c r="DM202" s="33">
        <v>100.30929999999999</v>
      </c>
      <c r="DN202" s="33">
        <v>101.3515</v>
      </c>
      <c r="DO202" s="33">
        <v>101.5714</v>
      </c>
      <c r="DP202" s="33">
        <v>101.1207</v>
      </c>
      <c r="DQ202" s="33">
        <v>101.2324</v>
      </c>
      <c r="DR202" s="104">
        <v>53246</v>
      </c>
      <c r="DS202" s="103">
        <v>26578</v>
      </c>
      <c r="DT202" s="73">
        <v>98.6</v>
      </c>
      <c r="DU202">
        <v>89.851524353027344</v>
      </c>
      <c r="DV202">
        <v>105.83663177490234</v>
      </c>
      <c r="DW202">
        <v>2478</v>
      </c>
      <c r="DX202">
        <v>109800</v>
      </c>
      <c r="DY202">
        <v>78.2</v>
      </c>
      <c r="DZ202" t="s">
        <v>312</v>
      </c>
    </row>
    <row r="203" spans="1:130" x14ac:dyDescent="0.25">
      <c r="A203" s="1">
        <v>38899</v>
      </c>
      <c r="B203" s="33">
        <v>94.1</v>
      </c>
      <c r="C203" s="107">
        <v>2.81</v>
      </c>
      <c r="D203" s="33">
        <v>2.75</v>
      </c>
      <c r="E203" s="33">
        <v>2.99</v>
      </c>
      <c r="F203" s="33">
        <v>3.75</v>
      </c>
      <c r="G203" s="33">
        <v>3.9</v>
      </c>
      <c r="H203" s="33">
        <v>4.01</v>
      </c>
      <c r="I203" s="33">
        <f t="shared" si="39"/>
        <v>1.1999999999999997</v>
      </c>
      <c r="J203" s="33">
        <f t="shared" si="40"/>
        <v>1.2599999999999998</v>
      </c>
      <c r="K203" s="33">
        <f t="shared" si="41"/>
        <v>1.0199999999999996</v>
      </c>
      <c r="L203" s="33">
        <f t="shared" si="42"/>
        <v>-6.0000000000000053E-2</v>
      </c>
      <c r="M203" s="33">
        <v>98.7</v>
      </c>
      <c r="N203" s="33">
        <v>5712.69</v>
      </c>
      <c r="O203" s="33">
        <v>18.079999999999998</v>
      </c>
      <c r="P203" s="33">
        <v>745.3</v>
      </c>
      <c r="Q203" s="34">
        <f t="shared" si="32"/>
        <v>9.0120918984280518</v>
      </c>
      <c r="R203" s="60">
        <v>1520.1</v>
      </c>
      <c r="S203" s="34">
        <f t="shared" si="33"/>
        <v>1838.0894800483675</v>
      </c>
      <c r="T203" s="60">
        <v>1636</v>
      </c>
      <c r="U203" s="34">
        <f t="shared" si="34"/>
        <v>1978.2345828295042</v>
      </c>
      <c r="V203" s="116">
        <v>285777</v>
      </c>
      <c r="W203" s="116">
        <v>3554322</v>
      </c>
      <c r="X203" s="117">
        <v>6369246</v>
      </c>
      <c r="Y203" s="117">
        <v>1034122</v>
      </c>
      <c r="Z203" s="33">
        <v>90.9</v>
      </c>
      <c r="AA203" s="33">
        <v>83.8</v>
      </c>
      <c r="AB203" s="33">
        <v>87.6</v>
      </c>
      <c r="AC203" s="33">
        <v>82.2</v>
      </c>
      <c r="AD203" s="33">
        <v>39707</v>
      </c>
      <c r="AE203" s="33">
        <v>10.6</v>
      </c>
      <c r="AF203" s="33">
        <v>362</v>
      </c>
      <c r="AG203" s="33">
        <v>82.8</v>
      </c>
      <c r="AH203" s="33">
        <v>82.7</v>
      </c>
      <c r="AI203" s="33">
        <v>89.8</v>
      </c>
      <c r="AJ203" s="33">
        <v>86</v>
      </c>
      <c r="AK203" s="33">
        <v>189.05405400000001</v>
      </c>
      <c r="AL203" s="33">
        <v>88</v>
      </c>
      <c r="AM203" s="123">
        <v>48.659893127973504</v>
      </c>
      <c r="AN203" s="123">
        <v>101.03482014784387</v>
      </c>
      <c r="AO203" s="123">
        <v>77.713205696174313</v>
      </c>
      <c r="AP203" s="33">
        <v>58.36</v>
      </c>
      <c r="AQ203" s="33">
        <f t="shared" si="35"/>
        <v>0.64988864142538982</v>
      </c>
      <c r="AR203" s="33">
        <v>101.4</v>
      </c>
      <c r="AS203" s="33">
        <v>102.9</v>
      </c>
      <c r="AT203" s="33">
        <v>100</v>
      </c>
      <c r="AU203" s="33">
        <v>102.7</v>
      </c>
      <c r="AV203" s="65">
        <v>102.1</v>
      </c>
      <c r="AW203" s="33">
        <v>103.2</v>
      </c>
      <c r="AX203" s="33">
        <v>18.5</v>
      </c>
      <c r="AY203" s="33">
        <v>7.2</v>
      </c>
      <c r="AZ203" s="33">
        <v>23.2</v>
      </c>
      <c r="BA203" s="33">
        <v>11.3</v>
      </c>
      <c r="BB203" s="33">
        <v>104.6</v>
      </c>
      <c r="BC203" s="33">
        <v>105.4</v>
      </c>
      <c r="BD203" s="33">
        <v>103.8</v>
      </c>
      <c r="BE203" s="33">
        <v>23.3</v>
      </c>
      <c r="BF203" s="33">
        <v>15.1</v>
      </c>
      <c r="BG203" s="33">
        <v>15.6</v>
      </c>
      <c r="BH203" s="33">
        <v>139.5</v>
      </c>
      <c r="BI203" s="33">
        <v>0.6</v>
      </c>
      <c r="BJ203" s="34">
        <v>58.911060810000002</v>
      </c>
      <c r="BK203" s="45">
        <v>-26.706354020006721</v>
      </c>
      <c r="BL203" s="33">
        <v>0.63500000000000001</v>
      </c>
      <c r="BM203" s="33">
        <v>101.551</v>
      </c>
      <c r="BN203" s="33">
        <v>101.334</v>
      </c>
      <c r="BO203" s="33">
        <v>8.3000000000000007</v>
      </c>
      <c r="BP203" s="33">
        <v>3.5</v>
      </c>
      <c r="BQ203" s="33">
        <v>1.7</v>
      </c>
      <c r="BR203" s="33">
        <v>11</v>
      </c>
      <c r="BS203" s="33">
        <v>10.199999999999999</v>
      </c>
      <c r="BT203" s="33">
        <v>-5.0999999999999996</v>
      </c>
      <c r="BU203" s="33">
        <v>5.8</v>
      </c>
      <c r="BV203" s="33">
        <v>15.4</v>
      </c>
      <c r="BW203" s="33">
        <v>-8.3000000000000007</v>
      </c>
      <c r="BX203" s="33">
        <v>-12.8</v>
      </c>
      <c r="BY203" s="33">
        <v>-16.3</v>
      </c>
      <c r="BZ203" s="33">
        <v>104.9</v>
      </c>
      <c r="CA203" s="33">
        <v>-8.3000000000000007</v>
      </c>
      <c r="CB203" s="33">
        <v>-4.9000000000000004</v>
      </c>
      <c r="CC203" s="33">
        <v>-1.5</v>
      </c>
      <c r="CD203" s="33">
        <v>-19.5</v>
      </c>
      <c r="CE203" s="33">
        <v>-17</v>
      </c>
      <c r="CF203" s="33">
        <v>28.5</v>
      </c>
      <c r="CG203" s="33">
        <v>53.5</v>
      </c>
      <c r="CH203" s="33">
        <v>21</v>
      </c>
      <c r="CI203" s="33">
        <v>13.7</v>
      </c>
      <c r="CJ203" s="33">
        <v>-9.6999999999999993</v>
      </c>
      <c r="CK203" s="33">
        <v>4.0999999999999996</v>
      </c>
      <c r="CL203" s="33">
        <v>19.899999999999999</v>
      </c>
      <c r="CM203" s="33">
        <v>3617.3304760000001</v>
      </c>
      <c r="CN203" s="33">
        <v>11228.02</v>
      </c>
      <c r="CO203" s="33">
        <v>1261.1895239999999</v>
      </c>
      <c r="CP203" s="33">
        <v>4.7290000000000001</v>
      </c>
      <c r="CQ203" s="33">
        <v>5.15</v>
      </c>
      <c r="CR203" s="33">
        <v>72.5</v>
      </c>
      <c r="CS203" s="121">
        <f t="shared" si="38"/>
        <v>28.850000000000009</v>
      </c>
      <c r="CT203" s="33">
        <v>109.3</v>
      </c>
      <c r="CU203" s="33">
        <v>103.6</v>
      </c>
      <c r="CV203" s="33">
        <v>112.2</v>
      </c>
      <c r="CW203" s="33">
        <v>114.5</v>
      </c>
      <c r="CX203" s="33">
        <v>95.4</v>
      </c>
      <c r="CY203" s="33">
        <v>6.42</v>
      </c>
      <c r="CZ203" s="33">
        <v>40550.567999999999</v>
      </c>
      <c r="DA203" s="33">
        <v>4.1500000000000004</v>
      </c>
      <c r="DB203" s="33">
        <v>24.36</v>
      </c>
      <c r="DC203" s="33">
        <v>42.19</v>
      </c>
      <c r="DD203" s="33">
        <v>12.89</v>
      </c>
      <c r="DE203" s="33">
        <v>8803.6640000000007</v>
      </c>
      <c r="DF203" s="33">
        <v>1949.0630000000001</v>
      </c>
      <c r="DG203" s="33">
        <v>1850.5619999999999</v>
      </c>
      <c r="DH203" s="33">
        <v>1177.885</v>
      </c>
      <c r="DI203" s="33">
        <v>2349.4830000000002</v>
      </c>
      <c r="DJ203" s="33">
        <v>100.4528</v>
      </c>
      <c r="DK203" s="33">
        <v>100.45489999999999</v>
      </c>
      <c r="DL203" s="33">
        <v>100.33</v>
      </c>
      <c r="DM203" s="33">
        <v>100.4194</v>
      </c>
      <c r="DN203" s="33">
        <v>101.334</v>
      </c>
      <c r="DO203" s="33">
        <v>101.551</v>
      </c>
      <c r="DP203" s="33">
        <v>101.0843</v>
      </c>
      <c r="DQ203" s="33">
        <v>101.19240000000001</v>
      </c>
      <c r="DR203" s="104">
        <v>47958</v>
      </c>
      <c r="DS203" s="103">
        <v>26617</v>
      </c>
      <c r="DT203" s="73">
        <v>97.9</v>
      </c>
      <c r="DU203">
        <v>82.004371643066406</v>
      </c>
      <c r="DV203">
        <v>98.154167175292969</v>
      </c>
      <c r="DW203">
        <v>2983</v>
      </c>
      <c r="DX203">
        <v>93400</v>
      </c>
      <c r="DY203">
        <v>79</v>
      </c>
      <c r="DZ203" t="s">
        <v>312</v>
      </c>
    </row>
    <row r="204" spans="1:130" x14ac:dyDescent="0.25">
      <c r="A204" s="1">
        <v>38930</v>
      </c>
      <c r="B204" s="33">
        <v>94.5</v>
      </c>
      <c r="C204" s="107">
        <v>2.97</v>
      </c>
      <c r="D204" s="33">
        <v>3</v>
      </c>
      <c r="E204" s="33">
        <v>3.11</v>
      </c>
      <c r="F204" s="33">
        <v>3.68</v>
      </c>
      <c r="G204" s="33">
        <v>3.79</v>
      </c>
      <c r="H204" s="33">
        <v>3.88</v>
      </c>
      <c r="I204" s="33">
        <f t="shared" si="39"/>
        <v>0.9099999999999997</v>
      </c>
      <c r="J204" s="33">
        <f t="shared" si="40"/>
        <v>0.87999999999999989</v>
      </c>
      <c r="K204" s="33">
        <f t="shared" si="41"/>
        <v>0.77</v>
      </c>
      <c r="L204" s="33">
        <f t="shared" si="42"/>
        <v>2.9999999999999805E-2</v>
      </c>
      <c r="M204" s="33">
        <v>98.6</v>
      </c>
      <c r="N204" s="33">
        <v>5596.74</v>
      </c>
      <c r="O204" s="33">
        <v>20.57</v>
      </c>
      <c r="P204" s="33">
        <v>742.2</v>
      </c>
      <c r="Q204" s="34">
        <f t="shared" si="32"/>
        <v>8.9637681159420293</v>
      </c>
      <c r="R204" s="60">
        <v>1520.5</v>
      </c>
      <c r="S204" s="34">
        <f t="shared" si="33"/>
        <v>1836.3526570048311</v>
      </c>
      <c r="T204" s="60">
        <v>1643.4</v>
      </c>
      <c r="U204" s="34">
        <f t="shared" si="34"/>
        <v>1984.7826086956522</v>
      </c>
      <c r="V204" s="116">
        <v>290084</v>
      </c>
      <c r="W204" s="116">
        <v>3565013</v>
      </c>
      <c r="X204" s="117">
        <v>6406721</v>
      </c>
      <c r="Y204" s="117">
        <v>1068851</v>
      </c>
      <c r="Z204" s="33">
        <v>93.3</v>
      </c>
      <c r="AA204" s="33">
        <v>86.5</v>
      </c>
      <c r="AB204" s="33">
        <v>88.3</v>
      </c>
      <c r="AC204" s="33">
        <v>86.1</v>
      </c>
      <c r="AD204" s="33">
        <v>39737</v>
      </c>
      <c r="AE204" s="33">
        <v>10.5</v>
      </c>
      <c r="AF204" s="33">
        <v>373</v>
      </c>
      <c r="AG204" s="33">
        <v>82.9</v>
      </c>
      <c r="AH204" s="33">
        <v>82.8</v>
      </c>
      <c r="AI204" s="33">
        <v>89.7</v>
      </c>
      <c r="AJ204" s="33">
        <v>86.1</v>
      </c>
      <c r="AK204" s="33">
        <v>189.58810500000001</v>
      </c>
      <c r="AL204" s="33">
        <v>67.900000000000006</v>
      </c>
      <c r="AM204" s="123">
        <v>50.109503470755307</v>
      </c>
      <c r="AN204" s="123">
        <v>99.290527104122816</v>
      </c>
      <c r="AO204" s="123">
        <v>78.282533210431978</v>
      </c>
      <c r="AP204" s="33">
        <v>57.37</v>
      </c>
      <c r="AQ204" s="33">
        <f t="shared" si="35"/>
        <v>0.6395763656633221</v>
      </c>
      <c r="AR204" s="33">
        <v>101.2</v>
      </c>
      <c r="AS204" s="33">
        <v>102.4</v>
      </c>
      <c r="AT204" s="33">
        <v>100.1</v>
      </c>
      <c r="AU204" s="33">
        <v>103.1</v>
      </c>
      <c r="AV204" s="65">
        <v>103.3</v>
      </c>
      <c r="AW204" s="33">
        <v>102.9</v>
      </c>
      <c r="AX204" s="33">
        <v>27.1</v>
      </c>
      <c r="AY204" s="33">
        <v>12.1</v>
      </c>
      <c r="AZ204" s="33">
        <v>20.9</v>
      </c>
      <c r="BA204" s="33">
        <v>8</v>
      </c>
      <c r="BB204" s="33">
        <v>103.8</v>
      </c>
      <c r="BC204" s="33">
        <v>103.4</v>
      </c>
      <c r="BD204" s="33">
        <v>104.3</v>
      </c>
      <c r="BE204" s="33">
        <v>33.6</v>
      </c>
      <c r="BF204" s="33">
        <v>-5.6</v>
      </c>
      <c r="BG204" s="33">
        <v>11.4</v>
      </c>
      <c r="BH204" s="33">
        <v>141.9</v>
      </c>
      <c r="BI204" s="33">
        <v>2</v>
      </c>
      <c r="BJ204" s="34">
        <v>58.327195779999997</v>
      </c>
      <c r="BK204" s="45">
        <v>-25.371247010141545</v>
      </c>
      <c r="BL204" s="33">
        <v>0.70199999999999996</v>
      </c>
      <c r="BM204" s="33">
        <v>101.54089999999999</v>
      </c>
      <c r="BN204" s="33">
        <v>101.3253</v>
      </c>
      <c r="BO204" s="33">
        <v>7.8</v>
      </c>
      <c r="BP204" s="33">
        <v>3.1</v>
      </c>
      <c r="BQ204" s="33">
        <v>1.3</v>
      </c>
      <c r="BR204" s="33">
        <v>11.5</v>
      </c>
      <c r="BS204" s="33">
        <v>10.4</v>
      </c>
      <c r="BT204" s="33">
        <v>-3.3</v>
      </c>
      <c r="BU204" s="33">
        <v>6</v>
      </c>
      <c r="BV204" s="33">
        <v>14.9</v>
      </c>
      <c r="BW204" s="33">
        <v>-8.5</v>
      </c>
      <c r="BX204" s="33">
        <v>-12.7</v>
      </c>
      <c r="BY204" s="33">
        <v>-14.6</v>
      </c>
      <c r="BZ204" s="33">
        <v>104.9</v>
      </c>
      <c r="CA204" s="33">
        <v>-8.5</v>
      </c>
      <c r="CB204" s="33">
        <v>-5.9</v>
      </c>
      <c r="CC204" s="33">
        <v>-1.5</v>
      </c>
      <c r="CD204" s="33">
        <v>-21.8</v>
      </c>
      <c r="CE204" s="33">
        <v>-17</v>
      </c>
      <c r="CF204" s="33">
        <v>27.4</v>
      </c>
      <c r="CG204" s="33">
        <v>59.4</v>
      </c>
      <c r="CH204" s="33">
        <v>19.899999999999999</v>
      </c>
      <c r="CI204" s="33">
        <v>11.7</v>
      </c>
      <c r="CJ204" s="33">
        <v>-9.6</v>
      </c>
      <c r="CK204" s="33">
        <v>-1.9</v>
      </c>
      <c r="CL204" s="33">
        <v>20.5</v>
      </c>
      <c r="CM204" s="33">
        <v>3743.8631300000002</v>
      </c>
      <c r="CN204" s="33">
        <v>11125.73</v>
      </c>
      <c r="CO204" s="33">
        <v>1287.151304</v>
      </c>
      <c r="CP204" s="33">
        <v>4.6100000000000003</v>
      </c>
      <c r="CQ204" s="33">
        <v>4.99</v>
      </c>
      <c r="CR204" s="33">
        <v>68</v>
      </c>
      <c r="CS204" s="121">
        <f t="shared" si="38"/>
        <v>27.150000000000006</v>
      </c>
      <c r="CT204" s="33">
        <v>109.8</v>
      </c>
      <c r="CU204" s="33">
        <v>105.1</v>
      </c>
      <c r="CV204" s="33">
        <v>111.2</v>
      </c>
      <c r="CW204" s="33">
        <v>116.4</v>
      </c>
      <c r="CX204" s="33">
        <v>92</v>
      </c>
      <c r="CY204" s="33">
        <v>6.09</v>
      </c>
      <c r="CZ204" s="33">
        <v>37620.68</v>
      </c>
      <c r="DA204" s="33">
        <v>4.1500000000000004</v>
      </c>
      <c r="DB204" s="33">
        <v>24.16</v>
      </c>
      <c r="DC204" s="33">
        <v>41.8</v>
      </c>
      <c r="DD204" s="33">
        <v>12.49</v>
      </c>
      <c r="DE204" s="33">
        <v>9079.6659999999993</v>
      </c>
      <c r="DF204" s="33">
        <v>1931.5329999999999</v>
      </c>
      <c r="DG204" s="33">
        <v>1938.634</v>
      </c>
      <c r="DH204" s="33">
        <v>1080.8720000000001</v>
      </c>
      <c r="DI204" s="33">
        <v>2444.0970000000002</v>
      </c>
      <c r="DJ204" s="33">
        <v>100.51990000000001</v>
      </c>
      <c r="DK204" s="33">
        <v>100.5475</v>
      </c>
      <c r="DL204" s="33">
        <v>100.44</v>
      </c>
      <c r="DM204" s="33">
        <v>100.5668</v>
      </c>
      <c r="DN204" s="33">
        <v>101.3253</v>
      </c>
      <c r="DO204" s="33">
        <v>101.54089999999999</v>
      </c>
      <c r="DP204" s="33">
        <v>101.08759999999999</v>
      </c>
      <c r="DQ204" s="33">
        <v>101.196</v>
      </c>
      <c r="DR204" s="104">
        <v>43611</v>
      </c>
      <c r="DS204" s="103">
        <v>26632</v>
      </c>
      <c r="DT204" s="73">
        <v>97.2</v>
      </c>
      <c r="DU204">
        <v>58.866626739501953</v>
      </c>
      <c r="DV204">
        <v>59.319850921630859</v>
      </c>
      <c r="DW204">
        <v>3337</v>
      </c>
      <c r="DX204">
        <v>101325</v>
      </c>
      <c r="DY204">
        <v>79.099999999999994</v>
      </c>
      <c r="DZ204" t="s">
        <v>312</v>
      </c>
    </row>
    <row r="205" spans="1:130" x14ac:dyDescent="0.25">
      <c r="A205" s="1">
        <v>38961</v>
      </c>
      <c r="B205" s="33">
        <v>94.4</v>
      </c>
      <c r="C205" s="107">
        <v>3.04</v>
      </c>
      <c r="D205" s="33">
        <v>3</v>
      </c>
      <c r="E205" s="33">
        <v>3.22</v>
      </c>
      <c r="F205" s="33">
        <v>3.63</v>
      </c>
      <c r="G205" s="33">
        <v>3.69</v>
      </c>
      <c r="H205" s="33">
        <v>3.75</v>
      </c>
      <c r="I205" s="33">
        <f t="shared" si="39"/>
        <v>0.71</v>
      </c>
      <c r="J205" s="33">
        <f t="shared" si="40"/>
        <v>0.75</v>
      </c>
      <c r="K205" s="33">
        <f t="shared" si="41"/>
        <v>0.5299999999999998</v>
      </c>
      <c r="L205" s="33">
        <f t="shared" si="42"/>
        <v>-4.0000000000000036E-2</v>
      </c>
      <c r="M205" s="33">
        <v>98.4</v>
      </c>
      <c r="N205" s="33">
        <v>5876.54</v>
      </c>
      <c r="O205" s="33">
        <v>16.59</v>
      </c>
      <c r="P205" s="33">
        <v>738.3</v>
      </c>
      <c r="Q205" s="34">
        <f t="shared" si="32"/>
        <v>8.8951807228915651</v>
      </c>
      <c r="R205" s="60">
        <v>1525.9</v>
      </c>
      <c r="S205" s="34">
        <f t="shared" si="33"/>
        <v>1838.433734939759</v>
      </c>
      <c r="T205" s="60">
        <v>1650.6</v>
      </c>
      <c r="U205" s="34">
        <f t="shared" si="34"/>
        <v>1988.6746987951806</v>
      </c>
      <c r="V205" s="116">
        <v>296025</v>
      </c>
      <c r="W205" s="116">
        <v>3590868</v>
      </c>
      <c r="X205" s="117">
        <v>6486139</v>
      </c>
      <c r="Y205" s="117">
        <v>1087246</v>
      </c>
      <c r="Z205" s="33">
        <v>92.5</v>
      </c>
      <c r="AA205" s="33">
        <v>85.2</v>
      </c>
      <c r="AB205" s="33">
        <v>87.3</v>
      </c>
      <c r="AC205" s="33">
        <v>83.8</v>
      </c>
      <c r="AD205" s="33">
        <v>39754</v>
      </c>
      <c r="AE205" s="33">
        <v>10.5</v>
      </c>
      <c r="AF205" s="33">
        <v>381</v>
      </c>
      <c r="AG205" s="33">
        <v>82.7</v>
      </c>
      <c r="AH205" s="33">
        <v>83</v>
      </c>
      <c r="AI205" s="33">
        <v>89</v>
      </c>
      <c r="AJ205" s="33">
        <v>86</v>
      </c>
      <c r="AK205" s="33">
        <v>188.876037</v>
      </c>
      <c r="AL205" s="33">
        <v>67.900000000000006</v>
      </c>
      <c r="AM205" s="123">
        <v>45.572983115075324</v>
      </c>
      <c r="AN205" s="123">
        <v>86.499955907366427</v>
      </c>
      <c r="AO205" s="123">
        <v>77.814336241470059</v>
      </c>
      <c r="AP205" s="33">
        <v>49.14</v>
      </c>
      <c r="AQ205" s="33">
        <f t="shared" si="35"/>
        <v>0.55213483146067421</v>
      </c>
      <c r="AR205" s="33">
        <v>101.7</v>
      </c>
      <c r="AS205" s="33">
        <v>101.2</v>
      </c>
      <c r="AT205" s="33">
        <v>102.3</v>
      </c>
      <c r="AU205" s="33">
        <v>103.9</v>
      </c>
      <c r="AV205" s="65">
        <v>102.4</v>
      </c>
      <c r="AW205" s="33">
        <v>105.4</v>
      </c>
      <c r="AX205" s="33">
        <v>24.4</v>
      </c>
      <c r="AY205" s="33">
        <v>13.5</v>
      </c>
      <c r="AZ205" s="33">
        <v>24.1</v>
      </c>
      <c r="BA205" s="33">
        <v>15.7</v>
      </c>
      <c r="BB205" s="33">
        <v>104.4</v>
      </c>
      <c r="BC205" s="33">
        <v>103.2</v>
      </c>
      <c r="BD205" s="33">
        <v>105.7</v>
      </c>
      <c r="BE205" s="33">
        <v>38.9</v>
      </c>
      <c r="BF205" s="33">
        <v>-22.2</v>
      </c>
      <c r="BG205" s="33">
        <v>12.4</v>
      </c>
      <c r="BH205" s="33">
        <v>139.9</v>
      </c>
      <c r="BI205" s="33">
        <v>3.2</v>
      </c>
      <c r="BJ205" s="34">
        <v>58.391736770000001</v>
      </c>
      <c r="BK205" s="45">
        <v>-26.590791121390335</v>
      </c>
      <c r="BL205" s="33">
        <v>0.72</v>
      </c>
      <c r="BM205" s="33">
        <v>101.5617</v>
      </c>
      <c r="BN205" s="33">
        <v>101.3432</v>
      </c>
      <c r="BO205" s="33">
        <v>11.7</v>
      </c>
      <c r="BP205" s="33">
        <v>5.8</v>
      </c>
      <c r="BQ205" s="33">
        <v>1</v>
      </c>
      <c r="BR205" s="33">
        <v>14.8</v>
      </c>
      <c r="BS205" s="33">
        <v>14.1</v>
      </c>
      <c r="BT205" s="33">
        <v>0</v>
      </c>
      <c r="BU205" s="33">
        <v>8.5</v>
      </c>
      <c r="BV205" s="33">
        <v>14</v>
      </c>
      <c r="BW205" s="33">
        <v>-8.5</v>
      </c>
      <c r="BX205" s="33">
        <v>-8.3000000000000007</v>
      </c>
      <c r="BY205" s="33">
        <v>-14.7</v>
      </c>
      <c r="BZ205" s="33">
        <v>105.7</v>
      </c>
      <c r="CA205" s="33">
        <v>-8.5</v>
      </c>
      <c r="CB205" s="33">
        <v>-5.0999999999999996</v>
      </c>
      <c r="CC205" s="33">
        <v>-2.2000000000000002</v>
      </c>
      <c r="CD205" s="33">
        <v>-18.399999999999999</v>
      </c>
      <c r="CE205" s="33">
        <v>-17</v>
      </c>
      <c r="CF205" s="33">
        <v>29.5</v>
      </c>
      <c r="CG205" s="33">
        <v>61.2</v>
      </c>
      <c r="CH205" s="33">
        <v>19.2</v>
      </c>
      <c r="CI205" s="33">
        <v>18.600000000000001</v>
      </c>
      <c r="CJ205" s="33">
        <v>-9.6</v>
      </c>
      <c r="CK205" s="33">
        <v>6.1</v>
      </c>
      <c r="CL205" s="33">
        <v>22.5</v>
      </c>
      <c r="CM205" s="33">
        <v>3817.57</v>
      </c>
      <c r="CN205" s="33">
        <v>11464.15</v>
      </c>
      <c r="CO205" s="33">
        <v>1317.4819050000001</v>
      </c>
      <c r="CP205" s="33">
        <v>4.4950000000000001</v>
      </c>
      <c r="CQ205" s="33">
        <v>4.7300000000000004</v>
      </c>
      <c r="CR205" s="33">
        <v>78.2</v>
      </c>
      <c r="CS205" s="121">
        <f t="shared" si="38"/>
        <v>26.650000000000006</v>
      </c>
      <c r="CT205" s="33">
        <v>109.8</v>
      </c>
      <c r="CU205" s="33">
        <v>105.6</v>
      </c>
      <c r="CV205" s="33">
        <v>112.8</v>
      </c>
      <c r="CW205" s="33">
        <v>114</v>
      </c>
      <c r="CX205" s="33">
        <v>97.3</v>
      </c>
      <c r="CY205" s="33">
        <v>6.77</v>
      </c>
      <c r="CZ205" s="33">
        <v>43377.423999999999</v>
      </c>
      <c r="DA205" s="33">
        <v>4.2300000000000004</v>
      </c>
      <c r="DB205" s="33">
        <v>26.02</v>
      </c>
      <c r="DC205" s="33">
        <v>43.32</v>
      </c>
      <c r="DD205" s="33">
        <v>13.65</v>
      </c>
      <c r="DE205" s="33">
        <v>9858.2720000000008</v>
      </c>
      <c r="DF205" s="33">
        <v>2036.019</v>
      </c>
      <c r="DG205" s="33">
        <v>2412.886</v>
      </c>
      <c r="DH205" s="33">
        <v>1304.085</v>
      </c>
      <c r="DI205" s="33">
        <v>2485.8000000000002</v>
      </c>
      <c r="DJ205" s="33">
        <v>100.6215</v>
      </c>
      <c r="DK205" s="33">
        <v>100.685</v>
      </c>
      <c r="DL205" s="33">
        <v>100.62</v>
      </c>
      <c r="DM205" s="33">
        <v>100.7908</v>
      </c>
      <c r="DN205" s="33">
        <v>101.3432</v>
      </c>
      <c r="DO205" s="33">
        <v>101.5617</v>
      </c>
      <c r="DP205" s="33">
        <v>101.1417</v>
      </c>
      <c r="DQ205" s="33">
        <v>101.2556</v>
      </c>
      <c r="DR205" s="104">
        <v>41685</v>
      </c>
      <c r="DS205" s="103">
        <v>26653</v>
      </c>
      <c r="DT205" s="73">
        <v>99</v>
      </c>
      <c r="DU205">
        <v>76.8297119140625</v>
      </c>
      <c r="DV205">
        <v>93.781333923339844</v>
      </c>
      <c r="DW205">
        <v>3875</v>
      </c>
      <c r="DX205">
        <v>128100</v>
      </c>
      <c r="DY205">
        <v>79.599999999999994</v>
      </c>
      <c r="DZ205" t="s">
        <v>312</v>
      </c>
    </row>
    <row r="206" spans="1:130" x14ac:dyDescent="0.25">
      <c r="A206" s="1">
        <v>38991</v>
      </c>
      <c r="B206" s="33">
        <v>94.1</v>
      </c>
      <c r="C206" s="107">
        <v>3.28</v>
      </c>
      <c r="D206" s="33">
        <v>3.25</v>
      </c>
      <c r="E206" s="33">
        <v>3.35</v>
      </c>
      <c r="F206" s="33">
        <v>3.69</v>
      </c>
      <c r="G206" s="33">
        <v>3.74</v>
      </c>
      <c r="H206" s="33">
        <v>3.79</v>
      </c>
      <c r="I206" s="33">
        <f t="shared" si="39"/>
        <v>0.51000000000000023</v>
      </c>
      <c r="J206" s="33">
        <f t="shared" si="40"/>
        <v>0.54</v>
      </c>
      <c r="K206" s="33">
        <f t="shared" si="41"/>
        <v>0.43999999999999995</v>
      </c>
      <c r="L206" s="33">
        <f t="shared" si="42"/>
        <v>-2.9999999999999805E-2</v>
      </c>
      <c r="M206" s="33">
        <v>98.7</v>
      </c>
      <c r="N206" s="33">
        <v>5999.46</v>
      </c>
      <c r="O206" s="33">
        <v>17.36</v>
      </c>
      <c r="P206" s="33">
        <v>733.8</v>
      </c>
      <c r="Q206" s="34">
        <f t="shared" si="32"/>
        <v>8.8303249097472918</v>
      </c>
      <c r="R206" s="60">
        <v>1525.1</v>
      </c>
      <c r="S206" s="34">
        <f t="shared" si="33"/>
        <v>1835.2587244283995</v>
      </c>
      <c r="T206" s="60">
        <v>1644.8</v>
      </c>
      <c r="U206" s="34">
        <f t="shared" si="34"/>
        <v>1979.3020457280384</v>
      </c>
      <c r="V206" s="116">
        <v>294598</v>
      </c>
      <c r="W206" s="116">
        <v>3589937</v>
      </c>
      <c r="X206" s="117">
        <v>6500180</v>
      </c>
      <c r="Y206" s="117">
        <v>1098314</v>
      </c>
      <c r="Z206" s="33">
        <v>92.3</v>
      </c>
      <c r="AA206" s="33">
        <v>84.7</v>
      </c>
      <c r="AB206" s="33">
        <v>88.3</v>
      </c>
      <c r="AC206" s="33">
        <v>82.3</v>
      </c>
      <c r="AD206" s="33">
        <v>39772</v>
      </c>
      <c r="AE206" s="33">
        <v>10.3</v>
      </c>
      <c r="AF206" s="33">
        <v>392</v>
      </c>
      <c r="AG206" s="33">
        <v>82.9</v>
      </c>
      <c r="AH206" s="33">
        <v>83.1</v>
      </c>
      <c r="AI206" s="33">
        <v>89</v>
      </c>
      <c r="AJ206" s="33">
        <v>86.4</v>
      </c>
      <c r="AK206" s="33">
        <v>188.876037</v>
      </c>
      <c r="AL206" s="33">
        <v>68.099999999999994</v>
      </c>
      <c r="AM206" s="123">
        <v>42.091960242684536</v>
      </c>
      <c r="AN206" s="123">
        <v>82.188224976401074</v>
      </c>
      <c r="AO206" s="123">
        <v>79.058599920607961</v>
      </c>
      <c r="AP206" s="33">
        <v>46.59</v>
      </c>
      <c r="AQ206" s="33">
        <f t="shared" si="35"/>
        <v>0.52348314606741575</v>
      </c>
      <c r="AR206" s="33">
        <v>102.6</v>
      </c>
      <c r="AS206" s="33">
        <v>101.3</v>
      </c>
      <c r="AT206" s="33">
        <v>103.8</v>
      </c>
      <c r="AU206" s="33">
        <v>104.8</v>
      </c>
      <c r="AV206" s="65">
        <v>103.2</v>
      </c>
      <c r="AW206" s="33">
        <v>106.5</v>
      </c>
      <c r="AX206" s="33">
        <v>27.4</v>
      </c>
      <c r="AY206" s="33">
        <v>15.2</v>
      </c>
      <c r="AZ206" s="33">
        <v>25.5</v>
      </c>
      <c r="BA206" s="33">
        <v>12.7</v>
      </c>
      <c r="BB206" s="33">
        <v>104.8</v>
      </c>
      <c r="BC206" s="33">
        <v>102.2</v>
      </c>
      <c r="BD206" s="33">
        <v>107.4</v>
      </c>
      <c r="BE206" s="33">
        <v>42.9</v>
      </c>
      <c r="BF206" s="33">
        <v>-27.4</v>
      </c>
      <c r="BG206" s="33">
        <v>6.9</v>
      </c>
      <c r="BH206" s="33">
        <v>141.80000000000001</v>
      </c>
      <c r="BI206" s="33">
        <v>0.8</v>
      </c>
      <c r="BJ206" s="34">
        <v>58.239475159999998</v>
      </c>
      <c r="BK206" s="45">
        <v>-34.639965919385801</v>
      </c>
      <c r="BL206" s="33">
        <v>0.68200000000000005</v>
      </c>
      <c r="BM206" s="33">
        <v>101.6219</v>
      </c>
      <c r="BN206" s="33">
        <v>101.39490000000001</v>
      </c>
      <c r="BO206" s="33">
        <v>14.9</v>
      </c>
      <c r="BP206" s="33">
        <v>7.6</v>
      </c>
      <c r="BQ206" s="33">
        <v>-0.9</v>
      </c>
      <c r="BR206" s="33">
        <v>14.9</v>
      </c>
      <c r="BS206" s="33">
        <v>13.1</v>
      </c>
      <c r="BT206" s="33">
        <v>1</v>
      </c>
      <c r="BU206" s="33">
        <v>10.199999999999999</v>
      </c>
      <c r="BV206" s="33">
        <v>16.5</v>
      </c>
      <c r="BW206" s="33">
        <v>-9.4</v>
      </c>
      <c r="BX206" s="33">
        <v>-6.3</v>
      </c>
      <c r="BY206" s="33">
        <v>-16</v>
      </c>
      <c r="BZ206" s="33">
        <v>106.7</v>
      </c>
      <c r="CA206" s="33">
        <v>-9.4</v>
      </c>
      <c r="CB206" s="33">
        <v>-4.8</v>
      </c>
      <c r="CC206" s="33">
        <v>-1.8</v>
      </c>
      <c r="CD206" s="33">
        <v>-17.399999999999999</v>
      </c>
      <c r="CE206" s="33">
        <v>-17.3</v>
      </c>
      <c r="CF206" s="33">
        <v>31</v>
      </c>
      <c r="CG206" s="33">
        <v>66</v>
      </c>
      <c r="CH206" s="33">
        <v>18.100000000000001</v>
      </c>
      <c r="CI206" s="33">
        <v>19.7</v>
      </c>
      <c r="CJ206" s="33">
        <v>-13.8</v>
      </c>
      <c r="CK206" s="33">
        <v>2.4</v>
      </c>
      <c r="CL206" s="33">
        <v>20.8</v>
      </c>
      <c r="CM206" s="33">
        <v>3975.8365910000002</v>
      </c>
      <c r="CN206" s="33">
        <v>11670.35</v>
      </c>
      <c r="CO206" s="33">
        <v>1363.3845449999999</v>
      </c>
      <c r="CP206" s="33">
        <v>4.5279999999999996</v>
      </c>
      <c r="CQ206" s="33">
        <v>4.62</v>
      </c>
      <c r="CR206" s="33">
        <v>84.8</v>
      </c>
      <c r="CS206" s="121">
        <f t="shared" si="38"/>
        <v>26.650000000000006</v>
      </c>
      <c r="CT206" s="33">
        <v>111.2</v>
      </c>
      <c r="CU206" s="33">
        <v>105.8</v>
      </c>
      <c r="CV206" s="33">
        <v>114.6</v>
      </c>
      <c r="CW206" s="33">
        <v>115.3</v>
      </c>
      <c r="CX206" s="33">
        <v>97.5</v>
      </c>
      <c r="CY206" s="33">
        <v>6.85</v>
      </c>
      <c r="CZ206" s="33">
        <v>46762.455999999998</v>
      </c>
      <c r="DA206" s="33">
        <v>4.6500000000000004</v>
      </c>
      <c r="DB206" s="33">
        <v>26.19</v>
      </c>
      <c r="DC206" s="33">
        <v>44.33</v>
      </c>
      <c r="DD206" s="33">
        <v>14.14</v>
      </c>
      <c r="DE206" s="33">
        <v>10267.111999999999</v>
      </c>
      <c r="DF206" s="33">
        <v>2043.914</v>
      </c>
      <c r="DG206" s="33">
        <v>2626.9639999999999</v>
      </c>
      <c r="DH206" s="33">
        <v>1411.5640000000001</v>
      </c>
      <c r="DI206" s="33">
        <v>2680.3649999999998</v>
      </c>
      <c r="DJ206" s="33">
        <v>100.7589</v>
      </c>
      <c r="DK206" s="33">
        <v>100.8683</v>
      </c>
      <c r="DL206" s="33">
        <v>100.87</v>
      </c>
      <c r="DM206" s="33">
        <v>101.1123</v>
      </c>
      <c r="DN206" s="33">
        <v>101.39490000000001</v>
      </c>
      <c r="DO206" s="33">
        <v>101.6219</v>
      </c>
      <c r="DP206" s="33">
        <v>101.22709999999999</v>
      </c>
      <c r="DQ206" s="33">
        <v>101.34950000000001</v>
      </c>
      <c r="DR206" s="104">
        <v>35263</v>
      </c>
      <c r="DS206" s="103">
        <v>26692</v>
      </c>
      <c r="DT206" s="73">
        <v>99.2</v>
      </c>
      <c r="DU206">
        <v>71.2218017578125</v>
      </c>
      <c r="DV206">
        <v>54.061637878417969</v>
      </c>
      <c r="DW206">
        <v>3956</v>
      </c>
      <c r="DX206">
        <v>116850</v>
      </c>
      <c r="DY206">
        <v>80.400000000000006</v>
      </c>
      <c r="DZ206" t="s">
        <v>312</v>
      </c>
    </row>
    <row r="207" spans="1:130" x14ac:dyDescent="0.25">
      <c r="A207" s="1">
        <v>39022</v>
      </c>
      <c r="B207" s="33">
        <v>95.7</v>
      </c>
      <c r="C207" s="107">
        <v>3.33</v>
      </c>
      <c r="D207" s="33">
        <v>3.25</v>
      </c>
      <c r="E207" s="33">
        <v>3.48</v>
      </c>
      <c r="F207" s="33">
        <v>3.67</v>
      </c>
      <c r="G207" s="33">
        <v>3.69</v>
      </c>
      <c r="H207" s="33">
        <v>3.71</v>
      </c>
      <c r="I207" s="33">
        <f t="shared" si="39"/>
        <v>0.37999999999999989</v>
      </c>
      <c r="J207" s="33">
        <f t="shared" si="40"/>
        <v>0.45999999999999996</v>
      </c>
      <c r="K207" s="33">
        <f t="shared" si="41"/>
        <v>0.22999999999999998</v>
      </c>
      <c r="L207" s="33">
        <f t="shared" si="42"/>
        <v>-8.0000000000000071E-2</v>
      </c>
      <c r="M207" s="33">
        <v>99.2</v>
      </c>
      <c r="N207" s="33">
        <v>6291.9</v>
      </c>
      <c r="O207" s="33">
        <v>14.02</v>
      </c>
      <c r="P207" s="33">
        <v>740.8</v>
      </c>
      <c r="Q207" s="34">
        <f t="shared" si="32"/>
        <v>8.9038461538461533</v>
      </c>
      <c r="R207" s="60">
        <v>1535.4</v>
      </c>
      <c r="S207" s="34">
        <f t="shared" si="33"/>
        <v>1845.4326923076924</v>
      </c>
      <c r="T207" s="60">
        <v>1650.6</v>
      </c>
      <c r="U207" s="34">
        <f t="shared" si="34"/>
        <v>1983.8942307692307</v>
      </c>
      <c r="V207" s="116">
        <v>290294</v>
      </c>
      <c r="W207" s="116">
        <v>3617914</v>
      </c>
      <c r="X207" s="117">
        <v>6556170</v>
      </c>
      <c r="Y207" s="117">
        <v>1096152</v>
      </c>
      <c r="Z207" s="33">
        <v>93</v>
      </c>
      <c r="AA207" s="33">
        <v>85</v>
      </c>
      <c r="AB207" s="33">
        <v>90.8</v>
      </c>
      <c r="AC207" s="33">
        <v>82</v>
      </c>
      <c r="AD207" s="33">
        <v>39874</v>
      </c>
      <c r="AE207" s="33">
        <v>10.1</v>
      </c>
      <c r="AF207" s="33">
        <v>402</v>
      </c>
      <c r="AG207" s="33">
        <v>83</v>
      </c>
      <c r="AH207" s="33">
        <v>83.2</v>
      </c>
      <c r="AI207" s="33">
        <v>89</v>
      </c>
      <c r="AJ207" s="33">
        <v>86.6</v>
      </c>
      <c r="AK207" s="33">
        <v>188.69802000000001</v>
      </c>
      <c r="AL207" s="33">
        <v>105.5</v>
      </c>
      <c r="AM207" s="123">
        <v>40.778931179855697</v>
      </c>
      <c r="AN207" s="123">
        <v>81.770318747707492</v>
      </c>
      <c r="AO207" s="123">
        <v>83.644596889520912</v>
      </c>
      <c r="AP207" s="33">
        <v>45.95</v>
      </c>
      <c r="AQ207" s="33">
        <f t="shared" si="35"/>
        <v>0.51629213483146075</v>
      </c>
      <c r="AR207" s="33">
        <v>103.1</v>
      </c>
      <c r="AS207" s="33">
        <v>101.6</v>
      </c>
      <c r="AT207" s="33">
        <v>104.6</v>
      </c>
      <c r="AU207" s="33">
        <v>105.5</v>
      </c>
      <c r="AV207" s="65">
        <v>104</v>
      </c>
      <c r="AW207" s="33">
        <v>107</v>
      </c>
      <c r="AX207" s="33">
        <v>28.3</v>
      </c>
      <c r="AY207" s="33">
        <v>27.3</v>
      </c>
      <c r="AZ207" s="33">
        <v>28.4</v>
      </c>
      <c r="BA207" s="33">
        <v>15.9</v>
      </c>
      <c r="BB207" s="33">
        <v>106.2</v>
      </c>
      <c r="BC207" s="33">
        <v>104.3</v>
      </c>
      <c r="BD207" s="33">
        <v>108.2</v>
      </c>
      <c r="BE207" s="33">
        <v>53</v>
      </c>
      <c r="BF207" s="33">
        <v>-28.5</v>
      </c>
      <c r="BG207" s="33">
        <v>10.3</v>
      </c>
      <c r="BH207" s="33">
        <v>138.1</v>
      </c>
      <c r="BI207" s="33">
        <v>2.7</v>
      </c>
      <c r="BJ207" s="34">
        <v>58.274635320000002</v>
      </c>
      <c r="BK207" s="45">
        <v>-45.07717303276236</v>
      </c>
      <c r="BL207" s="33">
        <v>0.63500000000000001</v>
      </c>
      <c r="BM207" s="33">
        <v>101.7196</v>
      </c>
      <c r="BN207" s="33">
        <v>101.47880000000001</v>
      </c>
      <c r="BO207" s="33">
        <v>16</v>
      </c>
      <c r="BP207" s="33">
        <v>8.3000000000000007</v>
      </c>
      <c r="BQ207" s="33">
        <v>-0.3</v>
      </c>
      <c r="BR207" s="33">
        <v>18.399999999999999</v>
      </c>
      <c r="BS207" s="33">
        <v>12</v>
      </c>
      <c r="BT207" s="33">
        <v>1.9</v>
      </c>
      <c r="BU207" s="33">
        <v>11.6</v>
      </c>
      <c r="BV207" s="33">
        <v>17.600000000000001</v>
      </c>
      <c r="BW207" s="33">
        <v>-8.3000000000000007</v>
      </c>
      <c r="BX207" s="33">
        <v>-7.5</v>
      </c>
      <c r="BY207" s="33">
        <v>-16.399999999999999</v>
      </c>
      <c r="BZ207" s="33">
        <v>108</v>
      </c>
      <c r="CA207" s="33">
        <v>-8.3000000000000007</v>
      </c>
      <c r="CB207" s="33">
        <v>-4.2</v>
      </c>
      <c r="CC207" s="33">
        <v>-2</v>
      </c>
      <c r="CD207" s="33">
        <v>-13.6</v>
      </c>
      <c r="CE207" s="33">
        <v>-15.6</v>
      </c>
      <c r="CF207" s="33">
        <v>29.4</v>
      </c>
      <c r="CG207" s="33">
        <v>66.7</v>
      </c>
      <c r="CH207" s="33">
        <v>14.2</v>
      </c>
      <c r="CI207" s="33">
        <v>20.5</v>
      </c>
      <c r="CJ207" s="33">
        <v>-11.5</v>
      </c>
      <c r="CK207" s="33">
        <v>2.2000000000000002</v>
      </c>
      <c r="CL207" s="33">
        <v>20.7</v>
      </c>
      <c r="CM207" s="33">
        <v>4052.8033639999999</v>
      </c>
      <c r="CN207" s="33">
        <v>12031.02</v>
      </c>
      <c r="CO207" s="33">
        <v>1389.4254550000001</v>
      </c>
      <c r="CP207" s="33">
        <v>4.5030000000000001</v>
      </c>
      <c r="CQ207" s="33">
        <v>4.57</v>
      </c>
      <c r="CR207" s="33">
        <v>83.2</v>
      </c>
      <c r="CS207" s="121">
        <f t="shared" si="38"/>
        <v>25.25</v>
      </c>
      <c r="CT207" s="33">
        <v>111.7</v>
      </c>
      <c r="CU207" s="33">
        <v>103.5</v>
      </c>
      <c r="CV207" s="33">
        <v>115.8</v>
      </c>
      <c r="CW207" s="33">
        <v>117.4</v>
      </c>
      <c r="CX207" s="33">
        <v>94.7</v>
      </c>
      <c r="CY207" s="33">
        <v>7.09</v>
      </c>
      <c r="CZ207" s="33">
        <v>46419.082000000002</v>
      </c>
      <c r="DA207" s="33">
        <v>3.99</v>
      </c>
      <c r="DB207" s="33">
        <v>25.69</v>
      </c>
      <c r="DC207" s="33">
        <v>43.22</v>
      </c>
      <c r="DD207" s="33">
        <v>14</v>
      </c>
      <c r="DE207" s="33">
        <v>10655.995000000001</v>
      </c>
      <c r="DF207" s="33">
        <v>2353.2289999999998</v>
      </c>
      <c r="DG207" s="33">
        <v>2687.89</v>
      </c>
      <c r="DH207" s="33">
        <v>1188.873</v>
      </c>
      <c r="DI207" s="33">
        <v>2971.8330000000001</v>
      </c>
      <c r="DJ207" s="33">
        <v>100.92489999999999</v>
      </c>
      <c r="DK207" s="33">
        <v>101.0877</v>
      </c>
      <c r="DL207" s="33">
        <v>101.2</v>
      </c>
      <c r="DM207" s="33">
        <v>101.5244</v>
      </c>
      <c r="DN207" s="33">
        <v>101.47880000000001</v>
      </c>
      <c r="DO207" s="33">
        <v>101.7196</v>
      </c>
      <c r="DP207" s="33">
        <v>101.3308</v>
      </c>
      <c r="DQ207" s="33">
        <v>101.4635</v>
      </c>
      <c r="DR207" s="104">
        <v>31393</v>
      </c>
      <c r="DS207" s="103">
        <v>26752</v>
      </c>
      <c r="DT207" s="73">
        <v>100.3</v>
      </c>
      <c r="DU207">
        <v>73.8450927734375</v>
      </c>
      <c r="DV207">
        <v>71.951942443847656</v>
      </c>
      <c r="DW207">
        <v>4100</v>
      </c>
      <c r="DX207">
        <v>139475</v>
      </c>
      <c r="DY207">
        <v>81.099999999999994</v>
      </c>
      <c r="DZ207" t="s">
        <v>312</v>
      </c>
    </row>
    <row r="208" spans="1:130" x14ac:dyDescent="0.25">
      <c r="A208" s="1">
        <v>39052</v>
      </c>
      <c r="B208" s="33">
        <v>96.6</v>
      </c>
      <c r="C208" s="107">
        <v>3.5</v>
      </c>
      <c r="D208" s="33">
        <v>3.5</v>
      </c>
      <c r="E208" s="33">
        <v>3.59</v>
      </c>
      <c r="F208" s="33">
        <v>3.75</v>
      </c>
      <c r="G208" s="33">
        <v>3.77</v>
      </c>
      <c r="H208" s="33">
        <v>3.77</v>
      </c>
      <c r="I208" s="33">
        <f t="shared" si="39"/>
        <v>0.27</v>
      </c>
      <c r="J208" s="33">
        <f t="shared" si="40"/>
        <v>0.27</v>
      </c>
      <c r="K208" s="33">
        <f t="shared" si="41"/>
        <v>0.18000000000000016</v>
      </c>
      <c r="L208" s="33">
        <f t="shared" si="42"/>
        <v>0</v>
      </c>
      <c r="M208" s="33">
        <v>99.5</v>
      </c>
      <c r="N208" s="33">
        <v>6241.13</v>
      </c>
      <c r="O208" s="33">
        <v>16.66</v>
      </c>
      <c r="P208" s="33">
        <v>757.2</v>
      </c>
      <c r="Q208" s="34">
        <f t="shared" si="32"/>
        <v>9.1009615384615383</v>
      </c>
      <c r="R208" s="60">
        <v>1553.6</v>
      </c>
      <c r="S208" s="34">
        <f t="shared" si="33"/>
        <v>1867.3076923076919</v>
      </c>
      <c r="T208" s="60">
        <v>1668.7</v>
      </c>
      <c r="U208" s="34">
        <f t="shared" si="34"/>
        <v>2005.6490384615383</v>
      </c>
      <c r="V208" s="116">
        <v>279277</v>
      </c>
      <c r="W208" s="116">
        <v>3696019</v>
      </c>
      <c r="X208" s="117">
        <v>6663329</v>
      </c>
      <c r="Y208" s="117">
        <v>1090240</v>
      </c>
      <c r="Z208" s="33">
        <v>95.8</v>
      </c>
      <c r="AA208" s="33">
        <v>85.6</v>
      </c>
      <c r="AB208" s="33">
        <v>87.6</v>
      </c>
      <c r="AC208" s="33">
        <v>83.8</v>
      </c>
      <c r="AD208" s="33">
        <v>39959</v>
      </c>
      <c r="AE208" s="33">
        <v>9.8000000000000007</v>
      </c>
      <c r="AF208" s="33">
        <v>417</v>
      </c>
      <c r="AG208" s="33">
        <v>83.2</v>
      </c>
      <c r="AH208" s="33">
        <v>83.2</v>
      </c>
      <c r="AI208" s="33">
        <v>88.8</v>
      </c>
      <c r="AJ208" s="33">
        <v>86.7</v>
      </c>
      <c r="AK208" s="33">
        <v>188.876037</v>
      </c>
      <c r="AL208" s="33">
        <v>69.7</v>
      </c>
      <c r="AM208" s="123">
        <v>44.317598761578708</v>
      </c>
      <c r="AN208" s="123">
        <v>84.745104079256748</v>
      </c>
      <c r="AO208" s="123">
        <v>82.433706288670379</v>
      </c>
      <c r="AP208" s="33">
        <v>47.14</v>
      </c>
      <c r="AQ208" s="33">
        <f t="shared" si="35"/>
        <v>0.53085585585585593</v>
      </c>
      <c r="AR208" s="33">
        <v>104.7</v>
      </c>
      <c r="AS208" s="33">
        <v>103.2</v>
      </c>
      <c r="AT208" s="33">
        <v>106.2</v>
      </c>
      <c r="AU208" s="33">
        <v>107.1</v>
      </c>
      <c r="AV208" s="65">
        <v>105.1</v>
      </c>
      <c r="AW208" s="33">
        <v>109</v>
      </c>
      <c r="AX208" s="33">
        <v>34.200000000000003</v>
      </c>
      <c r="AY208" s="33">
        <v>13.8</v>
      </c>
      <c r="AZ208" s="33">
        <v>31.2</v>
      </c>
      <c r="BA208" s="33">
        <v>17.100000000000001</v>
      </c>
      <c r="BB208" s="33">
        <v>107.5</v>
      </c>
      <c r="BC208" s="33">
        <v>103.4</v>
      </c>
      <c r="BD208" s="33">
        <v>111.7</v>
      </c>
      <c r="BE208" s="33">
        <v>63.5</v>
      </c>
      <c r="BF208" s="33">
        <v>-19</v>
      </c>
      <c r="BG208" s="33">
        <v>35.700000000000003</v>
      </c>
      <c r="BH208" s="33">
        <v>130.30000000000001</v>
      </c>
      <c r="BI208" s="33">
        <v>3.8</v>
      </c>
      <c r="BJ208" s="34">
        <v>59.429983749999998</v>
      </c>
      <c r="BK208" s="45">
        <v>-48.884605705335005</v>
      </c>
      <c r="BL208" s="33">
        <v>0.64</v>
      </c>
      <c r="BM208" s="33">
        <v>101.8302</v>
      </c>
      <c r="BN208" s="33">
        <v>101.57389999999999</v>
      </c>
      <c r="BO208" s="33">
        <v>19.100000000000001</v>
      </c>
      <c r="BP208" s="33">
        <v>10</v>
      </c>
      <c r="BQ208" s="33">
        <v>-1.6</v>
      </c>
      <c r="BR208" s="33">
        <v>13.2</v>
      </c>
      <c r="BS208" s="33">
        <v>12.2</v>
      </c>
      <c r="BT208" s="33">
        <v>2.6</v>
      </c>
      <c r="BU208" s="33">
        <v>11.3</v>
      </c>
      <c r="BV208" s="33">
        <v>19.100000000000001</v>
      </c>
      <c r="BW208" s="33">
        <v>-8</v>
      </c>
      <c r="BX208" s="33">
        <v>-6.8</v>
      </c>
      <c r="BY208" s="33">
        <v>-16.8</v>
      </c>
      <c r="BZ208" s="33">
        <v>107.9</v>
      </c>
      <c r="CA208" s="33">
        <v>-8</v>
      </c>
      <c r="CB208" s="33">
        <v>-3.9</v>
      </c>
      <c r="CC208" s="33">
        <v>-4</v>
      </c>
      <c r="CD208" s="33">
        <v>-5.0999999999999996</v>
      </c>
      <c r="CE208" s="33">
        <v>-10.1</v>
      </c>
      <c r="CF208" s="33">
        <v>32.200000000000003</v>
      </c>
      <c r="CG208" s="33">
        <v>64.2</v>
      </c>
      <c r="CH208" s="33">
        <v>8.6</v>
      </c>
      <c r="CI208" s="33">
        <v>15.8</v>
      </c>
      <c r="CJ208" s="33">
        <v>-13.9</v>
      </c>
      <c r="CK208" s="33">
        <v>-2.1</v>
      </c>
      <c r="CL208" s="33">
        <v>19</v>
      </c>
      <c r="CM208" s="33">
        <v>4070.3542859999998</v>
      </c>
      <c r="CN208" s="33">
        <v>12194.13</v>
      </c>
      <c r="CO208" s="33">
        <v>1416.150476</v>
      </c>
      <c r="CP208" s="33">
        <v>4.4610000000000003</v>
      </c>
      <c r="CQ208" s="33">
        <v>4.43</v>
      </c>
      <c r="CR208" s="33">
        <v>81.2</v>
      </c>
      <c r="CS208" s="121">
        <f t="shared" si="38"/>
        <v>24.75</v>
      </c>
      <c r="CT208" s="33">
        <v>110.5</v>
      </c>
      <c r="CU208" s="33">
        <v>107</v>
      </c>
      <c r="CV208" s="33">
        <v>118.1</v>
      </c>
      <c r="CW208" s="33">
        <v>117.2</v>
      </c>
      <c r="CX208" s="33">
        <v>95.4</v>
      </c>
      <c r="CY208" s="33">
        <v>6.92</v>
      </c>
      <c r="CZ208" s="33">
        <v>40560.129000000001</v>
      </c>
      <c r="DA208" s="33">
        <v>4.32</v>
      </c>
      <c r="DB208" s="33">
        <v>25.72</v>
      </c>
      <c r="DC208" s="33">
        <v>44.16</v>
      </c>
      <c r="DD208" s="33">
        <v>14.08</v>
      </c>
      <c r="DE208" s="33">
        <v>9391.7790000000005</v>
      </c>
      <c r="DF208" s="33">
        <v>2063.34</v>
      </c>
      <c r="DG208" s="33">
        <v>2251.614</v>
      </c>
      <c r="DH208" s="33">
        <v>1082.6079999999999</v>
      </c>
      <c r="DI208" s="33">
        <v>2474.8980000000001</v>
      </c>
      <c r="DJ208" s="33">
        <v>101.1099</v>
      </c>
      <c r="DK208" s="33">
        <v>101.32940000000001</v>
      </c>
      <c r="DL208" s="33">
        <v>101.57</v>
      </c>
      <c r="DM208" s="33">
        <v>102.0055</v>
      </c>
      <c r="DN208" s="33">
        <v>101.57389999999999</v>
      </c>
      <c r="DO208" s="33">
        <v>101.8302</v>
      </c>
      <c r="DP208" s="33">
        <v>101.4431</v>
      </c>
      <c r="DQ208" s="33">
        <v>101.58710000000001</v>
      </c>
      <c r="DR208" s="104">
        <v>30289</v>
      </c>
      <c r="DS208" s="103">
        <v>26788</v>
      </c>
      <c r="DT208" s="73">
        <v>100.4</v>
      </c>
      <c r="DU208">
        <v>74.917991638183594</v>
      </c>
      <c r="DV208">
        <v>84.137985229492188</v>
      </c>
      <c r="DW208">
        <v>4369</v>
      </c>
      <c r="DX208">
        <v>161225</v>
      </c>
      <c r="DY208">
        <v>82</v>
      </c>
      <c r="DZ208" t="s">
        <v>312</v>
      </c>
    </row>
    <row r="209" spans="1:130" x14ac:dyDescent="0.25">
      <c r="A209" s="1">
        <v>39083</v>
      </c>
      <c r="B209" s="33">
        <v>96.3</v>
      </c>
      <c r="C209" s="107">
        <v>3.56</v>
      </c>
      <c r="D209" s="33">
        <v>3.5</v>
      </c>
      <c r="E209" s="33">
        <v>3.68</v>
      </c>
      <c r="F209" s="33">
        <v>3.96</v>
      </c>
      <c r="G209" s="33">
        <v>3.99</v>
      </c>
      <c r="H209" s="33">
        <v>4.0199999999999996</v>
      </c>
      <c r="I209" s="33">
        <f t="shared" si="39"/>
        <v>0.45999999999999952</v>
      </c>
      <c r="J209" s="33">
        <f t="shared" si="40"/>
        <v>0.51999999999999957</v>
      </c>
      <c r="K209" s="33">
        <f t="shared" si="41"/>
        <v>0.33999999999999941</v>
      </c>
      <c r="L209" s="33">
        <f t="shared" si="42"/>
        <v>-6.0000000000000053E-2</v>
      </c>
      <c r="M209" s="33">
        <v>99.8</v>
      </c>
      <c r="N209" s="33">
        <v>6596.92</v>
      </c>
      <c r="O209" s="33">
        <v>14.65</v>
      </c>
      <c r="P209" s="33">
        <v>757</v>
      </c>
      <c r="Q209" s="34">
        <f t="shared" ref="Q209:Q272" si="43">IF(ISNUMBER(P209),IF(ISNUMBER(AH209),P209/AH209,"NA"),"")</f>
        <v>9.0442054958183995</v>
      </c>
      <c r="R209" s="60">
        <v>1559.9</v>
      </c>
      <c r="S209" s="34">
        <f t="shared" ref="S209:S272" si="44">IF(ISNUMBER(R209),IF(ISNUMBER(AH209),R209/AH209*100,""),"")</f>
        <v>1863.6798088410992</v>
      </c>
      <c r="T209" s="60">
        <v>1680.4</v>
      </c>
      <c r="U209" s="34">
        <f t="shared" ref="U209:U272" si="45">IF(ISNUMBER(T209),IF(ISNUMBER(AH209),T209/AH209*100,""),"")</f>
        <v>2007.6463560334528</v>
      </c>
      <c r="V209" s="116">
        <v>283205</v>
      </c>
      <c r="W209" s="116">
        <v>3696560</v>
      </c>
      <c r="X209" s="117">
        <v>6705357</v>
      </c>
      <c r="Y209" s="117">
        <v>1133544</v>
      </c>
      <c r="Z209" s="33">
        <v>95.2</v>
      </c>
      <c r="AA209" s="33">
        <v>86.7</v>
      </c>
      <c r="AB209" s="33">
        <v>88.7</v>
      </c>
      <c r="AC209" s="33">
        <v>85.6</v>
      </c>
      <c r="AD209" s="33">
        <v>40032</v>
      </c>
      <c r="AE209" s="33">
        <v>9.6</v>
      </c>
      <c r="AF209" s="33">
        <v>424</v>
      </c>
      <c r="AG209" s="33">
        <v>83.7</v>
      </c>
      <c r="AH209" s="33">
        <v>83.7</v>
      </c>
      <c r="AI209" s="33">
        <v>88.3</v>
      </c>
      <c r="AJ209" s="33">
        <v>86.6</v>
      </c>
      <c r="AK209" s="33">
        <v>188.876037</v>
      </c>
      <c r="AL209" s="33">
        <v>67.900000000000006</v>
      </c>
      <c r="AM209" s="123">
        <v>41.849370069121711</v>
      </c>
      <c r="AN209" s="123">
        <v>75.613897292857118</v>
      </c>
      <c r="AO209" s="123">
        <v>83.196981346898809</v>
      </c>
      <c r="AP209" s="33">
        <v>41.93</v>
      </c>
      <c r="AQ209" s="33">
        <f t="shared" ref="AQ209:AQ243" si="46">AP209/AI209</f>
        <v>0.47485843714609288</v>
      </c>
      <c r="AR209" s="33">
        <v>104.1</v>
      </c>
      <c r="AS209" s="33">
        <v>103</v>
      </c>
      <c r="AT209" s="33">
        <v>105.1</v>
      </c>
      <c r="AU209" s="33">
        <v>106.1</v>
      </c>
      <c r="AV209" s="65">
        <v>104.2</v>
      </c>
      <c r="AW209" s="33">
        <v>108.2</v>
      </c>
      <c r="AX209" s="33">
        <v>29.6</v>
      </c>
      <c r="AY209" s="33">
        <v>22.5</v>
      </c>
      <c r="AZ209" s="33">
        <v>27.7</v>
      </c>
      <c r="BA209" s="33">
        <v>14.7</v>
      </c>
      <c r="BB209" s="33">
        <v>108.3</v>
      </c>
      <c r="BC209" s="33">
        <v>104.9</v>
      </c>
      <c r="BD209" s="33">
        <v>111.7</v>
      </c>
      <c r="BE209" s="33">
        <v>70.599999999999994</v>
      </c>
      <c r="BF209" s="33">
        <v>-3.6</v>
      </c>
      <c r="BG209" s="33">
        <v>37.5</v>
      </c>
      <c r="BH209" s="33">
        <v>132.5</v>
      </c>
      <c r="BI209" s="33">
        <v>8.8000000000000007</v>
      </c>
      <c r="BJ209" s="34">
        <v>58.547602169999998</v>
      </c>
      <c r="BK209" s="45">
        <v>-58.308885694856166</v>
      </c>
      <c r="BL209" s="33">
        <v>0.69499999999999995</v>
      </c>
      <c r="BM209" s="33">
        <v>101.9388</v>
      </c>
      <c r="BN209" s="33">
        <v>101.6671</v>
      </c>
      <c r="BO209" s="33">
        <v>16</v>
      </c>
      <c r="BP209" s="33">
        <v>8.4</v>
      </c>
      <c r="BQ209" s="33">
        <v>-1.2</v>
      </c>
      <c r="BR209" s="33">
        <v>14.7</v>
      </c>
      <c r="BS209" s="33">
        <v>15.9</v>
      </c>
      <c r="BT209" s="33">
        <v>5</v>
      </c>
      <c r="BU209" s="33">
        <v>10.6</v>
      </c>
      <c r="BV209" s="33">
        <v>18.3</v>
      </c>
      <c r="BW209" s="33">
        <v>-8</v>
      </c>
      <c r="BX209" s="33">
        <v>-7.9</v>
      </c>
      <c r="BY209" s="33">
        <v>-19.2</v>
      </c>
      <c r="BZ209" s="33">
        <v>107.4</v>
      </c>
      <c r="CA209" s="33">
        <v>-8</v>
      </c>
      <c r="CB209" s="33">
        <v>-4.4000000000000004</v>
      </c>
      <c r="CC209" s="33">
        <v>-1</v>
      </c>
      <c r="CD209" s="33">
        <v>-2.7</v>
      </c>
      <c r="CE209" s="33">
        <v>-8.4</v>
      </c>
      <c r="CF209" s="33">
        <v>34.5</v>
      </c>
      <c r="CG209" s="33">
        <v>49.8</v>
      </c>
      <c r="CH209" s="33">
        <v>4.2</v>
      </c>
      <c r="CI209" s="33">
        <v>-22.2</v>
      </c>
      <c r="CJ209" s="33">
        <v>-18.100000000000001</v>
      </c>
      <c r="CK209" s="33">
        <v>3.7</v>
      </c>
      <c r="CL209" s="33">
        <v>22.4</v>
      </c>
      <c r="CM209" s="33">
        <v>4157.7873909999998</v>
      </c>
      <c r="CN209" s="33">
        <v>12463.14</v>
      </c>
      <c r="CO209" s="33">
        <v>1423.9369569999999</v>
      </c>
      <c r="CP209" s="33">
        <v>4.7350000000000003</v>
      </c>
      <c r="CQ209" s="33">
        <v>4.71</v>
      </c>
      <c r="CR209" s="33">
        <v>87.6</v>
      </c>
      <c r="CS209" s="121">
        <f t="shared" si="38"/>
        <v>25.950000000000003</v>
      </c>
      <c r="CT209" s="33">
        <v>111.1</v>
      </c>
      <c r="CU209" s="33">
        <v>105.5</v>
      </c>
      <c r="CV209" s="33">
        <v>121.2</v>
      </c>
      <c r="CW209" s="33">
        <v>115.5</v>
      </c>
      <c r="CX209" s="33">
        <v>96.7</v>
      </c>
      <c r="CY209" s="33">
        <v>6.18</v>
      </c>
      <c r="CZ209" s="33">
        <v>44730.974000000002</v>
      </c>
      <c r="DA209" s="33">
        <v>3.96</v>
      </c>
      <c r="DB209" s="33">
        <v>25.37</v>
      </c>
      <c r="DC209" s="33">
        <v>45.35</v>
      </c>
      <c r="DD209" s="33">
        <v>13.45</v>
      </c>
      <c r="DE209" s="33">
        <v>9049.9159999999993</v>
      </c>
      <c r="DF209" s="33">
        <v>1919.463</v>
      </c>
      <c r="DG209" s="33">
        <v>1858.961</v>
      </c>
      <c r="DH209" s="33">
        <v>1127.451</v>
      </c>
      <c r="DI209" s="33">
        <v>2143.5929999999998</v>
      </c>
      <c r="DJ209" s="33">
        <v>101.3053</v>
      </c>
      <c r="DK209" s="33">
        <v>101.5826</v>
      </c>
      <c r="DL209" s="33">
        <v>101.99</v>
      </c>
      <c r="DM209" s="33">
        <v>102.5321</v>
      </c>
      <c r="DN209" s="33">
        <v>101.6671</v>
      </c>
      <c r="DO209" s="33">
        <v>101.9388</v>
      </c>
      <c r="DP209" s="33">
        <v>101.5527</v>
      </c>
      <c r="DQ209" s="33">
        <v>101.7076</v>
      </c>
      <c r="DR209" s="33">
        <v>20137</v>
      </c>
      <c r="DS209" s="73">
        <v>26894</v>
      </c>
      <c r="DT209" s="73">
        <v>100.6</v>
      </c>
      <c r="DU209">
        <v>62.338813781738281</v>
      </c>
      <c r="DV209">
        <v>74.495674133300781</v>
      </c>
      <c r="DW209">
        <v>4397</v>
      </c>
      <c r="DX209">
        <v>190575</v>
      </c>
      <c r="DY209">
        <v>81.900000000000006</v>
      </c>
      <c r="DZ209" t="s">
        <v>312</v>
      </c>
    </row>
    <row r="210" spans="1:130" x14ac:dyDescent="0.25">
      <c r="A210" s="1">
        <v>39114</v>
      </c>
      <c r="B210" s="33">
        <v>97.1</v>
      </c>
      <c r="C210" s="107">
        <v>3.57</v>
      </c>
      <c r="D210" s="33">
        <v>3.5</v>
      </c>
      <c r="E210" s="33">
        <v>3.75</v>
      </c>
      <c r="F210" s="33">
        <v>3.98</v>
      </c>
      <c r="G210" s="33">
        <v>4.03</v>
      </c>
      <c r="H210" s="33">
        <v>4.05</v>
      </c>
      <c r="I210" s="33">
        <f t="shared" si="39"/>
        <v>0.48</v>
      </c>
      <c r="J210" s="33">
        <f t="shared" si="40"/>
        <v>0.54999999999999982</v>
      </c>
      <c r="K210" s="33">
        <f t="shared" si="41"/>
        <v>0.29999999999999982</v>
      </c>
      <c r="L210" s="33">
        <f t="shared" si="42"/>
        <v>-6.999999999999984E-2</v>
      </c>
      <c r="M210" s="33">
        <v>100</v>
      </c>
      <c r="N210" s="33">
        <v>6851.28</v>
      </c>
      <c r="O210" s="33">
        <v>14.78</v>
      </c>
      <c r="P210" s="33">
        <v>758.8</v>
      </c>
      <c r="Q210" s="34">
        <f t="shared" si="43"/>
        <v>9.0548926014319804</v>
      </c>
      <c r="R210" s="60">
        <v>1564.4</v>
      </c>
      <c r="S210" s="34">
        <f t="shared" si="44"/>
        <v>1866.8257756563246</v>
      </c>
      <c r="T210" s="60">
        <v>1687.7</v>
      </c>
      <c r="U210" s="34">
        <f t="shared" si="45"/>
        <v>2013.9618138424821</v>
      </c>
      <c r="V210" s="116">
        <v>287076</v>
      </c>
      <c r="W210" s="116">
        <v>3718712</v>
      </c>
      <c r="X210" s="117">
        <v>6739280</v>
      </c>
      <c r="Y210" s="117">
        <v>1150328</v>
      </c>
      <c r="Z210" s="33">
        <v>95.8</v>
      </c>
      <c r="AA210" s="33">
        <v>89.3</v>
      </c>
      <c r="AB210" s="33">
        <v>91.2</v>
      </c>
      <c r="AC210" s="33">
        <v>89.7</v>
      </c>
      <c r="AD210" s="33">
        <v>40077</v>
      </c>
      <c r="AE210" s="33">
        <v>9.5</v>
      </c>
      <c r="AF210" s="33">
        <v>432</v>
      </c>
      <c r="AG210" s="33">
        <v>83.8</v>
      </c>
      <c r="AH210" s="33">
        <v>83.8</v>
      </c>
      <c r="AI210" s="33">
        <v>88.4</v>
      </c>
      <c r="AJ210" s="33">
        <v>86.5</v>
      </c>
      <c r="AK210" s="33">
        <v>188.876037</v>
      </c>
      <c r="AL210" s="33">
        <v>67.5</v>
      </c>
      <c r="AM210" s="123">
        <v>41.384807219140711</v>
      </c>
      <c r="AN210" s="123">
        <v>80.70037431958545</v>
      </c>
      <c r="AO210" s="123">
        <v>84.737666186656185</v>
      </c>
      <c r="AP210" s="33">
        <v>44.32</v>
      </c>
      <c r="AQ210" s="33">
        <f t="shared" si="46"/>
        <v>0.50135746606334841</v>
      </c>
      <c r="AR210" s="33">
        <v>102.5</v>
      </c>
      <c r="AS210" s="33">
        <v>102.4</v>
      </c>
      <c r="AT210" s="33">
        <v>102.6</v>
      </c>
      <c r="AU210" s="33">
        <v>105.3</v>
      </c>
      <c r="AV210" s="65">
        <v>103.3</v>
      </c>
      <c r="AW210" s="33">
        <v>107.4</v>
      </c>
      <c r="AX210" s="33">
        <v>28.3</v>
      </c>
      <c r="AY210" s="33">
        <v>10</v>
      </c>
      <c r="AZ210" s="33">
        <v>27.7</v>
      </c>
      <c r="BA210" s="33">
        <v>9.1999999999999993</v>
      </c>
      <c r="BB210" s="33">
        <v>105.5</v>
      </c>
      <c r="BC210" s="33">
        <v>104.9</v>
      </c>
      <c r="BD210" s="33">
        <v>106</v>
      </c>
      <c r="BE210" s="33">
        <v>70.900000000000006</v>
      </c>
      <c r="BF210" s="33">
        <v>2.9</v>
      </c>
      <c r="BG210" s="33">
        <v>53.3</v>
      </c>
      <c r="BH210" s="33">
        <v>130.9</v>
      </c>
      <c r="BI210" s="33">
        <v>33.299999999999997</v>
      </c>
      <c r="BJ210" s="34">
        <v>57.224550819999997</v>
      </c>
      <c r="BK210" s="45">
        <v>-55.816407116981964</v>
      </c>
      <c r="BL210" s="33">
        <v>0.77400000000000002</v>
      </c>
      <c r="BM210" s="33">
        <v>102.0333</v>
      </c>
      <c r="BN210" s="33">
        <v>101.7483</v>
      </c>
      <c r="BO210" s="33">
        <v>14.8</v>
      </c>
      <c r="BP210" s="33">
        <v>7.9</v>
      </c>
      <c r="BQ210" s="33">
        <v>-1</v>
      </c>
      <c r="BR210" s="33">
        <v>10.8</v>
      </c>
      <c r="BS210" s="33">
        <v>13.1</v>
      </c>
      <c r="BT210" s="33">
        <v>4</v>
      </c>
      <c r="BU210" s="33">
        <v>8.9</v>
      </c>
      <c r="BV210" s="33">
        <v>14.7</v>
      </c>
      <c r="BW210" s="33">
        <v>-5.9</v>
      </c>
      <c r="BX210" s="33">
        <v>-16</v>
      </c>
      <c r="BY210" s="33">
        <v>-24.6</v>
      </c>
      <c r="BZ210" s="33">
        <v>105.9</v>
      </c>
      <c r="CA210" s="33">
        <v>-5.9</v>
      </c>
      <c r="CB210" s="33">
        <v>-4</v>
      </c>
      <c r="CC210" s="33">
        <v>0.4</v>
      </c>
      <c r="CD210" s="33">
        <v>0.3</v>
      </c>
      <c r="CE210" s="33">
        <v>-5</v>
      </c>
      <c r="CF210" s="33">
        <v>35.5</v>
      </c>
      <c r="CG210" s="33">
        <v>35.9</v>
      </c>
      <c r="CH210" s="33">
        <v>1</v>
      </c>
      <c r="CI210" s="33">
        <v>-25.2</v>
      </c>
      <c r="CJ210" s="33">
        <v>-14.9</v>
      </c>
      <c r="CK210" s="33">
        <v>5.5</v>
      </c>
      <c r="CL210" s="33">
        <v>21.3</v>
      </c>
      <c r="CM210" s="33">
        <v>4230.1977999999999</v>
      </c>
      <c r="CN210" s="33">
        <v>12673.68</v>
      </c>
      <c r="CO210" s="33">
        <v>1445.3320000000001</v>
      </c>
      <c r="CP210" s="33">
        <v>4.9969999999999999</v>
      </c>
      <c r="CQ210" s="33">
        <v>4.84</v>
      </c>
      <c r="CR210" s="33">
        <v>81.5</v>
      </c>
      <c r="CS210" s="121">
        <f t="shared" si="38"/>
        <v>25.350000000000009</v>
      </c>
      <c r="CT210" s="33">
        <v>111.6</v>
      </c>
      <c r="CU210" s="33">
        <v>104.9</v>
      </c>
      <c r="CV210" s="33">
        <v>122.3</v>
      </c>
      <c r="CW210" s="33">
        <v>117.1</v>
      </c>
      <c r="CX210" s="33">
        <v>94.9</v>
      </c>
      <c r="CY210" s="33">
        <v>6.25</v>
      </c>
      <c r="CZ210" s="33">
        <v>45191.383999999998</v>
      </c>
      <c r="DA210" s="33">
        <v>4.0599999999999996</v>
      </c>
      <c r="DB210" s="33">
        <v>25.87</v>
      </c>
      <c r="DC210" s="33">
        <v>46.12</v>
      </c>
      <c r="DD210" s="33">
        <v>13.78</v>
      </c>
      <c r="DE210" s="33">
        <v>8682.9830000000002</v>
      </c>
      <c r="DF210" s="33">
        <v>1997.789</v>
      </c>
      <c r="DG210" s="33">
        <v>1909.566</v>
      </c>
      <c r="DH210" s="33">
        <v>1049.9960000000001</v>
      </c>
      <c r="DI210" s="33">
        <v>2144.7820000000002</v>
      </c>
      <c r="DJ210" s="33">
        <v>101.5134</v>
      </c>
      <c r="DK210" s="33">
        <v>101.8516</v>
      </c>
      <c r="DL210" s="33">
        <v>102.42</v>
      </c>
      <c r="DM210" s="33">
        <v>103.07850000000001</v>
      </c>
      <c r="DN210" s="33">
        <v>101.7483</v>
      </c>
      <c r="DO210" s="33">
        <v>102.0333</v>
      </c>
      <c r="DP210" s="33">
        <v>101.6601</v>
      </c>
      <c r="DQ210" s="33">
        <v>101.8257</v>
      </c>
      <c r="DR210" s="33">
        <v>23514</v>
      </c>
      <c r="DS210" s="73">
        <v>26948</v>
      </c>
      <c r="DT210" s="73">
        <v>100.6</v>
      </c>
      <c r="DU210">
        <v>58.517864227294922</v>
      </c>
      <c r="DV210">
        <v>47.327865600585938</v>
      </c>
      <c r="DW210">
        <v>4219</v>
      </c>
      <c r="DX210">
        <v>215250</v>
      </c>
      <c r="DY210">
        <v>81.900000000000006</v>
      </c>
      <c r="DZ210" t="s">
        <v>312</v>
      </c>
    </row>
    <row r="211" spans="1:130" x14ac:dyDescent="0.25">
      <c r="A211" s="1">
        <v>39142</v>
      </c>
      <c r="B211" s="33">
        <v>97.2</v>
      </c>
      <c r="C211" s="107">
        <v>3.69</v>
      </c>
      <c r="D211" s="33">
        <v>3.75</v>
      </c>
      <c r="E211" s="33">
        <v>3.82</v>
      </c>
      <c r="F211" s="33">
        <v>3.9</v>
      </c>
      <c r="G211" s="33">
        <v>3.92</v>
      </c>
      <c r="H211" s="33">
        <v>3.94</v>
      </c>
      <c r="I211" s="33">
        <f t="shared" si="39"/>
        <v>0.25</v>
      </c>
      <c r="J211" s="33">
        <f t="shared" si="40"/>
        <v>0.18999999999999995</v>
      </c>
      <c r="K211" s="33">
        <f t="shared" si="41"/>
        <v>0.12000000000000011</v>
      </c>
      <c r="L211" s="33">
        <f t="shared" si="42"/>
        <v>6.0000000000000053E-2</v>
      </c>
      <c r="M211" s="33">
        <v>100.1</v>
      </c>
      <c r="N211" s="33">
        <v>6640.24</v>
      </c>
      <c r="O211" s="33">
        <v>19.649999999999999</v>
      </c>
      <c r="P211" s="33">
        <v>763.1</v>
      </c>
      <c r="Q211" s="34">
        <f t="shared" si="43"/>
        <v>9.1062052505966591</v>
      </c>
      <c r="R211" s="60">
        <v>1576.3</v>
      </c>
      <c r="S211" s="34">
        <f t="shared" si="44"/>
        <v>1881.0262529832937</v>
      </c>
      <c r="T211" s="60">
        <v>1703.7</v>
      </c>
      <c r="U211" s="34">
        <f t="shared" si="45"/>
        <v>2033.0548926014319</v>
      </c>
      <c r="V211" s="116">
        <v>285414</v>
      </c>
      <c r="W211" s="116">
        <v>3746750</v>
      </c>
      <c r="X211" s="117">
        <v>6825507</v>
      </c>
      <c r="Y211" s="117">
        <v>1183357</v>
      </c>
      <c r="Z211" s="33">
        <v>96.1</v>
      </c>
      <c r="AA211" s="33">
        <v>89.3</v>
      </c>
      <c r="AB211" s="33">
        <v>90.6</v>
      </c>
      <c r="AC211" s="33">
        <v>87.9</v>
      </c>
      <c r="AD211" s="33">
        <v>40115</v>
      </c>
      <c r="AE211" s="33">
        <v>9.3000000000000007</v>
      </c>
      <c r="AF211" s="33">
        <v>434</v>
      </c>
      <c r="AG211" s="33">
        <v>83.9</v>
      </c>
      <c r="AH211" s="33">
        <v>83.8</v>
      </c>
      <c r="AI211" s="33">
        <v>88.4</v>
      </c>
      <c r="AJ211" s="33">
        <v>86.6</v>
      </c>
      <c r="AK211" s="33">
        <v>188.876037</v>
      </c>
      <c r="AL211" s="33">
        <v>67.5</v>
      </c>
      <c r="AM211" s="123">
        <v>43.743741230631734</v>
      </c>
      <c r="AN211" s="123">
        <v>86.35551418667761</v>
      </c>
      <c r="AO211" s="123">
        <v>87.471139289451571</v>
      </c>
      <c r="AP211" s="33">
        <v>47.08</v>
      </c>
      <c r="AQ211" s="33">
        <f t="shared" si="46"/>
        <v>0.53257918552036199</v>
      </c>
      <c r="AR211" s="33">
        <v>103.2</v>
      </c>
      <c r="AS211" s="33">
        <v>103.3</v>
      </c>
      <c r="AT211" s="33">
        <v>103.1</v>
      </c>
      <c r="AU211" s="33">
        <v>106.2</v>
      </c>
      <c r="AV211" s="65">
        <v>104.6</v>
      </c>
      <c r="AW211" s="33">
        <v>107.9</v>
      </c>
      <c r="AX211" s="33">
        <v>32.1</v>
      </c>
      <c r="AY211" s="33">
        <v>16.600000000000001</v>
      </c>
      <c r="AZ211" s="33">
        <v>27.4</v>
      </c>
      <c r="BA211" s="33">
        <v>12.3</v>
      </c>
      <c r="BB211" s="33">
        <v>104.6</v>
      </c>
      <c r="BC211" s="33">
        <v>103.9</v>
      </c>
      <c r="BD211" s="33">
        <v>105.4</v>
      </c>
      <c r="BE211" s="33">
        <v>69.2</v>
      </c>
      <c r="BF211" s="33">
        <v>5.8</v>
      </c>
      <c r="BG211" s="33">
        <v>53.1</v>
      </c>
      <c r="BH211" s="33">
        <v>129.5</v>
      </c>
      <c r="BI211" s="33">
        <v>20.9</v>
      </c>
      <c r="BJ211" s="34">
        <v>56.876966029999998</v>
      </c>
      <c r="BK211" s="45">
        <v>-55.229462133331566</v>
      </c>
      <c r="BL211" s="33">
        <v>0.84299999999999997</v>
      </c>
      <c r="BM211" s="33">
        <v>102.1123</v>
      </c>
      <c r="BN211" s="33">
        <v>101.81619999999999</v>
      </c>
      <c r="BO211" s="33">
        <v>13.5</v>
      </c>
      <c r="BP211" s="33">
        <v>8.3000000000000007</v>
      </c>
      <c r="BQ211" s="33">
        <v>0.9</v>
      </c>
      <c r="BR211" s="33">
        <v>13.8</v>
      </c>
      <c r="BS211" s="33">
        <v>12.1</v>
      </c>
      <c r="BT211" s="33">
        <v>5.4</v>
      </c>
      <c r="BU211" s="33">
        <v>8.8000000000000007</v>
      </c>
      <c r="BV211" s="33">
        <v>17.899999999999999</v>
      </c>
      <c r="BW211" s="33">
        <v>-4.9000000000000004</v>
      </c>
      <c r="BX211" s="33">
        <v>-13.9</v>
      </c>
      <c r="BY211" s="33">
        <v>-24.8</v>
      </c>
      <c r="BZ211" s="33">
        <v>107.3</v>
      </c>
      <c r="CA211" s="33">
        <v>-4.9000000000000004</v>
      </c>
      <c r="CB211" s="33">
        <v>-2.9</v>
      </c>
      <c r="CC211" s="33">
        <v>2.8</v>
      </c>
      <c r="CD211" s="33">
        <v>1.4</v>
      </c>
      <c r="CE211" s="33">
        <v>-4.5</v>
      </c>
      <c r="CF211" s="33">
        <v>33.1</v>
      </c>
      <c r="CG211" s="33">
        <v>30</v>
      </c>
      <c r="CH211" s="33">
        <v>-0.4</v>
      </c>
      <c r="CI211" s="33">
        <v>-22.7</v>
      </c>
      <c r="CJ211" s="33">
        <v>-14.8</v>
      </c>
      <c r="CK211" s="33">
        <v>3.3</v>
      </c>
      <c r="CL211" s="33">
        <v>21</v>
      </c>
      <c r="CM211" s="33">
        <v>4070.469591</v>
      </c>
      <c r="CN211" s="33">
        <v>12234.34</v>
      </c>
      <c r="CO211" s="33">
        <v>1406.9522730000001</v>
      </c>
      <c r="CP211" s="33">
        <v>4.782</v>
      </c>
      <c r="CQ211" s="33">
        <v>4.5599999999999996</v>
      </c>
      <c r="CR211" s="33">
        <v>78.7</v>
      </c>
      <c r="CS211" s="121">
        <f t="shared" si="38"/>
        <v>24.850000000000009</v>
      </c>
      <c r="CT211" s="33">
        <v>111.2</v>
      </c>
      <c r="CU211" s="33">
        <v>107.1</v>
      </c>
      <c r="CV211" s="33">
        <v>119.8</v>
      </c>
      <c r="CW211" s="33">
        <v>115.6</v>
      </c>
      <c r="CX211" s="33">
        <v>97.2</v>
      </c>
      <c r="CY211" s="33">
        <v>5.85</v>
      </c>
      <c r="CZ211" s="33">
        <v>49394.309000000001</v>
      </c>
      <c r="DA211" s="33">
        <v>3.74</v>
      </c>
      <c r="DB211" s="33">
        <v>25.66</v>
      </c>
      <c r="DC211" s="33">
        <v>45.92</v>
      </c>
      <c r="DD211" s="33">
        <v>13.28</v>
      </c>
      <c r="DE211" s="33">
        <v>9191.5709999999999</v>
      </c>
      <c r="DF211" s="33">
        <v>2000.78</v>
      </c>
      <c r="DG211" s="33">
        <v>2223.2730000000001</v>
      </c>
      <c r="DH211" s="33">
        <v>1153.7909999999999</v>
      </c>
      <c r="DI211" s="33">
        <v>2316.3710000000001</v>
      </c>
      <c r="DJ211" s="33">
        <v>101.72020000000001</v>
      </c>
      <c r="DK211" s="33">
        <v>102.12090000000001</v>
      </c>
      <c r="DL211" s="33">
        <v>102.85</v>
      </c>
      <c r="DM211" s="33">
        <v>103.63209999999999</v>
      </c>
      <c r="DN211" s="33">
        <v>101.81619999999999</v>
      </c>
      <c r="DO211" s="33">
        <v>102.1123</v>
      </c>
      <c r="DP211" s="33">
        <v>101.7711</v>
      </c>
      <c r="DQ211" s="33">
        <v>101.9478</v>
      </c>
      <c r="DR211" s="33">
        <v>24399</v>
      </c>
      <c r="DS211" s="73">
        <v>26979</v>
      </c>
      <c r="DT211" s="73">
        <v>101</v>
      </c>
      <c r="DU211">
        <v>71.116447448730469</v>
      </c>
      <c r="DV211">
        <v>100.44765472412109</v>
      </c>
      <c r="DW211">
        <v>4818</v>
      </c>
      <c r="DX211">
        <v>207300</v>
      </c>
      <c r="DY211">
        <v>83</v>
      </c>
      <c r="DZ211" t="s">
        <v>312</v>
      </c>
    </row>
    <row r="212" spans="1:130" x14ac:dyDescent="0.25">
      <c r="A212" s="1">
        <v>39173</v>
      </c>
      <c r="B212" s="33">
        <v>96.2</v>
      </c>
      <c r="C212" s="107">
        <v>3.82</v>
      </c>
      <c r="D212" s="33">
        <v>3.75</v>
      </c>
      <c r="E212" s="33">
        <v>3.9</v>
      </c>
      <c r="F212" s="33">
        <v>4.1100000000000003</v>
      </c>
      <c r="G212" s="33">
        <v>4.1399999999999997</v>
      </c>
      <c r="H212" s="33">
        <v>4.1500000000000004</v>
      </c>
      <c r="I212" s="33">
        <f t="shared" si="39"/>
        <v>0.33000000000000052</v>
      </c>
      <c r="J212" s="33">
        <f t="shared" si="40"/>
        <v>0.40000000000000036</v>
      </c>
      <c r="K212" s="33">
        <f t="shared" si="41"/>
        <v>0.25000000000000044</v>
      </c>
      <c r="L212" s="33">
        <f t="shared" si="42"/>
        <v>-6.999999999999984E-2</v>
      </c>
      <c r="M212" s="33">
        <v>100.7</v>
      </c>
      <c r="N212" s="33">
        <v>6937.17</v>
      </c>
      <c r="O212" s="33">
        <v>17.09</v>
      </c>
      <c r="P212" s="33">
        <v>759.8</v>
      </c>
      <c r="Q212" s="34">
        <f t="shared" si="43"/>
        <v>9.0130486358244362</v>
      </c>
      <c r="R212" s="60">
        <v>1584.1</v>
      </c>
      <c r="S212" s="34">
        <f t="shared" si="44"/>
        <v>1879.1221826809015</v>
      </c>
      <c r="T212" s="60">
        <v>1707.6</v>
      </c>
      <c r="U212" s="34">
        <f t="shared" si="45"/>
        <v>2025.6227758007117</v>
      </c>
      <c r="V212" s="116">
        <v>285590</v>
      </c>
      <c r="W212" s="116">
        <v>3744814</v>
      </c>
      <c r="X212" s="117">
        <v>6850746</v>
      </c>
      <c r="Y212" s="117">
        <v>1181448</v>
      </c>
      <c r="Z212" s="33">
        <v>95.3</v>
      </c>
      <c r="AA212" s="33">
        <v>88.3</v>
      </c>
      <c r="AB212" s="33">
        <v>91</v>
      </c>
      <c r="AC212" s="33">
        <v>87.8</v>
      </c>
      <c r="AD212" s="33">
        <v>40189</v>
      </c>
      <c r="AE212" s="33">
        <v>9.1999999999999993</v>
      </c>
      <c r="AF212" s="33">
        <v>436</v>
      </c>
      <c r="AG212" s="33">
        <v>84.1</v>
      </c>
      <c r="AH212" s="33">
        <v>84.3</v>
      </c>
      <c r="AI212" s="33">
        <v>88.7</v>
      </c>
      <c r="AJ212" s="33">
        <v>86.6</v>
      </c>
      <c r="AK212" s="33">
        <v>189.05405400000001</v>
      </c>
      <c r="AL212" s="33">
        <v>69.3</v>
      </c>
      <c r="AM212" s="123">
        <v>47.541978274071937</v>
      </c>
      <c r="AN212" s="123">
        <v>91.767024784430575</v>
      </c>
      <c r="AO212" s="123">
        <v>86.165599897071672</v>
      </c>
      <c r="AP212" s="33">
        <v>50.07</v>
      </c>
      <c r="AQ212" s="33">
        <f t="shared" si="46"/>
        <v>0.56448703494926722</v>
      </c>
      <c r="AR212" s="33">
        <v>103.5</v>
      </c>
      <c r="AS212" s="33">
        <v>103.6</v>
      </c>
      <c r="AT212" s="33">
        <v>103.3</v>
      </c>
      <c r="AU212" s="33">
        <v>106.4</v>
      </c>
      <c r="AV212" s="65">
        <v>104.7</v>
      </c>
      <c r="AW212" s="33">
        <v>108</v>
      </c>
      <c r="AX212" s="33">
        <v>31.9</v>
      </c>
      <c r="AY212" s="33">
        <v>11.6</v>
      </c>
      <c r="AZ212" s="33">
        <v>27.3</v>
      </c>
      <c r="BA212" s="33">
        <v>16</v>
      </c>
      <c r="BB212" s="33">
        <v>105.6</v>
      </c>
      <c r="BC212" s="33">
        <v>105.9</v>
      </c>
      <c r="BD212" s="33">
        <v>105.3</v>
      </c>
      <c r="BE212" s="33">
        <v>76.900000000000006</v>
      </c>
      <c r="BF212" s="33">
        <v>16.5</v>
      </c>
      <c r="BG212" s="33">
        <v>61</v>
      </c>
      <c r="BH212" s="33">
        <v>127.4</v>
      </c>
      <c r="BI212" s="33">
        <v>7.5</v>
      </c>
      <c r="BJ212" s="34">
        <v>57.032643290000003</v>
      </c>
      <c r="BK212" s="45">
        <v>-50.412098254130704</v>
      </c>
      <c r="BL212" s="33">
        <v>0.88300000000000001</v>
      </c>
      <c r="BM212" s="33">
        <v>102.1699</v>
      </c>
      <c r="BN212" s="33">
        <v>101.8657</v>
      </c>
      <c r="BO212" s="33">
        <v>14.5</v>
      </c>
      <c r="BP212" s="33">
        <v>7.2</v>
      </c>
      <c r="BQ212" s="33">
        <v>1.8</v>
      </c>
      <c r="BR212" s="33">
        <v>13.7</v>
      </c>
      <c r="BS212" s="33">
        <v>9.8000000000000007</v>
      </c>
      <c r="BT212" s="33">
        <v>3.2</v>
      </c>
      <c r="BU212" s="33">
        <v>8.8000000000000007</v>
      </c>
      <c r="BV212" s="33">
        <v>20.6</v>
      </c>
      <c r="BW212" s="33">
        <v>-3.2</v>
      </c>
      <c r="BX212" s="33">
        <v>-7.7</v>
      </c>
      <c r="BY212" s="33">
        <v>-25.7</v>
      </c>
      <c r="BZ212" s="33">
        <v>108.8</v>
      </c>
      <c r="CA212" s="33">
        <v>-3.2</v>
      </c>
      <c r="CB212" s="33">
        <v>-2.5</v>
      </c>
      <c r="CC212" s="33">
        <v>4.5999999999999996</v>
      </c>
      <c r="CD212" s="33">
        <v>4.7</v>
      </c>
      <c r="CE212" s="33">
        <v>-1.7</v>
      </c>
      <c r="CF212" s="33">
        <v>35.799999999999997</v>
      </c>
      <c r="CG212" s="33">
        <v>28.3</v>
      </c>
      <c r="CH212" s="33">
        <v>-1.7</v>
      </c>
      <c r="CI212" s="33">
        <v>-19.100000000000001</v>
      </c>
      <c r="CJ212" s="33">
        <v>-13.1</v>
      </c>
      <c r="CK212" s="33">
        <v>5.4</v>
      </c>
      <c r="CL212" s="33">
        <v>22.7</v>
      </c>
      <c r="CM212" s="33">
        <v>4330.7464760000003</v>
      </c>
      <c r="CN212" s="33">
        <v>12382.3</v>
      </c>
      <c r="CO212" s="33">
        <v>1462.700476</v>
      </c>
      <c r="CP212" s="33">
        <v>4.9729999999999999</v>
      </c>
      <c r="CQ212" s="33">
        <v>4.6500000000000004</v>
      </c>
      <c r="CR212" s="33">
        <v>75.900000000000006</v>
      </c>
      <c r="CS212" s="121">
        <f t="shared" si="38"/>
        <v>25.25</v>
      </c>
      <c r="CT212" s="33">
        <v>111.2</v>
      </c>
      <c r="CU212" s="33">
        <v>105.2</v>
      </c>
      <c r="CV212" s="33">
        <v>121.8</v>
      </c>
      <c r="CW212" s="33">
        <v>115</v>
      </c>
      <c r="CX212" s="33">
        <v>96.4</v>
      </c>
      <c r="CY212" s="33">
        <v>6.17</v>
      </c>
      <c r="CZ212" s="33">
        <v>46249.074000000001</v>
      </c>
      <c r="DA212" s="33">
        <v>4.08</v>
      </c>
      <c r="DB212" s="33">
        <v>25.93</v>
      </c>
      <c r="DC212" s="33">
        <v>46.2</v>
      </c>
      <c r="DD212" s="33">
        <v>14.29</v>
      </c>
      <c r="DE212" s="33">
        <v>8790.5390000000007</v>
      </c>
      <c r="DF212" s="33">
        <v>1805.885</v>
      </c>
      <c r="DG212" s="33">
        <v>2240.8789999999999</v>
      </c>
      <c r="DH212" s="33">
        <v>1085.3240000000001</v>
      </c>
      <c r="DI212" s="33">
        <v>2346.19</v>
      </c>
      <c r="DJ212" s="33">
        <v>101.9237</v>
      </c>
      <c r="DK212" s="33">
        <v>102.3887</v>
      </c>
      <c r="DL212" s="33">
        <v>103.29</v>
      </c>
      <c r="DM212" s="33">
        <v>104.1866</v>
      </c>
      <c r="DN212" s="33">
        <v>101.8657</v>
      </c>
      <c r="DO212" s="33">
        <v>102.1699</v>
      </c>
      <c r="DP212" s="33">
        <v>101.87649999999999</v>
      </c>
      <c r="DQ212" s="33">
        <v>102.0638</v>
      </c>
      <c r="DR212" s="33">
        <v>38239</v>
      </c>
      <c r="DS212" s="73">
        <v>27037</v>
      </c>
      <c r="DT212" s="73">
        <v>99.9</v>
      </c>
      <c r="DU212">
        <v>65.165313720703125</v>
      </c>
      <c r="DV212">
        <v>69.167503356933594</v>
      </c>
      <c r="DW212">
        <v>5417</v>
      </c>
      <c r="DX212">
        <v>179850</v>
      </c>
      <c r="DY212">
        <v>81</v>
      </c>
      <c r="DZ212" t="s">
        <v>312</v>
      </c>
    </row>
    <row r="213" spans="1:130" x14ac:dyDescent="0.25">
      <c r="A213" s="1">
        <v>39203</v>
      </c>
      <c r="B213" s="33">
        <v>98.1</v>
      </c>
      <c r="C213" s="107">
        <v>3.79</v>
      </c>
      <c r="D213" s="33">
        <v>3.75</v>
      </c>
      <c r="E213" s="33">
        <v>3.98</v>
      </c>
      <c r="F213" s="33">
        <v>4.26</v>
      </c>
      <c r="G213" s="33">
        <v>4.2699999999999996</v>
      </c>
      <c r="H213" s="33">
        <v>4.28</v>
      </c>
      <c r="I213" s="33">
        <f t="shared" si="39"/>
        <v>0.49000000000000021</v>
      </c>
      <c r="J213" s="33">
        <f t="shared" si="40"/>
        <v>0.53000000000000025</v>
      </c>
      <c r="K213" s="33">
        <f t="shared" si="41"/>
        <v>0.30000000000000027</v>
      </c>
      <c r="L213" s="33">
        <f t="shared" si="42"/>
        <v>-4.0000000000000036E-2</v>
      </c>
      <c r="M213" s="33">
        <v>100.8</v>
      </c>
      <c r="N213" s="33">
        <v>7408.87</v>
      </c>
      <c r="O213" s="33">
        <v>18.25</v>
      </c>
      <c r="P213" s="33">
        <v>767.8</v>
      </c>
      <c r="Q213" s="34">
        <f t="shared" si="43"/>
        <v>9.1079478054567016</v>
      </c>
      <c r="R213" s="60">
        <v>1591.2</v>
      </c>
      <c r="S213" s="34">
        <f t="shared" si="44"/>
        <v>1887.5444839857653</v>
      </c>
      <c r="T213" s="60">
        <v>1715.9</v>
      </c>
      <c r="U213" s="34">
        <f t="shared" si="45"/>
        <v>2035.4685646500595</v>
      </c>
      <c r="V213" s="116">
        <v>281704</v>
      </c>
      <c r="W213" s="116">
        <v>3773413</v>
      </c>
      <c r="X213" s="117">
        <v>6917829</v>
      </c>
      <c r="Y213" s="117">
        <v>1214052</v>
      </c>
      <c r="Z213" s="33">
        <v>96.3</v>
      </c>
      <c r="AA213" s="33">
        <v>91.1</v>
      </c>
      <c r="AB213" s="33">
        <v>92.4</v>
      </c>
      <c r="AC213" s="33">
        <v>91.2</v>
      </c>
      <c r="AD213" s="33">
        <v>40227</v>
      </c>
      <c r="AE213" s="33">
        <v>9.1</v>
      </c>
      <c r="AF213" s="33">
        <v>433</v>
      </c>
      <c r="AG213" s="33">
        <v>84.2</v>
      </c>
      <c r="AH213" s="33">
        <v>84.3</v>
      </c>
      <c r="AI213" s="33">
        <v>88.9</v>
      </c>
      <c r="AJ213" s="33">
        <v>86.7</v>
      </c>
      <c r="AK213" s="33">
        <v>189.766122</v>
      </c>
      <c r="AL213" s="33">
        <v>69.8</v>
      </c>
      <c r="AM213" s="123">
        <v>45.75439989096683</v>
      </c>
      <c r="AN213" s="123">
        <v>91.337202654292724</v>
      </c>
      <c r="AO213" s="123">
        <v>87.219906458659878</v>
      </c>
      <c r="AP213" s="33">
        <v>50.1</v>
      </c>
      <c r="AQ213" s="33">
        <f t="shared" si="46"/>
        <v>0.56355455568053991</v>
      </c>
      <c r="AR213" s="33">
        <v>103.6</v>
      </c>
      <c r="AS213" s="33">
        <v>103.7</v>
      </c>
      <c r="AT213" s="33">
        <v>103.5</v>
      </c>
      <c r="AU213" s="33">
        <v>106.4</v>
      </c>
      <c r="AV213" s="65">
        <v>104.5</v>
      </c>
      <c r="AW213" s="33">
        <v>108.4</v>
      </c>
      <c r="AX213" s="33">
        <v>31.1</v>
      </c>
      <c r="AY213" s="33">
        <v>14</v>
      </c>
      <c r="AZ213" s="33">
        <v>29.1</v>
      </c>
      <c r="BA213" s="33">
        <v>13.3</v>
      </c>
      <c r="BB213" s="33">
        <v>105.8</v>
      </c>
      <c r="BC213" s="33">
        <v>105.2</v>
      </c>
      <c r="BD213" s="33">
        <v>106.4</v>
      </c>
      <c r="BE213" s="33">
        <v>88</v>
      </c>
      <c r="BF213" s="33">
        <v>24</v>
      </c>
      <c r="BG213" s="33">
        <v>69.5</v>
      </c>
      <c r="BH213" s="33">
        <v>129.4</v>
      </c>
      <c r="BI213" s="33">
        <v>0.3</v>
      </c>
      <c r="BJ213" s="34">
        <v>56.062362489999998</v>
      </c>
      <c r="BK213" s="45">
        <v>-50.86694993345138</v>
      </c>
      <c r="BL213" s="33">
        <v>0.88400000000000001</v>
      </c>
      <c r="BM213" s="33">
        <v>102.20010000000001</v>
      </c>
      <c r="BN213" s="33">
        <v>101.8916</v>
      </c>
      <c r="BO213" s="33">
        <v>13.6</v>
      </c>
      <c r="BP213" s="33">
        <v>7.6</v>
      </c>
      <c r="BQ213" s="33">
        <v>1.3</v>
      </c>
      <c r="BR213" s="33">
        <v>14.8</v>
      </c>
      <c r="BS213" s="33">
        <v>9.1</v>
      </c>
      <c r="BT213" s="33">
        <v>5.0999999999999996</v>
      </c>
      <c r="BU213" s="33">
        <v>9</v>
      </c>
      <c r="BV213" s="33">
        <v>17.3</v>
      </c>
      <c r="BW213" s="33">
        <v>-1.3</v>
      </c>
      <c r="BX213" s="33">
        <v>-7.8</v>
      </c>
      <c r="BY213" s="33">
        <v>-24.9</v>
      </c>
      <c r="BZ213" s="33">
        <v>108.7</v>
      </c>
      <c r="CA213" s="33">
        <v>-1.3</v>
      </c>
      <c r="CB213" s="33">
        <v>-1.6</v>
      </c>
      <c r="CC213" s="33">
        <v>5.0999999999999996</v>
      </c>
      <c r="CD213" s="33">
        <v>8.1</v>
      </c>
      <c r="CE213" s="33">
        <v>0.7</v>
      </c>
      <c r="CF213" s="33">
        <v>36.299999999999997</v>
      </c>
      <c r="CG213" s="33">
        <v>29.4</v>
      </c>
      <c r="CH213" s="33">
        <v>-2.8</v>
      </c>
      <c r="CI213" s="33">
        <v>-17.5</v>
      </c>
      <c r="CJ213" s="33">
        <v>-9.5</v>
      </c>
      <c r="CK213" s="33">
        <v>8.1</v>
      </c>
      <c r="CL213" s="33">
        <v>23.9</v>
      </c>
      <c r="CM213" s="33">
        <v>4444.8279130000001</v>
      </c>
      <c r="CN213" s="33">
        <v>13136.14</v>
      </c>
      <c r="CO213" s="33">
        <v>1511.3365220000001</v>
      </c>
      <c r="CP213" s="33">
        <v>5.0380000000000003</v>
      </c>
      <c r="CQ213" s="33">
        <v>4.6399999999999997</v>
      </c>
      <c r="CR213" s="33">
        <v>77.599999999999994</v>
      </c>
      <c r="CS213" s="121">
        <f t="shared" si="38"/>
        <v>25.25</v>
      </c>
      <c r="CT213" s="33">
        <v>112.8</v>
      </c>
      <c r="CU213" s="33">
        <v>104.1</v>
      </c>
      <c r="CV213" s="33">
        <v>122.5</v>
      </c>
      <c r="CW213" s="33">
        <v>117.4</v>
      </c>
      <c r="CX213" s="33">
        <v>95.2</v>
      </c>
      <c r="CY213" s="33">
        <v>6.16</v>
      </c>
      <c r="CZ213" s="33">
        <v>46042.798999999999</v>
      </c>
      <c r="DA213" s="33">
        <v>3.81</v>
      </c>
      <c r="DB213" s="33">
        <v>25.21</v>
      </c>
      <c r="DC213" s="33">
        <v>45.79</v>
      </c>
      <c r="DD213" s="33">
        <v>14.31</v>
      </c>
      <c r="DE213" s="33">
        <v>8766.0609999999997</v>
      </c>
      <c r="DF213" s="33">
        <v>1739.3309999999999</v>
      </c>
      <c r="DG213" s="33">
        <v>2243.6120000000001</v>
      </c>
      <c r="DH213" s="33">
        <v>984.24199999999996</v>
      </c>
      <c r="DI213" s="33">
        <v>2481.9499999999998</v>
      </c>
      <c r="DJ213" s="33">
        <v>102.11020000000001</v>
      </c>
      <c r="DK213" s="33">
        <v>102.637</v>
      </c>
      <c r="DL213" s="33">
        <v>103.7</v>
      </c>
      <c r="DM213" s="33">
        <v>104.71380000000001</v>
      </c>
      <c r="DN213" s="33">
        <v>101.8916</v>
      </c>
      <c r="DO213" s="33">
        <v>102.20010000000001</v>
      </c>
      <c r="DP213" s="33">
        <v>101.9564</v>
      </c>
      <c r="DQ213" s="33">
        <v>102.15170000000001</v>
      </c>
      <c r="DR213" s="33">
        <v>35896</v>
      </c>
      <c r="DS213" s="73">
        <v>27074</v>
      </c>
      <c r="DT213" s="73">
        <v>100</v>
      </c>
      <c r="DU213">
        <v>54.993274688720703</v>
      </c>
      <c r="DV213">
        <v>28.433984756469727</v>
      </c>
      <c r="DW213">
        <v>6255</v>
      </c>
      <c r="DX213">
        <v>154225</v>
      </c>
      <c r="DY213">
        <v>82.7</v>
      </c>
      <c r="DZ213" t="s">
        <v>312</v>
      </c>
    </row>
    <row r="214" spans="1:130" x14ac:dyDescent="0.25">
      <c r="A214" s="1">
        <v>39234</v>
      </c>
      <c r="B214" s="33">
        <v>98.3</v>
      </c>
      <c r="C214" s="107">
        <v>3.96</v>
      </c>
      <c r="D214" s="33">
        <v>4</v>
      </c>
      <c r="E214" s="33">
        <v>4.07</v>
      </c>
      <c r="F214" s="33">
        <v>4.5199999999999996</v>
      </c>
      <c r="G214" s="33">
        <v>4.55</v>
      </c>
      <c r="H214" s="33">
        <v>4.5599999999999996</v>
      </c>
      <c r="I214" s="33">
        <f t="shared" si="39"/>
        <v>0.59999999999999964</v>
      </c>
      <c r="J214" s="33">
        <f t="shared" si="40"/>
        <v>0.55999999999999961</v>
      </c>
      <c r="K214" s="33">
        <f t="shared" si="41"/>
        <v>0.48999999999999932</v>
      </c>
      <c r="L214" s="33">
        <f t="shared" si="42"/>
        <v>4.0000000000000036E-2</v>
      </c>
      <c r="M214" s="33">
        <v>100.6</v>
      </c>
      <c r="N214" s="33">
        <v>7987.85</v>
      </c>
      <c r="O214" s="33">
        <v>16.28</v>
      </c>
      <c r="P214" s="33">
        <v>775.1</v>
      </c>
      <c r="Q214" s="34">
        <f t="shared" si="43"/>
        <v>9.1836492890995256</v>
      </c>
      <c r="R214" s="60">
        <v>1612.9</v>
      </c>
      <c r="S214" s="34">
        <f t="shared" si="44"/>
        <v>1911.0189573459718</v>
      </c>
      <c r="T214" s="60">
        <v>1741</v>
      </c>
      <c r="U214" s="34">
        <f t="shared" si="45"/>
        <v>2062.7962085308054</v>
      </c>
      <c r="V214" s="116">
        <v>287585</v>
      </c>
      <c r="W214" s="116">
        <v>3794192</v>
      </c>
      <c r="X214" s="117">
        <v>6987296</v>
      </c>
      <c r="Y214" s="117">
        <v>1219006</v>
      </c>
      <c r="Z214" s="33">
        <v>96.9</v>
      </c>
      <c r="AA214" s="33">
        <v>94.4</v>
      </c>
      <c r="AB214" s="33">
        <v>93.1</v>
      </c>
      <c r="AC214" s="33">
        <v>95.4</v>
      </c>
      <c r="AD214" s="33">
        <v>40244</v>
      </c>
      <c r="AE214" s="33">
        <v>9</v>
      </c>
      <c r="AF214" s="33">
        <v>431</v>
      </c>
      <c r="AG214" s="33">
        <v>84.4</v>
      </c>
      <c r="AH214" s="33">
        <v>84.4</v>
      </c>
      <c r="AI214" s="33">
        <v>89.3</v>
      </c>
      <c r="AJ214" s="33">
        <v>86.9</v>
      </c>
      <c r="AK214" s="33">
        <v>189.94413900000001</v>
      </c>
      <c r="AL214" s="33">
        <v>68.400000000000006</v>
      </c>
      <c r="AM214" s="123">
        <v>47.69349528760835</v>
      </c>
      <c r="AN214" s="123">
        <v>98.476559191416698</v>
      </c>
      <c r="AO214" s="123">
        <v>90.156603645820155</v>
      </c>
      <c r="AP214" s="33">
        <v>52.64</v>
      </c>
      <c r="AQ214" s="33">
        <f t="shared" si="46"/>
        <v>0.58947368421052637</v>
      </c>
      <c r="AR214" s="33">
        <v>102.3</v>
      </c>
      <c r="AS214" s="33">
        <v>102.5</v>
      </c>
      <c r="AT214" s="33">
        <v>102.1</v>
      </c>
      <c r="AU214" s="33">
        <v>105.9</v>
      </c>
      <c r="AV214" s="65">
        <v>103.9</v>
      </c>
      <c r="AW214" s="33">
        <v>107.9</v>
      </c>
      <c r="AX214" s="33">
        <v>28.7</v>
      </c>
      <c r="AY214" s="33">
        <v>17.100000000000001</v>
      </c>
      <c r="AZ214" s="33">
        <v>25.3</v>
      </c>
      <c r="BA214" s="33">
        <v>14.2</v>
      </c>
      <c r="BB214" s="33">
        <v>102.1</v>
      </c>
      <c r="BC214" s="33">
        <v>102.4</v>
      </c>
      <c r="BD214" s="33">
        <v>101.8</v>
      </c>
      <c r="BE214" s="33">
        <v>88.7</v>
      </c>
      <c r="BF214" s="33">
        <v>20.3</v>
      </c>
      <c r="BG214" s="33">
        <v>69</v>
      </c>
      <c r="BH214" s="33">
        <v>132.1</v>
      </c>
      <c r="BI214" s="33">
        <v>1.1000000000000001</v>
      </c>
      <c r="BJ214" s="34">
        <v>57.329482480000003</v>
      </c>
      <c r="BK214" s="45">
        <v>-49.426417474587829</v>
      </c>
      <c r="BL214" s="33">
        <v>0.91100000000000003</v>
      </c>
      <c r="BM214" s="33">
        <v>102.1827</v>
      </c>
      <c r="BN214" s="33">
        <v>101.8767</v>
      </c>
      <c r="BO214" s="33">
        <v>13.7</v>
      </c>
      <c r="BP214" s="33">
        <v>9</v>
      </c>
      <c r="BQ214" s="33">
        <v>0.1</v>
      </c>
      <c r="BR214" s="33">
        <v>16.100000000000001</v>
      </c>
      <c r="BS214" s="33">
        <v>12.9</v>
      </c>
      <c r="BT214" s="33">
        <v>6.4</v>
      </c>
      <c r="BU214" s="33">
        <v>9.9</v>
      </c>
      <c r="BV214" s="33">
        <v>17.7</v>
      </c>
      <c r="BW214" s="33">
        <v>-1.8</v>
      </c>
      <c r="BX214" s="33">
        <v>-11.7</v>
      </c>
      <c r="BY214" s="33">
        <v>-25.3</v>
      </c>
      <c r="BZ214" s="33">
        <v>108.9</v>
      </c>
      <c r="CA214" s="33">
        <v>-1.8</v>
      </c>
      <c r="CB214" s="33">
        <v>-1.2</v>
      </c>
      <c r="CC214" s="33">
        <v>4.8</v>
      </c>
      <c r="CD214" s="33">
        <v>8.4</v>
      </c>
      <c r="CE214" s="33">
        <v>0.2</v>
      </c>
      <c r="CF214" s="33">
        <v>34.700000000000003</v>
      </c>
      <c r="CG214" s="33">
        <v>29.8</v>
      </c>
      <c r="CH214" s="33">
        <v>-2.8</v>
      </c>
      <c r="CI214" s="33">
        <v>-12.9</v>
      </c>
      <c r="CJ214" s="33">
        <v>-11.1</v>
      </c>
      <c r="CK214" s="33">
        <v>3.9</v>
      </c>
      <c r="CL214" s="33">
        <v>21.7</v>
      </c>
      <c r="CM214" s="33">
        <v>4470.2115240000003</v>
      </c>
      <c r="CN214" s="33">
        <v>13668.11</v>
      </c>
      <c r="CO214" s="33">
        <v>1514.4895240000001</v>
      </c>
      <c r="CP214" s="33">
        <v>5.2850000000000001</v>
      </c>
      <c r="CQ214" s="33">
        <v>4.95</v>
      </c>
      <c r="CR214" s="33">
        <v>74.7</v>
      </c>
      <c r="CS214" s="121">
        <f t="shared" si="38"/>
        <v>23.650000000000006</v>
      </c>
      <c r="CT214" s="33">
        <v>114.3</v>
      </c>
      <c r="CU214" s="33">
        <v>104.8</v>
      </c>
      <c r="CV214" s="33">
        <v>122.4</v>
      </c>
      <c r="CW214" s="33">
        <v>116.1</v>
      </c>
      <c r="CX214" s="33">
        <v>95.9</v>
      </c>
      <c r="CY214" s="33">
        <v>5.98</v>
      </c>
      <c r="CZ214" s="33">
        <v>47379.544000000002</v>
      </c>
      <c r="DA214" s="33">
        <v>3.88</v>
      </c>
      <c r="DB214" s="33">
        <v>26.32</v>
      </c>
      <c r="DC214" s="33">
        <v>46.21</v>
      </c>
      <c r="DD214" s="33">
        <v>14.17</v>
      </c>
      <c r="DE214" s="33">
        <v>9073.2559999999994</v>
      </c>
      <c r="DF214" s="33">
        <v>1767.7049999999999</v>
      </c>
      <c r="DG214" s="33">
        <v>2298.3609999999999</v>
      </c>
      <c r="DH214" s="33">
        <v>1093.7619999999999</v>
      </c>
      <c r="DI214" s="33">
        <v>2516.7359999999999</v>
      </c>
      <c r="DJ214" s="33">
        <v>102.2684</v>
      </c>
      <c r="DK214" s="33">
        <v>102.8501</v>
      </c>
      <c r="DL214" s="33">
        <v>104.08</v>
      </c>
      <c r="DM214" s="33">
        <v>105.1918</v>
      </c>
      <c r="DN214" s="33">
        <v>101.8767</v>
      </c>
      <c r="DO214" s="33">
        <v>102.1827</v>
      </c>
      <c r="DP214" s="33">
        <v>101.9979</v>
      </c>
      <c r="DQ214" s="33">
        <v>102.1974</v>
      </c>
      <c r="DR214" s="33">
        <v>34398</v>
      </c>
      <c r="DS214" s="73">
        <v>27101</v>
      </c>
      <c r="DT214" s="73">
        <v>100.6</v>
      </c>
      <c r="DU214">
        <v>60.846061706542969</v>
      </c>
      <c r="DV214">
        <v>45.653175354003906</v>
      </c>
      <c r="DW214">
        <v>5983</v>
      </c>
      <c r="DX214">
        <v>123900</v>
      </c>
      <c r="DY214">
        <v>83.4</v>
      </c>
      <c r="DZ214" t="s">
        <v>312</v>
      </c>
    </row>
    <row r="215" spans="1:130" x14ac:dyDescent="0.25">
      <c r="A215" s="1">
        <v>39264</v>
      </c>
      <c r="B215" s="33">
        <v>98.9</v>
      </c>
      <c r="C215" s="107">
        <v>4.0599999999999996</v>
      </c>
      <c r="D215" s="33">
        <v>4</v>
      </c>
      <c r="E215" s="33">
        <v>4.1500000000000004</v>
      </c>
      <c r="F215" s="33">
        <v>4.5</v>
      </c>
      <c r="G215" s="33">
        <v>4.51</v>
      </c>
      <c r="H215" s="33">
        <v>4.5</v>
      </c>
      <c r="I215" s="33">
        <f t="shared" si="39"/>
        <v>0.44000000000000039</v>
      </c>
      <c r="J215" s="33">
        <f t="shared" si="40"/>
        <v>0.5</v>
      </c>
      <c r="K215" s="33">
        <f t="shared" si="41"/>
        <v>0.34999999999999964</v>
      </c>
      <c r="L215" s="33">
        <f t="shared" si="42"/>
        <v>-5.9999999999999609E-2</v>
      </c>
      <c r="M215" s="33">
        <v>100.9</v>
      </c>
      <c r="N215" s="33">
        <v>7958.24</v>
      </c>
      <c r="O215" s="33">
        <v>19.96</v>
      </c>
      <c r="P215" s="33">
        <v>785.5</v>
      </c>
      <c r="Q215" s="34">
        <f t="shared" si="43"/>
        <v>9.2958579881656807</v>
      </c>
      <c r="R215" s="60">
        <v>1624.2</v>
      </c>
      <c r="S215" s="34">
        <f t="shared" si="44"/>
        <v>1922.1301775147929</v>
      </c>
      <c r="T215" s="60">
        <v>1757.2</v>
      </c>
      <c r="U215" s="34">
        <f t="shared" si="45"/>
        <v>2079.5266272189347</v>
      </c>
      <c r="V215" s="116">
        <v>296355</v>
      </c>
      <c r="W215" s="116">
        <v>3821040</v>
      </c>
      <c r="X215" s="117">
        <v>7057569</v>
      </c>
      <c r="Y215" s="117">
        <v>1232515</v>
      </c>
      <c r="Z215" s="33">
        <v>96.8</v>
      </c>
      <c r="AA215" s="33">
        <v>90.1</v>
      </c>
      <c r="AB215" s="33">
        <v>92.3</v>
      </c>
      <c r="AC215" s="33">
        <v>89.8</v>
      </c>
      <c r="AD215" s="33">
        <v>40308</v>
      </c>
      <c r="AE215" s="33">
        <v>8.9</v>
      </c>
      <c r="AF215" s="33">
        <v>424</v>
      </c>
      <c r="AG215" s="33">
        <v>84.6</v>
      </c>
      <c r="AH215" s="33">
        <v>84.5</v>
      </c>
      <c r="AI215" s="33">
        <v>89.4</v>
      </c>
      <c r="AJ215" s="33">
        <v>86.9</v>
      </c>
      <c r="AK215" s="33">
        <v>189.94413900000001</v>
      </c>
      <c r="AL215" s="33">
        <v>88.7</v>
      </c>
      <c r="AM215" s="123">
        <v>49.164759923729953</v>
      </c>
      <c r="AN215" s="123">
        <v>104.21974887987412</v>
      </c>
      <c r="AO215" s="123">
        <v>87.133059011356679</v>
      </c>
      <c r="AP215" s="33">
        <v>55.48</v>
      </c>
      <c r="AQ215" s="33">
        <f t="shared" si="46"/>
        <v>0.62058165548098432</v>
      </c>
      <c r="AR215" s="33">
        <v>102.1</v>
      </c>
      <c r="AS215" s="33">
        <v>101.9</v>
      </c>
      <c r="AT215" s="33">
        <v>102.3</v>
      </c>
      <c r="AU215" s="33">
        <v>106.1</v>
      </c>
      <c r="AV215" s="65">
        <v>104.1</v>
      </c>
      <c r="AW215" s="33">
        <v>108.2</v>
      </c>
      <c r="AX215" s="33">
        <v>30.9</v>
      </c>
      <c r="AY215" s="33">
        <v>13.3</v>
      </c>
      <c r="AZ215" s="33">
        <v>27.1</v>
      </c>
      <c r="BA215" s="33">
        <v>14.5</v>
      </c>
      <c r="BB215" s="33">
        <v>97.4</v>
      </c>
      <c r="BC215" s="33">
        <v>96.2</v>
      </c>
      <c r="BD215" s="33">
        <v>98.6</v>
      </c>
      <c r="BE215" s="33">
        <v>88.2</v>
      </c>
      <c r="BF215" s="33">
        <v>10.4</v>
      </c>
      <c r="BG215" s="33">
        <v>64.8</v>
      </c>
      <c r="BH215" s="33">
        <v>130.1</v>
      </c>
      <c r="BI215" s="33">
        <v>8.8000000000000007</v>
      </c>
      <c r="BJ215" s="34">
        <v>56.750189710000001</v>
      </c>
      <c r="BK215" s="45">
        <v>-52.443645774521713</v>
      </c>
      <c r="BL215" s="33">
        <v>0.92100000000000004</v>
      </c>
      <c r="BM215" s="33">
        <v>102.111</v>
      </c>
      <c r="BN215" s="33">
        <v>101.8151</v>
      </c>
      <c r="BO215" s="33">
        <v>13.3</v>
      </c>
      <c r="BP215" s="33">
        <v>8.6</v>
      </c>
      <c r="BQ215" s="33">
        <v>0.5</v>
      </c>
      <c r="BR215" s="33">
        <v>13.9</v>
      </c>
      <c r="BS215" s="33">
        <v>12</v>
      </c>
      <c r="BT215" s="33">
        <v>6.7</v>
      </c>
      <c r="BU215" s="33">
        <v>8.9</v>
      </c>
      <c r="BV215" s="33">
        <v>18.3</v>
      </c>
      <c r="BW215" s="33">
        <v>-1.8</v>
      </c>
      <c r="BX215" s="33">
        <v>-9.9</v>
      </c>
      <c r="BY215" s="33">
        <v>-25.8</v>
      </c>
      <c r="BZ215" s="33">
        <v>108.6</v>
      </c>
      <c r="CA215" s="33">
        <v>-1.8</v>
      </c>
      <c r="CB215" s="33">
        <v>1.1000000000000001</v>
      </c>
      <c r="CC215" s="33">
        <v>4.2</v>
      </c>
      <c r="CD215" s="33">
        <v>6.1</v>
      </c>
      <c r="CE215" s="33">
        <v>-0.2</v>
      </c>
      <c r="CF215" s="33">
        <v>34.6</v>
      </c>
      <c r="CG215" s="33">
        <v>27.9</v>
      </c>
      <c r="CH215" s="33">
        <v>-2</v>
      </c>
      <c r="CI215" s="33">
        <v>-13.4</v>
      </c>
      <c r="CJ215" s="33">
        <v>-12.4</v>
      </c>
      <c r="CK215" s="33">
        <v>4.5999999999999996</v>
      </c>
      <c r="CL215" s="33">
        <v>21.6</v>
      </c>
      <c r="CM215" s="33">
        <v>4449.0247730000001</v>
      </c>
      <c r="CN215" s="33">
        <v>13535.43</v>
      </c>
      <c r="CO215" s="33">
        <v>1520.8940909999999</v>
      </c>
      <c r="CP215" s="33">
        <v>5.415</v>
      </c>
      <c r="CQ215" s="33">
        <v>5</v>
      </c>
      <c r="CR215" s="33">
        <v>81.5</v>
      </c>
      <c r="CS215" s="121">
        <f t="shared" si="38"/>
        <v>22.150000000000006</v>
      </c>
      <c r="CT215" s="33">
        <v>114.4</v>
      </c>
      <c r="CU215" s="33">
        <v>103.8</v>
      </c>
      <c r="CV215" s="33">
        <v>122.2</v>
      </c>
      <c r="CW215" s="33">
        <v>114.3</v>
      </c>
      <c r="CX215" s="33">
        <v>91.7</v>
      </c>
      <c r="CY215" s="33">
        <v>6.2</v>
      </c>
      <c r="CZ215" s="33">
        <v>45770.37</v>
      </c>
      <c r="DA215" s="33">
        <v>3.46</v>
      </c>
      <c r="DB215" s="33">
        <v>25.78</v>
      </c>
      <c r="DC215" s="33">
        <v>46.68</v>
      </c>
      <c r="DD215" s="33">
        <v>14.23</v>
      </c>
      <c r="DE215" s="33">
        <v>9544.1569999999992</v>
      </c>
      <c r="DF215" s="33">
        <v>2053.942</v>
      </c>
      <c r="DG215" s="33">
        <v>2451.7959999999998</v>
      </c>
      <c r="DH215" s="33">
        <v>1095.83</v>
      </c>
      <c r="DI215" s="33">
        <v>2570.846</v>
      </c>
      <c r="DJ215" s="33">
        <v>102.3989</v>
      </c>
      <c r="DK215" s="33">
        <v>103.0269</v>
      </c>
      <c r="DL215" s="33">
        <v>104.41</v>
      </c>
      <c r="DM215" s="33">
        <v>105.61960000000001</v>
      </c>
      <c r="DN215" s="33">
        <v>101.8151</v>
      </c>
      <c r="DO215" s="33">
        <v>102.111</v>
      </c>
      <c r="DP215" s="33">
        <v>101.9862</v>
      </c>
      <c r="DQ215" s="33">
        <v>102.1845</v>
      </c>
      <c r="DR215" s="33">
        <v>28902</v>
      </c>
      <c r="DS215" s="73">
        <v>27174</v>
      </c>
      <c r="DT215" s="73">
        <v>101</v>
      </c>
      <c r="DU215">
        <v>47.692344665527344</v>
      </c>
      <c r="DV215">
        <v>37.950649261474609</v>
      </c>
      <c r="DW215">
        <v>6304</v>
      </c>
      <c r="DX215">
        <v>112025</v>
      </c>
      <c r="DY215">
        <v>82.9</v>
      </c>
      <c r="DZ215" t="s">
        <v>312</v>
      </c>
    </row>
    <row r="216" spans="1:130" x14ac:dyDescent="0.25">
      <c r="A216" s="1">
        <v>39295</v>
      </c>
      <c r="B216" s="33">
        <v>99.1</v>
      </c>
      <c r="C216" s="107">
        <v>4.05</v>
      </c>
      <c r="D216" s="33">
        <v>4</v>
      </c>
      <c r="E216" s="33">
        <v>4.3</v>
      </c>
      <c r="F216" s="33">
        <v>4.2</v>
      </c>
      <c r="G216" s="33">
        <v>4.25</v>
      </c>
      <c r="H216" s="33">
        <v>4.3</v>
      </c>
      <c r="I216" s="33">
        <f t="shared" si="39"/>
        <v>0.25</v>
      </c>
      <c r="J216" s="33">
        <f t="shared" si="40"/>
        <v>0.29999999999999982</v>
      </c>
      <c r="K216" s="33">
        <f t="shared" si="41"/>
        <v>0</v>
      </c>
      <c r="L216" s="33">
        <f t="shared" si="42"/>
        <v>-4.9999999999999822E-2</v>
      </c>
      <c r="M216" s="33">
        <v>100.6</v>
      </c>
      <c r="N216" s="33">
        <v>7473.93</v>
      </c>
      <c r="O216" s="33">
        <v>27.62</v>
      </c>
      <c r="P216" s="33">
        <v>780.8</v>
      </c>
      <c r="Q216" s="34">
        <f t="shared" si="43"/>
        <v>9.2293144208037834</v>
      </c>
      <c r="R216" s="60">
        <v>1639.9</v>
      </c>
      <c r="S216" s="34">
        <f t="shared" si="44"/>
        <v>1938.4160756501185</v>
      </c>
      <c r="T216" s="60">
        <v>1770</v>
      </c>
      <c r="U216" s="34">
        <f t="shared" si="45"/>
        <v>2092.1985815602839</v>
      </c>
      <c r="V216" s="116">
        <v>298077</v>
      </c>
      <c r="W216" s="116">
        <v>3810958</v>
      </c>
      <c r="X216" s="117">
        <v>7100108</v>
      </c>
      <c r="Y216" s="117">
        <v>1244223</v>
      </c>
      <c r="Z216" s="33">
        <v>97.4</v>
      </c>
      <c r="AA216" s="33">
        <v>90.6</v>
      </c>
      <c r="AB216" s="33">
        <v>92.9</v>
      </c>
      <c r="AC216" s="33">
        <v>90.1</v>
      </c>
      <c r="AD216" s="33">
        <v>40354</v>
      </c>
      <c r="AE216" s="33">
        <v>8.8000000000000007</v>
      </c>
      <c r="AF216" s="33">
        <v>421</v>
      </c>
      <c r="AG216" s="33">
        <v>84.6</v>
      </c>
      <c r="AH216" s="33">
        <v>84.6</v>
      </c>
      <c r="AI216" s="33">
        <v>88.9</v>
      </c>
      <c r="AJ216" s="33">
        <v>86.9</v>
      </c>
      <c r="AK216" s="33">
        <v>189.94413900000001</v>
      </c>
      <c r="AL216" s="33">
        <v>68.599999999999994</v>
      </c>
      <c r="AM216" s="123">
        <v>50.932389252091482</v>
      </c>
      <c r="AN216" s="123">
        <v>97.434608978840657</v>
      </c>
      <c r="AO216" s="123">
        <v>85.732205972588872</v>
      </c>
      <c r="AP216" s="33">
        <v>52.34</v>
      </c>
      <c r="AQ216" s="33">
        <f t="shared" si="46"/>
        <v>0.5887514060742407</v>
      </c>
      <c r="AR216" s="33">
        <v>101.7</v>
      </c>
      <c r="AS216" s="33">
        <v>101</v>
      </c>
      <c r="AT216" s="33">
        <v>102.4</v>
      </c>
      <c r="AU216" s="33">
        <v>105.4</v>
      </c>
      <c r="AV216" s="65">
        <v>102.9</v>
      </c>
      <c r="AW216" s="33">
        <v>107.9</v>
      </c>
      <c r="AX216" s="33">
        <v>30.6</v>
      </c>
      <c r="AY216" s="33">
        <v>16.399999999999999</v>
      </c>
      <c r="AZ216" s="33">
        <v>25.5</v>
      </c>
      <c r="BA216" s="33">
        <v>12.2</v>
      </c>
      <c r="BB216" s="33">
        <v>97.1</v>
      </c>
      <c r="BC216" s="33">
        <v>95.1</v>
      </c>
      <c r="BD216" s="33">
        <v>99.3</v>
      </c>
      <c r="BE216" s="33">
        <v>80.2</v>
      </c>
      <c r="BF216" s="33">
        <v>-6.9</v>
      </c>
      <c r="BG216" s="33">
        <v>48.4</v>
      </c>
      <c r="BH216" s="33">
        <v>135.1</v>
      </c>
      <c r="BI216" s="33">
        <v>5.8</v>
      </c>
      <c r="BJ216" s="34">
        <v>55.95615737</v>
      </c>
      <c r="BK216" s="45">
        <v>-59.56017773200093</v>
      </c>
      <c r="BL216" s="33">
        <v>0.89300000000000002</v>
      </c>
      <c r="BM216" s="33">
        <v>102.0087</v>
      </c>
      <c r="BN216" s="33">
        <v>101.7272</v>
      </c>
      <c r="BO216" s="33">
        <v>13.4</v>
      </c>
      <c r="BP216" s="33">
        <v>8.1999999999999993</v>
      </c>
      <c r="BQ216" s="33">
        <v>-0.1</v>
      </c>
      <c r="BR216" s="33">
        <v>12.2</v>
      </c>
      <c r="BS216" s="33">
        <v>13.4</v>
      </c>
      <c r="BT216" s="33">
        <v>6.7</v>
      </c>
      <c r="BU216" s="33">
        <v>8.6</v>
      </c>
      <c r="BV216" s="33">
        <v>17.899999999999999</v>
      </c>
      <c r="BW216" s="33">
        <v>-4.0999999999999996</v>
      </c>
      <c r="BX216" s="33">
        <v>-9.9</v>
      </c>
      <c r="BY216" s="33">
        <v>-24.1</v>
      </c>
      <c r="BZ216" s="33">
        <v>107.6</v>
      </c>
      <c r="CA216" s="33">
        <v>-4.0999999999999996</v>
      </c>
      <c r="CB216" s="33">
        <v>-2.6</v>
      </c>
      <c r="CC216" s="33">
        <v>1.6</v>
      </c>
      <c r="CD216" s="33">
        <v>4</v>
      </c>
      <c r="CE216" s="33">
        <v>-3.6</v>
      </c>
      <c r="CF216" s="33">
        <v>50.3</v>
      </c>
      <c r="CG216" s="33">
        <v>55</v>
      </c>
      <c r="CH216" s="33">
        <v>0.1</v>
      </c>
      <c r="CI216" s="33">
        <v>-15.2</v>
      </c>
      <c r="CJ216" s="33">
        <v>-11.9</v>
      </c>
      <c r="CK216" s="33">
        <v>5.4</v>
      </c>
      <c r="CL216" s="33">
        <v>21.7</v>
      </c>
      <c r="CM216" s="33">
        <v>4220.6253040000001</v>
      </c>
      <c r="CN216" s="33">
        <v>13362.37</v>
      </c>
      <c r="CO216" s="33">
        <v>1454.616957</v>
      </c>
      <c r="CP216" s="33">
        <v>5.1970000000000001</v>
      </c>
      <c r="CQ216" s="33">
        <v>4.76</v>
      </c>
      <c r="CR216" s="33">
        <v>73.7</v>
      </c>
      <c r="CS216" s="121">
        <f t="shared" si="38"/>
        <v>22.049999999999997</v>
      </c>
      <c r="CT216" s="33">
        <v>112.2</v>
      </c>
      <c r="CU216" s="33">
        <v>103.8</v>
      </c>
      <c r="CV216" s="33">
        <v>120.8</v>
      </c>
      <c r="CW216" s="33">
        <v>115.7</v>
      </c>
      <c r="CX216" s="33">
        <v>95.1</v>
      </c>
      <c r="CY216" s="33">
        <v>6.27</v>
      </c>
      <c r="CZ216" s="33">
        <v>42010.273000000001</v>
      </c>
      <c r="DA216" s="33">
        <v>3.95</v>
      </c>
      <c r="DB216" s="33">
        <v>26.75</v>
      </c>
      <c r="DC216" s="33">
        <v>46.74</v>
      </c>
      <c r="DD216" s="33">
        <v>14.6</v>
      </c>
      <c r="DE216" s="33">
        <v>9824.5069999999996</v>
      </c>
      <c r="DF216" s="33">
        <v>2180.232</v>
      </c>
      <c r="DG216" s="33">
        <v>2634.7139999999999</v>
      </c>
      <c r="DH216" s="33">
        <v>1107.9369999999999</v>
      </c>
      <c r="DI216" s="33">
        <v>2702.12</v>
      </c>
      <c r="DJ216" s="33">
        <v>102.50060000000001</v>
      </c>
      <c r="DK216" s="33">
        <v>103.1641</v>
      </c>
      <c r="DL216" s="33">
        <v>104.7</v>
      </c>
      <c r="DM216" s="33">
        <v>105.9829</v>
      </c>
      <c r="DN216" s="33">
        <v>101.7272</v>
      </c>
      <c r="DO216" s="33">
        <v>102.0087</v>
      </c>
      <c r="DP216" s="33">
        <v>101.9186</v>
      </c>
      <c r="DQ216" s="33">
        <v>102.11020000000001</v>
      </c>
      <c r="DR216" s="33">
        <v>22260</v>
      </c>
      <c r="DS216" s="73">
        <v>27236</v>
      </c>
      <c r="DT216" s="73">
        <v>101.1</v>
      </c>
      <c r="DU216">
        <v>94.662857055664063</v>
      </c>
      <c r="DV216">
        <v>117.56629180908203</v>
      </c>
      <c r="DW216">
        <v>6993</v>
      </c>
      <c r="DX216">
        <v>103425</v>
      </c>
      <c r="DY216">
        <v>83.2</v>
      </c>
      <c r="DZ216" t="s">
        <v>312</v>
      </c>
    </row>
    <row r="217" spans="1:130" x14ac:dyDescent="0.25">
      <c r="A217" s="1">
        <v>39326</v>
      </c>
      <c r="B217" s="33">
        <v>100.2</v>
      </c>
      <c r="C217" s="107">
        <v>4.03</v>
      </c>
      <c r="D217" s="33">
        <v>4</v>
      </c>
      <c r="E217" s="33">
        <v>4.5</v>
      </c>
      <c r="F217" s="33">
        <v>4.09</v>
      </c>
      <c r="G217" s="33">
        <v>4.16</v>
      </c>
      <c r="H217" s="33">
        <v>4.22</v>
      </c>
      <c r="I217" s="33">
        <f t="shared" si="39"/>
        <v>0.1899999999999995</v>
      </c>
      <c r="J217" s="33">
        <f t="shared" si="40"/>
        <v>0.21999999999999975</v>
      </c>
      <c r="K217" s="33">
        <f t="shared" si="41"/>
        <v>-0.28000000000000025</v>
      </c>
      <c r="L217" s="33">
        <f t="shared" si="42"/>
        <v>-3.0000000000000249E-2</v>
      </c>
      <c r="M217" s="33">
        <v>101.2</v>
      </c>
      <c r="N217" s="33">
        <v>7648.58</v>
      </c>
      <c r="O217" s="33">
        <v>22.96</v>
      </c>
      <c r="P217" s="33">
        <v>789</v>
      </c>
      <c r="Q217" s="34">
        <f t="shared" si="43"/>
        <v>9.3042452830188687</v>
      </c>
      <c r="R217" s="60">
        <v>1663.4</v>
      </c>
      <c r="S217" s="34">
        <f t="shared" si="44"/>
        <v>1961.556603773585</v>
      </c>
      <c r="T217" s="60">
        <v>1792.6</v>
      </c>
      <c r="U217" s="34">
        <f t="shared" si="45"/>
        <v>2113.9150943396226</v>
      </c>
      <c r="V217" s="116">
        <v>294364</v>
      </c>
      <c r="W217" s="116">
        <v>3831681</v>
      </c>
      <c r="X217" s="117">
        <v>7161755</v>
      </c>
      <c r="Y217" s="117">
        <v>1256847</v>
      </c>
      <c r="Z217" s="33">
        <v>98.1</v>
      </c>
      <c r="AA217" s="33">
        <v>90.7</v>
      </c>
      <c r="AB217" s="33">
        <v>92.2</v>
      </c>
      <c r="AC217" s="33">
        <v>89.2</v>
      </c>
      <c r="AD217" s="33">
        <v>40369</v>
      </c>
      <c r="AE217" s="33">
        <v>8.6999999999999993</v>
      </c>
      <c r="AF217" s="33">
        <v>414</v>
      </c>
      <c r="AG217" s="33">
        <v>84.9</v>
      </c>
      <c r="AH217" s="33">
        <v>84.8</v>
      </c>
      <c r="AI217" s="33">
        <v>89.3</v>
      </c>
      <c r="AJ217" s="33">
        <v>86.9</v>
      </c>
      <c r="AK217" s="33">
        <v>190.12215599999999</v>
      </c>
      <c r="AL217" s="33">
        <v>69</v>
      </c>
      <c r="AM217" s="123">
        <v>49.316709230499455</v>
      </c>
      <c r="AN217" s="123">
        <v>103.80593109707428</v>
      </c>
      <c r="AO217" s="123">
        <v>84.423317331785995</v>
      </c>
      <c r="AP217" s="33">
        <v>55.19</v>
      </c>
      <c r="AQ217" s="33">
        <f t="shared" si="46"/>
        <v>0.61802911534154537</v>
      </c>
      <c r="AR217" s="33">
        <v>100.8</v>
      </c>
      <c r="AS217" s="33">
        <v>100.3</v>
      </c>
      <c r="AT217" s="33">
        <v>101.3</v>
      </c>
      <c r="AU217" s="33">
        <v>104.9</v>
      </c>
      <c r="AV217" s="65">
        <v>102.5</v>
      </c>
      <c r="AW217" s="33">
        <v>107.2</v>
      </c>
      <c r="AX217" s="33">
        <v>28</v>
      </c>
      <c r="AY217" s="33">
        <v>16.600000000000001</v>
      </c>
      <c r="AZ217" s="33">
        <v>25</v>
      </c>
      <c r="BA217" s="33">
        <v>10.6</v>
      </c>
      <c r="BB217" s="33">
        <v>96.3</v>
      </c>
      <c r="BC217" s="33">
        <v>95.9</v>
      </c>
      <c r="BD217" s="33">
        <v>96.8</v>
      </c>
      <c r="BE217" s="33">
        <v>74.400000000000006</v>
      </c>
      <c r="BF217" s="33">
        <v>-18.100000000000001</v>
      </c>
      <c r="BG217" s="33">
        <v>40.700000000000003</v>
      </c>
      <c r="BH217" s="33">
        <v>139.19999999999999</v>
      </c>
      <c r="BI217" s="33">
        <v>6.8</v>
      </c>
      <c r="BJ217" s="34">
        <v>54.867411150000002</v>
      </c>
      <c r="BK217" s="45">
        <v>-66.060200317611873</v>
      </c>
      <c r="BL217" s="33">
        <v>0.79500000000000004</v>
      </c>
      <c r="BM217" s="33">
        <v>101.9023</v>
      </c>
      <c r="BN217" s="33">
        <v>101.6358</v>
      </c>
      <c r="BO217" s="33">
        <v>11.8</v>
      </c>
      <c r="BP217" s="33">
        <v>7.5</v>
      </c>
      <c r="BQ217" s="33">
        <v>2.2000000000000002</v>
      </c>
      <c r="BR217" s="33">
        <v>13.8</v>
      </c>
      <c r="BS217" s="33">
        <v>12.5</v>
      </c>
      <c r="BT217" s="33">
        <v>6.8</v>
      </c>
      <c r="BU217" s="33">
        <v>7.8</v>
      </c>
      <c r="BV217" s="33">
        <v>14.6</v>
      </c>
      <c r="BW217" s="33">
        <v>-5.5</v>
      </c>
      <c r="BX217" s="33">
        <v>-12.8</v>
      </c>
      <c r="BY217" s="33">
        <v>-23.9</v>
      </c>
      <c r="BZ217" s="33">
        <v>105.6</v>
      </c>
      <c r="CA217" s="33">
        <v>-5.5</v>
      </c>
      <c r="CB217" s="33">
        <v>-2.5</v>
      </c>
      <c r="CC217" s="33">
        <v>0.1</v>
      </c>
      <c r="CD217" s="33">
        <v>0.4</v>
      </c>
      <c r="CE217" s="33">
        <v>-5.9</v>
      </c>
      <c r="CF217" s="33">
        <v>54.5</v>
      </c>
      <c r="CG217" s="33">
        <v>53.7</v>
      </c>
      <c r="CH217" s="33">
        <v>1.3</v>
      </c>
      <c r="CI217" s="33">
        <v>-18.100000000000001</v>
      </c>
      <c r="CJ217" s="33">
        <v>-13.8</v>
      </c>
      <c r="CK217" s="33">
        <v>6</v>
      </c>
      <c r="CL217" s="33">
        <v>22.5</v>
      </c>
      <c r="CM217" s="33">
        <v>4284.4279500000002</v>
      </c>
      <c r="CN217" s="33">
        <v>13357.74</v>
      </c>
      <c r="CO217" s="33">
        <v>1495.96</v>
      </c>
      <c r="CP217" s="33">
        <v>5.0730000000000004</v>
      </c>
      <c r="CQ217" s="33">
        <v>4.54</v>
      </c>
      <c r="CR217" s="33">
        <v>74.099999999999994</v>
      </c>
      <c r="CS217" s="121">
        <f t="shared" si="38"/>
        <v>24.25</v>
      </c>
      <c r="CT217" s="33">
        <v>109.6</v>
      </c>
      <c r="CU217" s="33">
        <v>103.3</v>
      </c>
      <c r="CV217" s="33">
        <v>120.8</v>
      </c>
      <c r="CW217" s="33">
        <v>114.8</v>
      </c>
      <c r="CX217" s="33">
        <v>95</v>
      </c>
      <c r="CY217" s="33">
        <v>6.31</v>
      </c>
      <c r="CZ217" s="33">
        <v>46650.027000000002</v>
      </c>
      <c r="DA217" s="33">
        <v>4.03</v>
      </c>
      <c r="DB217" s="33">
        <v>25.92</v>
      </c>
      <c r="DC217" s="33">
        <v>47.41</v>
      </c>
      <c r="DD217" s="33">
        <v>14.24</v>
      </c>
      <c r="DE217" s="33">
        <v>9404.2620000000006</v>
      </c>
      <c r="DF217" s="33">
        <v>1970.41</v>
      </c>
      <c r="DG217" s="33">
        <v>2415.4369999999999</v>
      </c>
      <c r="DH217" s="33">
        <v>1067.2329999999999</v>
      </c>
      <c r="DI217" s="33">
        <v>2710.422</v>
      </c>
      <c r="DJ217" s="33">
        <v>102.551</v>
      </c>
      <c r="DK217" s="33">
        <v>103.2319</v>
      </c>
      <c r="DL217" s="33">
        <v>104.86</v>
      </c>
      <c r="DM217" s="33">
        <v>106.1927</v>
      </c>
      <c r="DN217" s="33">
        <v>101.6358</v>
      </c>
      <c r="DO217" s="33">
        <v>101.9023</v>
      </c>
      <c r="DP217" s="33">
        <v>101.82040000000001</v>
      </c>
      <c r="DQ217" s="33">
        <v>102.0021</v>
      </c>
      <c r="DR217" s="33">
        <v>24140</v>
      </c>
      <c r="DS217" s="73">
        <v>27280</v>
      </c>
      <c r="DT217" s="73">
        <v>99.3</v>
      </c>
      <c r="DU217">
        <v>166.73320007324219</v>
      </c>
      <c r="DV217">
        <v>186.62086486816406</v>
      </c>
      <c r="DW217">
        <v>7783</v>
      </c>
      <c r="DX217">
        <v>139625</v>
      </c>
      <c r="DY217">
        <v>84</v>
      </c>
      <c r="DZ217" t="s">
        <v>312</v>
      </c>
    </row>
    <row r="218" spans="1:130" x14ac:dyDescent="0.25">
      <c r="A218" s="1">
        <v>39356</v>
      </c>
      <c r="B218" s="33">
        <v>100.2</v>
      </c>
      <c r="C218" s="107">
        <v>3.94</v>
      </c>
      <c r="D218" s="33">
        <v>4</v>
      </c>
      <c r="E218" s="33">
        <v>4.66</v>
      </c>
      <c r="F218" s="33">
        <v>4.1500000000000004</v>
      </c>
      <c r="G218" s="33">
        <v>4.21</v>
      </c>
      <c r="H218" s="33">
        <v>4.28</v>
      </c>
      <c r="I218" s="33">
        <f t="shared" si="39"/>
        <v>0.3400000000000003</v>
      </c>
      <c r="J218" s="33">
        <f t="shared" si="40"/>
        <v>0.28000000000000025</v>
      </c>
      <c r="K218" s="33">
        <f t="shared" si="41"/>
        <v>-0.37999999999999989</v>
      </c>
      <c r="L218" s="33">
        <f t="shared" si="42"/>
        <v>6.0000000000000053E-2</v>
      </c>
      <c r="M218" s="33">
        <v>101.7</v>
      </c>
      <c r="N218" s="33">
        <v>7922.42</v>
      </c>
      <c r="O218" s="33">
        <v>18.54</v>
      </c>
      <c r="P218" s="33">
        <v>779.4</v>
      </c>
      <c r="Q218" s="34">
        <f t="shared" si="43"/>
        <v>9.158636897767332</v>
      </c>
      <c r="R218" s="60">
        <v>1664.4</v>
      </c>
      <c r="S218" s="34">
        <f t="shared" si="44"/>
        <v>1955.8166862514693</v>
      </c>
      <c r="T218" s="60">
        <v>1790.1</v>
      </c>
      <c r="U218" s="34">
        <f t="shared" si="45"/>
        <v>2103.5252643948297</v>
      </c>
      <c r="V218" s="116">
        <v>299328</v>
      </c>
      <c r="W218" s="116">
        <v>3829110</v>
      </c>
      <c r="X218" s="117">
        <v>7267682</v>
      </c>
      <c r="Y218" s="117">
        <v>1273718</v>
      </c>
      <c r="Z218" s="33">
        <v>97.8</v>
      </c>
      <c r="AA218" s="33">
        <v>94.7</v>
      </c>
      <c r="AB218" s="33">
        <v>96.2</v>
      </c>
      <c r="AC218" s="33">
        <v>95.5</v>
      </c>
      <c r="AD218" s="33">
        <v>40452</v>
      </c>
      <c r="AE218" s="33">
        <v>8.6</v>
      </c>
      <c r="AF218" s="33">
        <v>412</v>
      </c>
      <c r="AG218" s="33">
        <v>85.2</v>
      </c>
      <c r="AH218" s="33">
        <v>85.1</v>
      </c>
      <c r="AI218" s="33">
        <v>90.4</v>
      </c>
      <c r="AJ218" s="33">
        <v>87</v>
      </c>
      <c r="AK218" s="33">
        <v>191.190258</v>
      </c>
      <c r="AL218" s="33">
        <v>68.5</v>
      </c>
      <c r="AM218" s="123">
        <v>50.125179873622393</v>
      </c>
      <c r="AN218" s="123">
        <v>109.52143623188341</v>
      </c>
      <c r="AO218" s="123">
        <v>86.267044951675558</v>
      </c>
      <c r="AP218" s="33">
        <v>57.97</v>
      </c>
      <c r="AQ218" s="33">
        <f t="shared" si="46"/>
        <v>0.64126106194690258</v>
      </c>
      <c r="AR218" s="33">
        <v>100.8</v>
      </c>
      <c r="AS218" s="33">
        <v>100</v>
      </c>
      <c r="AT218" s="33">
        <v>101.6</v>
      </c>
      <c r="AU218" s="33">
        <v>105.3</v>
      </c>
      <c r="AV218" s="65">
        <v>102.9</v>
      </c>
      <c r="AW218" s="33">
        <v>107.8</v>
      </c>
      <c r="AX218" s="33">
        <v>33.1</v>
      </c>
      <c r="AY218" s="33">
        <v>16.5</v>
      </c>
      <c r="AZ218" s="33">
        <v>24.1</v>
      </c>
      <c r="BA218" s="33">
        <v>10.8</v>
      </c>
      <c r="BB218" s="33">
        <v>93.3</v>
      </c>
      <c r="BC218" s="33">
        <v>92.4</v>
      </c>
      <c r="BD218" s="33">
        <v>94.2</v>
      </c>
      <c r="BE218" s="33">
        <v>70.2</v>
      </c>
      <c r="BF218" s="33">
        <v>-18.100000000000001</v>
      </c>
      <c r="BG218" s="33">
        <v>39.1</v>
      </c>
      <c r="BH218" s="33">
        <v>139</v>
      </c>
      <c r="BI218" s="33">
        <v>4</v>
      </c>
      <c r="BJ218" s="34">
        <v>51.66505883</v>
      </c>
      <c r="BK218" s="45">
        <v>-72.144510570243</v>
      </c>
      <c r="BL218" s="33">
        <v>0.69099999999999995</v>
      </c>
      <c r="BM218" s="33">
        <v>101.8087</v>
      </c>
      <c r="BN218" s="33">
        <v>101.55540000000001</v>
      </c>
      <c r="BO218" s="33">
        <v>11.3</v>
      </c>
      <c r="BP218" s="33">
        <v>8.1</v>
      </c>
      <c r="BQ218" s="33">
        <v>3.9</v>
      </c>
      <c r="BR218" s="33">
        <v>13.7</v>
      </c>
      <c r="BS218" s="33">
        <v>12.7</v>
      </c>
      <c r="BT218" s="33">
        <v>5.2</v>
      </c>
      <c r="BU218" s="33">
        <v>7</v>
      </c>
      <c r="BV218" s="33">
        <v>16.399999999999999</v>
      </c>
      <c r="BW218" s="33">
        <v>-5.5</v>
      </c>
      <c r="BX218" s="33">
        <v>-14</v>
      </c>
      <c r="BY218" s="33">
        <v>-23</v>
      </c>
      <c r="BZ218" s="33">
        <v>105.9</v>
      </c>
      <c r="CA218" s="33">
        <v>-5.5</v>
      </c>
      <c r="CB218" s="33">
        <v>-4</v>
      </c>
      <c r="CC218" s="33">
        <v>-0.3</v>
      </c>
      <c r="CD218" s="33">
        <v>-1</v>
      </c>
      <c r="CE218" s="33">
        <v>-6.4</v>
      </c>
      <c r="CF218" s="33">
        <v>62.2</v>
      </c>
      <c r="CG218" s="33">
        <v>50.6</v>
      </c>
      <c r="CH218" s="33">
        <v>0.3</v>
      </c>
      <c r="CI218" s="33">
        <v>-20.8</v>
      </c>
      <c r="CJ218" s="33">
        <v>-11.2</v>
      </c>
      <c r="CK218" s="33">
        <v>0.1</v>
      </c>
      <c r="CL218" s="33">
        <v>21.1</v>
      </c>
      <c r="CM218" s="33">
        <v>4430.7492169999996</v>
      </c>
      <c r="CN218" s="33">
        <v>14087.55</v>
      </c>
      <c r="CO218" s="33">
        <v>1539.658261</v>
      </c>
      <c r="CP218" s="33">
        <v>4.9870000000000001</v>
      </c>
      <c r="CQ218" s="33">
        <v>4.5599999999999996</v>
      </c>
      <c r="CR218" s="33">
        <v>70.099999999999994</v>
      </c>
      <c r="CS218" s="121">
        <f t="shared" si="38"/>
        <v>26.850000000000009</v>
      </c>
      <c r="CT218" s="33">
        <v>112</v>
      </c>
      <c r="CU218" s="33">
        <v>98.6</v>
      </c>
      <c r="CV218" s="33">
        <v>120.9</v>
      </c>
      <c r="CW218" s="33">
        <v>116.3</v>
      </c>
      <c r="CX218" s="33">
        <v>89.5</v>
      </c>
      <c r="CY218" s="33">
        <v>6.1</v>
      </c>
      <c r="CZ218" s="33">
        <v>51312.099000000002</v>
      </c>
      <c r="DA218" s="33">
        <v>3.67</v>
      </c>
      <c r="DB218" s="33">
        <v>26.45</v>
      </c>
      <c r="DC218" s="33">
        <v>47.54</v>
      </c>
      <c r="DD218" s="33">
        <v>14.47</v>
      </c>
      <c r="DE218" s="33">
        <v>10120.27</v>
      </c>
      <c r="DF218" s="33">
        <v>2115.4409999999998</v>
      </c>
      <c r="DG218" s="33">
        <v>2828.357</v>
      </c>
      <c r="DH218" s="33">
        <v>1286.58</v>
      </c>
      <c r="DI218" s="33">
        <v>2709.6959999999999</v>
      </c>
      <c r="DJ218" s="33">
        <v>102.514</v>
      </c>
      <c r="DK218" s="33">
        <v>103.1837</v>
      </c>
      <c r="DL218" s="33">
        <v>104.82</v>
      </c>
      <c r="DM218" s="33">
        <v>106.14019999999999</v>
      </c>
      <c r="DN218" s="33">
        <v>101.55540000000001</v>
      </c>
      <c r="DO218" s="33">
        <v>101.8087</v>
      </c>
      <c r="DP218" s="33">
        <v>101.7102</v>
      </c>
      <c r="DQ218" s="33">
        <v>101.8809</v>
      </c>
      <c r="DR218" s="33">
        <v>24707</v>
      </c>
      <c r="DS218" s="73">
        <v>27365</v>
      </c>
      <c r="DT218" s="73">
        <v>99.8</v>
      </c>
      <c r="DU218">
        <v>96.880455017089844</v>
      </c>
      <c r="DV218">
        <v>141.72016906738281</v>
      </c>
      <c r="DW218">
        <v>9537</v>
      </c>
      <c r="DX218">
        <v>130850</v>
      </c>
      <c r="DY218">
        <v>84.3</v>
      </c>
      <c r="DZ218" t="s">
        <v>312</v>
      </c>
    </row>
    <row r="219" spans="1:130" x14ac:dyDescent="0.25">
      <c r="A219" s="1">
        <v>39387</v>
      </c>
      <c r="B219" s="33">
        <v>100</v>
      </c>
      <c r="C219" s="107">
        <v>4.0199999999999996</v>
      </c>
      <c r="D219" s="33">
        <v>4</v>
      </c>
      <c r="E219" s="33">
        <v>4.6900000000000004</v>
      </c>
      <c r="F219" s="33">
        <v>3.92</v>
      </c>
      <c r="G219" s="33">
        <v>4</v>
      </c>
      <c r="H219" s="33">
        <v>4.09</v>
      </c>
      <c r="I219" s="33">
        <f t="shared" si="39"/>
        <v>7.0000000000000284E-2</v>
      </c>
      <c r="J219" s="33">
        <f t="shared" si="40"/>
        <v>8.9999999999999858E-2</v>
      </c>
      <c r="K219" s="33">
        <f t="shared" si="41"/>
        <v>-0.60000000000000053</v>
      </c>
      <c r="L219" s="33">
        <f t="shared" si="42"/>
        <v>-1.9999999999999574E-2</v>
      </c>
      <c r="M219" s="33">
        <v>102.6</v>
      </c>
      <c r="N219" s="33">
        <v>7880.85</v>
      </c>
      <c r="O219" s="33">
        <v>19.84</v>
      </c>
      <c r="P219" s="33">
        <v>789.4</v>
      </c>
      <c r="Q219" s="34">
        <f t="shared" si="43"/>
        <v>9.2435597189695535</v>
      </c>
      <c r="R219" s="60">
        <v>1684.5</v>
      </c>
      <c r="S219" s="34">
        <f t="shared" si="44"/>
        <v>1972.4824355971898</v>
      </c>
      <c r="T219" s="60">
        <v>1821.2</v>
      </c>
      <c r="U219" s="34">
        <f t="shared" si="45"/>
        <v>2132.5526932084308</v>
      </c>
      <c r="V219" s="116">
        <v>298096</v>
      </c>
      <c r="W219" s="116">
        <v>3854352</v>
      </c>
      <c r="X219" s="117">
        <v>7323179</v>
      </c>
      <c r="Y219" s="117">
        <v>1308318</v>
      </c>
      <c r="Z219" s="33">
        <v>97.6</v>
      </c>
      <c r="AA219" s="33">
        <v>96.4</v>
      </c>
      <c r="AB219" s="33">
        <v>92.3</v>
      </c>
      <c r="AC219" s="33">
        <v>95.8</v>
      </c>
      <c r="AD219" s="33">
        <v>40497</v>
      </c>
      <c r="AE219" s="33">
        <v>8.5</v>
      </c>
      <c r="AF219" s="33">
        <v>408</v>
      </c>
      <c r="AG219" s="33">
        <v>85.9</v>
      </c>
      <c r="AH219" s="33">
        <v>85.4</v>
      </c>
      <c r="AI219" s="33">
        <v>91.3</v>
      </c>
      <c r="AJ219" s="33">
        <v>87.2</v>
      </c>
      <c r="AK219" s="33">
        <v>192.614394</v>
      </c>
      <c r="AL219" s="33">
        <v>105.7</v>
      </c>
      <c r="AM219" s="123">
        <v>56.54227989325355</v>
      </c>
      <c r="AN219" s="123">
        <v>120.23986965266378</v>
      </c>
      <c r="AO219" s="123">
        <v>84.865088641518327</v>
      </c>
      <c r="AP219" s="33">
        <v>63.18</v>
      </c>
      <c r="AQ219" s="33">
        <f t="shared" si="46"/>
        <v>0.69200438116100771</v>
      </c>
      <c r="AR219" s="33">
        <v>100.3</v>
      </c>
      <c r="AS219" s="33">
        <v>99.8</v>
      </c>
      <c r="AT219" s="33">
        <v>100.8</v>
      </c>
      <c r="AU219" s="33">
        <v>104.8</v>
      </c>
      <c r="AV219" s="65">
        <v>102.2</v>
      </c>
      <c r="AW219" s="33">
        <v>107.5</v>
      </c>
      <c r="AX219" s="33">
        <v>33</v>
      </c>
      <c r="AY219" s="33">
        <v>27.7</v>
      </c>
      <c r="AZ219" s="33">
        <v>24</v>
      </c>
      <c r="BA219" s="33">
        <v>11.3</v>
      </c>
      <c r="BB219" s="33">
        <v>94.4</v>
      </c>
      <c r="BC219" s="33">
        <v>94.1</v>
      </c>
      <c r="BD219" s="33">
        <v>94.8</v>
      </c>
      <c r="BE219" s="33">
        <v>70</v>
      </c>
      <c r="BF219" s="33">
        <v>-32.5</v>
      </c>
      <c r="BG219" s="33">
        <v>24.1</v>
      </c>
      <c r="BH219" s="33">
        <v>139.30000000000001</v>
      </c>
      <c r="BI219" s="33">
        <v>6.3</v>
      </c>
      <c r="BJ219" s="34">
        <v>53.74244229</v>
      </c>
      <c r="BK219" s="45">
        <v>-72.460950401349038</v>
      </c>
      <c r="BL219" s="33">
        <v>0.63900000000000001</v>
      </c>
      <c r="BM219" s="33">
        <v>101.71680000000001</v>
      </c>
      <c r="BN219" s="33">
        <v>101.4765</v>
      </c>
      <c r="BO219" s="33">
        <v>10.5</v>
      </c>
      <c r="BP219" s="33">
        <v>7.2</v>
      </c>
      <c r="BQ219" s="33">
        <v>3.5</v>
      </c>
      <c r="BR219" s="33">
        <v>14.2</v>
      </c>
      <c r="BS219" s="33">
        <v>15</v>
      </c>
      <c r="BT219" s="33">
        <v>5.6</v>
      </c>
      <c r="BU219" s="33">
        <v>7.1</v>
      </c>
      <c r="BV219" s="33">
        <v>12.2</v>
      </c>
      <c r="BW219" s="33">
        <v>-7.8</v>
      </c>
      <c r="BX219" s="33">
        <v>-13</v>
      </c>
      <c r="BY219" s="33">
        <v>-24</v>
      </c>
      <c r="BZ219" s="33">
        <v>103.8</v>
      </c>
      <c r="CA219" s="33">
        <v>-7.8</v>
      </c>
      <c r="CB219" s="33">
        <v>-5.6</v>
      </c>
      <c r="CC219" s="33">
        <v>-0.5</v>
      </c>
      <c r="CD219" s="33">
        <v>-2.1</v>
      </c>
      <c r="CE219" s="33">
        <v>-9.8000000000000007</v>
      </c>
      <c r="CF219" s="33">
        <v>65.599999999999994</v>
      </c>
      <c r="CG219" s="33">
        <v>50.1</v>
      </c>
      <c r="CH219" s="33">
        <v>-0.3</v>
      </c>
      <c r="CI219" s="33">
        <v>-26</v>
      </c>
      <c r="CJ219" s="33">
        <v>-15.3</v>
      </c>
      <c r="CK219" s="33">
        <v>2.2000000000000002</v>
      </c>
      <c r="CL219" s="33">
        <v>20.9</v>
      </c>
      <c r="CM219" s="33">
        <v>4314.8762729999999</v>
      </c>
      <c r="CN219" s="33">
        <v>13567.87</v>
      </c>
      <c r="CO219" s="33">
        <v>1461.2663640000001</v>
      </c>
      <c r="CP219" s="33">
        <v>4.915</v>
      </c>
      <c r="CQ219" s="33">
        <v>4.3600000000000003</v>
      </c>
      <c r="CR219" s="33">
        <v>66.2</v>
      </c>
      <c r="CS219" s="121">
        <f t="shared" si="38"/>
        <v>24.450000000000003</v>
      </c>
      <c r="CT219" s="33">
        <v>112.2</v>
      </c>
      <c r="CU219" s="33">
        <v>98.9</v>
      </c>
      <c r="CV219" s="33">
        <v>121.7</v>
      </c>
      <c r="CW219" s="33">
        <v>115.4</v>
      </c>
      <c r="CX219" s="33">
        <v>96.6</v>
      </c>
      <c r="CY219" s="33">
        <v>6.06</v>
      </c>
      <c r="CZ219" s="33">
        <v>50314.527000000002</v>
      </c>
      <c r="DA219" s="33">
        <v>3.8</v>
      </c>
      <c r="DB219" s="33">
        <v>25.53</v>
      </c>
      <c r="DC219" s="33">
        <v>47.05</v>
      </c>
      <c r="DD219" s="33">
        <v>14.67</v>
      </c>
      <c r="DE219" s="33">
        <v>10323.788</v>
      </c>
      <c r="DF219" s="33">
        <v>2126.8969999999999</v>
      </c>
      <c r="DG219" s="33">
        <v>2778.4989999999998</v>
      </c>
      <c r="DH219" s="33">
        <v>1061.8979999999999</v>
      </c>
      <c r="DI219" s="33">
        <v>2752.6089999999999</v>
      </c>
      <c r="DJ219" s="33">
        <v>102.367</v>
      </c>
      <c r="DK219" s="33">
        <v>102.9909</v>
      </c>
      <c r="DL219" s="33">
        <v>104.53</v>
      </c>
      <c r="DM219" s="33">
        <v>105.77209999999999</v>
      </c>
      <c r="DN219" s="33">
        <v>101.4765</v>
      </c>
      <c r="DO219" s="33">
        <v>101.71680000000001</v>
      </c>
      <c r="DP219" s="33">
        <v>101.5928</v>
      </c>
      <c r="DQ219" s="33">
        <v>101.7518</v>
      </c>
      <c r="DR219" s="33">
        <v>26057</v>
      </c>
      <c r="DS219" s="73">
        <v>27406</v>
      </c>
      <c r="DT219" s="73">
        <v>100.7</v>
      </c>
      <c r="DU219">
        <v>97.737335205078125</v>
      </c>
      <c r="DV219">
        <v>88.442466735839844</v>
      </c>
      <c r="DW219">
        <v>10581</v>
      </c>
      <c r="DX219">
        <v>168425</v>
      </c>
      <c r="DY219">
        <v>84.1</v>
      </c>
      <c r="DZ219" t="s">
        <v>312</v>
      </c>
    </row>
    <row r="220" spans="1:130" x14ac:dyDescent="0.25">
      <c r="A220" s="1">
        <v>39417</v>
      </c>
      <c r="B220" s="33">
        <v>100.7</v>
      </c>
      <c r="C220" s="107">
        <v>3.88</v>
      </c>
      <c r="D220" s="33">
        <v>4</v>
      </c>
      <c r="E220" s="33">
        <v>4.7300000000000004</v>
      </c>
      <c r="F220" s="33">
        <v>4.0199999999999996</v>
      </c>
      <c r="G220" s="33">
        <v>4.1100000000000003</v>
      </c>
      <c r="H220" s="33">
        <v>4.21</v>
      </c>
      <c r="I220" s="33">
        <f t="shared" si="39"/>
        <v>0.33000000000000007</v>
      </c>
      <c r="J220" s="33">
        <f t="shared" si="40"/>
        <v>0.20999999999999996</v>
      </c>
      <c r="K220" s="33">
        <f t="shared" si="41"/>
        <v>-0.52000000000000046</v>
      </c>
      <c r="L220" s="33">
        <f t="shared" si="42"/>
        <v>0.12000000000000011</v>
      </c>
      <c r="M220" s="33">
        <v>102.3</v>
      </c>
      <c r="N220" s="33">
        <v>7837.26</v>
      </c>
      <c r="O220" s="33">
        <v>19.48</v>
      </c>
      <c r="P220" s="33">
        <v>786.3</v>
      </c>
      <c r="Q220" s="34">
        <f t="shared" si="43"/>
        <v>9.2072599531615911</v>
      </c>
      <c r="R220" s="60">
        <v>1717.5</v>
      </c>
      <c r="S220" s="34">
        <f t="shared" si="44"/>
        <v>2011.1241217798593</v>
      </c>
      <c r="T220" s="60">
        <v>1847.3</v>
      </c>
      <c r="U220" s="34">
        <f t="shared" si="45"/>
        <v>2163.1147540983607</v>
      </c>
      <c r="V220" s="116">
        <v>315196</v>
      </c>
      <c r="W220" s="116">
        <v>3839555</v>
      </c>
      <c r="X220" s="117">
        <v>7356073</v>
      </c>
      <c r="Y220" s="117">
        <v>1291886</v>
      </c>
      <c r="Z220" s="33">
        <v>100</v>
      </c>
      <c r="AA220" s="33">
        <v>95.4</v>
      </c>
      <c r="AB220" s="33">
        <v>91</v>
      </c>
      <c r="AC220" s="33">
        <v>95.2</v>
      </c>
      <c r="AD220" s="33">
        <v>40519</v>
      </c>
      <c r="AE220" s="33">
        <v>8.4</v>
      </c>
      <c r="AF220" s="33">
        <v>405</v>
      </c>
      <c r="AG220" s="33">
        <v>85.8</v>
      </c>
      <c r="AH220" s="33">
        <v>85.4</v>
      </c>
      <c r="AI220" s="33">
        <v>91.3</v>
      </c>
      <c r="AJ220" s="33">
        <v>87.3</v>
      </c>
      <c r="AK220" s="33">
        <v>192.43637699999999</v>
      </c>
      <c r="AL220" s="33">
        <v>70</v>
      </c>
      <c r="AM220" s="123">
        <v>54.446684070167976</v>
      </c>
      <c r="AN220" s="123">
        <v>119.14011474730405</v>
      </c>
      <c r="AO220" s="123">
        <v>82.915234307304019</v>
      </c>
      <c r="AP220" s="33">
        <v>62.91</v>
      </c>
      <c r="AQ220" s="33">
        <f t="shared" si="46"/>
        <v>0.68904709748083237</v>
      </c>
      <c r="AR220" s="33">
        <v>99.1</v>
      </c>
      <c r="AS220" s="33">
        <v>98.9</v>
      </c>
      <c r="AT220" s="33">
        <v>99.2</v>
      </c>
      <c r="AU220" s="33">
        <v>103.8</v>
      </c>
      <c r="AV220" s="65">
        <v>100.9</v>
      </c>
      <c r="AW220" s="33">
        <v>106.8</v>
      </c>
      <c r="AX220" s="33">
        <v>31.1</v>
      </c>
      <c r="AY220" s="33">
        <v>24.1</v>
      </c>
      <c r="AZ220" s="33">
        <v>21.5</v>
      </c>
      <c r="BA220" s="33">
        <v>10.5</v>
      </c>
      <c r="BB220" s="33">
        <v>93.1</v>
      </c>
      <c r="BC220" s="33">
        <v>93.7</v>
      </c>
      <c r="BD220" s="33">
        <v>92.5</v>
      </c>
      <c r="BE220" s="33">
        <v>63.5</v>
      </c>
      <c r="BF220" s="33">
        <v>-37.200000000000003</v>
      </c>
      <c r="BG220" s="33">
        <v>23.6</v>
      </c>
      <c r="BH220" s="33">
        <v>141.1</v>
      </c>
      <c r="BI220" s="33">
        <v>21.9</v>
      </c>
      <c r="BJ220" s="34">
        <v>53.589422210000002</v>
      </c>
      <c r="BK220" s="45">
        <v>-72.475934709591854</v>
      </c>
      <c r="BL220" s="33">
        <v>0.61</v>
      </c>
      <c r="BM220" s="33">
        <v>101.61879999999999</v>
      </c>
      <c r="BN220" s="33">
        <v>101.3922</v>
      </c>
      <c r="BO220" s="33">
        <v>12</v>
      </c>
      <c r="BP220" s="33">
        <v>7.6</v>
      </c>
      <c r="BQ220" s="33">
        <v>4.5</v>
      </c>
      <c r="BR220" s="33">
        <v>13.2</v>
      </c>
      <c r="BS220" s="33">
        <v>16.100000000000001</v>
      </c>
      <c r="BT220" s="33">
        <v>7.3</v>
      </c>
      <c r="BU220" s="33">
        <v>6.9</v>
      </c>
      <c r="BV220" s="33">
        <v>12.7</v>
      </c>
      <c r="BW220" s="33">
        <v>-7.7</v>
      </c>
      <c r="BX220" s="33">
        <v>-20.3</v>
      </c>
      <c r="BY220" s="33">
        <v>-22.8</v>
      </c>
      <c r="BZ220" s="33">
        <v>103.6</v>
      </c>
      <c r="CA220" s="33">
        <v>-7.7</v>
      </c>
      <c r="CB220" s="33">
        <v>-5.5</v>
      </c>
      <c r="CC220" s="33">
        <v>-1</v>
      </c>
      <c r="CD220" s="33">
        <v>-3.8</v>
      </c>
      <c r="CE220" s="33">
        <v>-10.6</v>
      </c>
      <c r="CF220" s="33">
        <v>67.900000000000006</v>
      </c>
      <c r="CG220" s="33">
        <v>42.7</v>
      </c>
      <c r="CH220" s="33">
        <v>0.5</v>
      </c>
      <c r="CI220" s="33">
        <v>-21.1</v>
      </c>
      <c r="CJ220" s="33">
        <v>-13.6</v>
      </c>
      <c r="CK220" s="33">
        <v>4.5999999999999996</v>
      </c>
      <c r="CL220" s="33">
        <v>21.7</v>
      </c>
      <c r="CM220" s="33">
        <v>4386.0430480000005</v>
      </c>
      <c r="CN220" s="33">
        <v>13314.57</v>
      </c>
      <c r="CO220" s="33">
        <v>1480.0480950000001</v>
      </c>
      <c r="CP220" s="33">
        <v>4.58</v>
      </c>
      <c r="CQ220" s="33">
        <v>3.89</v>
      </c>
      <c r="CR220" s="33">
        <v>65.599999999999994</v>
      </c>
      <c r="CS220" s="121">
        <f t="shared" si="38"/>
        <v>24.25</v>
      </c>
      <c r="CT220" s="33">
        <v>110.3</v>
      </c>
      <c r="CU220" s="33">
        <v>99.3</v>
      </c>
      <c r="CV220" s="33">
        <v>121.7</v>
      </c>
      <c r="CW220" s="33">
        <v>112.6</v>
      </c>
      <c r="CX220" s="33">
        <v>96.6</v>
      </c>
      <c r="CY220" s="33">
        <v>6.23</v>
      </c>
      <c r="CZ220" s="33">
        <v>41783.54</v>
      </c>
      <c r="DA220" s="33">
        <v>3.75</v>
      </c>
      <c r="DB220" s="33">
        <v>26.06</v>
      </c>
      <c r="DC220" s="33">
        <v>47.55</v>
      </c>
      <c r="DD220" s="33">
        <v>14.98</v>
      </c>
      <c r="DE220" s="33">
        <v>8919.4240000000009</v>
      </c>
      <c r="DF220" s="33">
        <v>2030.7750000000001</v>
      </c>
      <c r="DG220" s="33">
        <v>2278.23</v>
      </c>
      <c r="DH220" s="33">
        <v>907.53399999999999</v>
      </c>
      <c r="DI220" s="33">
        <v>2506.681</v>
      </c>
      <c r="DJ220" s="33">
        <v>102.1125</v>
      </c>
      <c r="DK220" s="33">
        <v>102.65770000000001</v>
      </c>
      <c r="DL220" s="33">
        <v>104.02</v>
      </c>
      <c r="DM220" s="33">
        <v>105.1126</v>
      </c>
      <c r="DN220" s="33">
        <v>101.3922</v>
      </c>
      <c r="DO220" s="33">
        <v>101.61879999999999</v>
      </c>
      <c r="DP220" s="33">
        <v>101.479</v>
      </c>
      <c r="DQ220" s="33">
        <v>101.62649999999999</v>
      </c>
      <c r="DR220" s="33">
        <v>14215</v>
      </c>
      <c r="DS220" s="73">
        <v>27450</v>
      </c>
      <c r="DT220" s="73">
        <v>99.4</v>
      </c>
      <c r="DU220">
        <v>98.014732360839844</v>
      </c>
      <c r="DV220">
        <v>116.04005432128906</v>
      </c>
      <c r="DW220">
        <v>10270</v>
      </c>
      <c r="DX220">
        <v>188175</v>
      </c>
      <c r="DY220">
        <v>85.3</v>
      </c>
      <c r="DZ220" t="s">
        <v>312</v>
      </c>
    </row>
    <row r="221" spans="1:130" x14ac:dyDescent="0.25">
      <c r="A221" s="1">
        <v>39448</v>
      </c>
      <c r="B221" s="33">
        <v>102.3</v>
      </c>
      <c r="C221" s="107">
        <v>4.0199999999999996</v>
      </c>
      <c r="D221" s="33">
        <v>4</v>
      </c>
      <c r="E221" s="33">
        <v>4.66</v>
      </c>
      <c r="F221" s="33">
        <v>3.72</v>
      </c>
      <c r="G221" s="33">
        <v>3.87</v>
      </c>
      <c r="H221" s="33">
        <v>4.03</v>
      </c>
      <c r="I221" s="33">
        <f t="shared" si="39"/>
        <v>1.0000000000000675E-2</v>
      </c>
      <c r="J221" s="33">
        <f t="shared" si="40"/>
        <v>3.0000000000000249E-2</v>
      </c>
      <c r="K221" s="33">
        <f t="shared" si="41"/>
        <v>-0.62999999999999989</v>
      </c>
      <c r="L221" s="33">
        <f t="shared" si="42"/>
        <v>-1.9999999999999574E-2</v>
      </c>
      <c r="M221" s="33">
        <v>102.4</v>
      </c>
      <c r="N221" s="33">
        <v>8067.32</v>
      </c>
      <c r="O221" s="33">
        <v>17.41</v>
      </c>
      <c r="P221" s="33">
        <v>790.9</v>
      </c>
      <c r="Q221" s="34">
        <f t="shared" si="43"/>
        <v>9.2394859813084107</v>
      </c>
      <c r="R221" s="60">
        <v>1727.5</v>
      </c>
      <c r="S221" s="34">
        <f t="shared" si="44"/>
        <v>2018.1074766355141</v>
      </c>
      <c r="T221" s="60">
        <v>1871</v>
      </c>
      <c r="U221" s="34">
        <f t="shared" si="45"/>
        <v>2185.7476635514017</v>
      </c>
      <c r="V221" s="116">
        <v>315171</v>
      </c>
      <c r="W221" s="116">
        <v>3852397</v>
      </c>
      <c r="X221" s="117">
        <v>7440745</v>
      </c>
      <c r="Y221" s="117">
        <v>1352293</v>
      </c>
      <c r="Z221" s="33">
        <v>99.6</v>
      </c>
      <c r="AA221" s="33">
        <v>93.1</v>
      </c>
      <c r="AB221" s="33">
        <v>91.1</v>
      </c>
      <c r="AC221" s="33">
        <v>93.5</v>
      </c>
      <c r="AD221" s="33">
        <v>40715</v>
      </c>
      <c r="AE221" s="33">
        <v>8.1999999999999993</v>
      </c>
      <c r="AF221" s="33">
        <v>400</v>
      </c>
      <c r="AG221" s="33">
        <v>86.1</v>
      </c>
      <c r="AH221" s="33">
        <v>85.6</v>
      </c>
      <c r="AI221" s="33">
        <v>92</v>
      </c>
      <c r="AJ221" s="33">
        <v>87.8</v>
      </c>
      <c r="AK221" s="33">
        <v>193.860513</v>
      </c>
      <c r="AL221" s="33">
        <v>69.3</v>
      </c>
      <c r="AM221" s="123">
        <v>58.711891934977281</v>
      </c>
      <c r="AN221" s="123">
        <v>119.6603772571176</v>
      </c>
      <c r="AO221" s="123">
        <v>84.366492784094632</v>
      </c>
      <c r="AP221" s="33">
        <v>62.59</v>
      </c>
      <c r="AQ221" s="33">
        <f t="shared" si="46"/>
        <v>0.68032608695652175</v>
      </c>
      <c r="AR221" s="33">
        <v>99.3</v>
      </c>
      <c r="AS221" s="33">
        <v>97.6</v>
      </c>
      <c r="AT221" s="33">
        <v>101.1</v>
      </c>
      <c r="AU221" s="33">
        <v>103.4</v>
      </c>
      <c r="AV221" s="65">
        <v>99.3</v>
      </c>
      <c r="AW221" s="33">
        <v>107.7</v>
      </c>
      <c r="AX221" s="33">
        <v>29.8</v>
      </c>
      <c r="AY221" s="33">
        <v>21</v>
      </c>
      <c r="AZ221" s="33">
        <v>16.2</v>
      </c>
      <c r="BA221" s="33">
        <v>6.7</v>
      </c>
      <c r="BB221" s="33">
        <v>94.8</v>
      </c>
      <c r="BC221" s="33">
        <v>93.2</v>
      </c>
      <c r="BD221" s="33">
        <v>96.5</v>
      </c>
      <c r="BE221" s="33">
        <v>56.6</v>
      </c>
      <c r="BF221" s="33">
        <v>-41.6</v>
      </c>
      <c r="BG221" s="33">
        <v>28.7</v>
      </c>
      <c r="BH221" s="33">
        <v>139.6</v>
      </c>
      <c r="BI221" s="33">
        <v>25.8</v>
      </c>
      <c r="BJ221" s="34">
        <v>54.426088219999997</v>
      </c>
      <c r="BK221" s="45">
        <v>-63.979754498530056</v>
      </c>
      <c r="BL221" s="33">
        <v>0.52400000000000002</v>
      </c>
      <c r="BM221" s="33">
        <v>101.5047</v>
      </c>
      <c r="BN221" s="33">
        <v>101.2942</v>
      </c>
      <c r="BO221" s="33">
        <v>9</v>
      </c>
      <c r="BP221" s="33">
        <v>4.5</v>
      </c>
      <c r="BQ221" s="33">
        <v>4.3</v>
      </c>
      <c r="BR221" s="33">
        <v>10.8</v>
      </c>
      <c r="BS221" s="33">
        <v>17.600000000000001</v>
      </c>
      <c r="BT221" s="33">
        <v>3.1</v>
      </c>
      <c r="BU221" s="33">
        <v>5.0999999999999996</v>
      </c>
      <c r="BV221" s="33">
        <v>12.5</v>
      </c>
      <c r="BW221" s="33">
        <v>-8.1</v>
      </c>
      <c r="BX221" s="33">
        <v>-20.2</v>
      </c>
      <c r="BY221" s="33">
        <v>-21.6</v>
      </c>
      <c r="BZ221" s="33">
        <v>102.9</v>
      </c>
      <c r="CA221" s="33">
        <v>-8.1</v>
      </c>
      <c r="CB221" s="33">
        <v>-5.5</v>
      </c>
      <c r="CC221" s="33">
        <v>-0.7</v>
      </c>
      <c r="CD221" s="33">
        <v>-2.5</v>
      </c>
      <c r="CE221" s="33">
        <v>-11.1</v>
      </c>
      <c r="CF221" s="33">
        <v>65</v>
      </c>
      <c r="CG221" s="33">
        <v>43.5</v>
      </c>
      <c r="CH221" s="33">
        <v>2.2999999999999998</v>
      </c>
      <c r="CI221" s="33">
        <v>-22.5</v>
      </c>
      <c r="CJ221" s="33">
        <v>-15.3</v>
      </c>
      <c r="CK221" s="33">
        <v>1.7</v>
      </c>
      <c r="CL221" s="33">
        <v>20.5</v>
      </c>
      <c r="CM221" s="33">
        <v>4042.085826</v>
      </c>
      <c r="CN221" s="33">
        <v>13264.82</v>
      </c>
      <c r="CO221" s="33">
        <v>1380.329565</v>
      </c>
      <c r="CP221" s="33">
        <v>4.5069999999999997</v>
      </c>
      <c r="CQ221" s="33">
        <v>4.04</v>
      </c>
      <c r="CR221" s="33">
        <v>68.099999999999994</v>
      </c>
      <c r="CS221" s="121">
        <f t="shared" si="38"/>
        <v>26.150000000000006</v>
      </c>
      <c r="CT221" s="33">
        <v>109</v>
      </c>
      <c r="CU221" s="33">
        <v>95.5</v>
      </c>
      <c r="CV221" s="33">
        <v>121.5</v>
      </c>
      <c r="CW221" s="33">
        <v>114.5</v>
      </c>
      <c r="CX221" s="33">
        <v>91.4</v>
      </c>
      <c r="CY221" s="33">
        <v>6.81</v>
      </c>
      <c r="CZ221" s="33">
        <v>47861.266000000003</v>
      </c>
      <c r="DA221" s="33">
        <v>3.71</v>
      </c>
      <c r="DB221" s="33">
        <v>27.12</v>
      </c>
      <c r="DC221" s="33">
        <v>48.21</v>
      </c>
      <c r="DD221" s="33">
        <v>14.79</v>
      </c>
      <c r="DE221" s="33">
        <v>10147.036</v>
      </c>
      <c r="DF221" s="33">
        <v>2122.9540000000002</v>
      </c>
      <c r="DG221" s="33">
        <v>2361.34</v>
      </c>
      <c r="DH221" s="33">
        <v>1208.376</v>
      </c>
      <c r="DI221" s="33">
        <v>2725.8040000000001</v>
      </c>
      <c r="DJ221" s="33">
        <v>101.76</v>
      </c>
      <c r="DK221" s="33">
        <v>102.197</v>
      </c>
      <c r="DL221" s="33">
        <v>103.3</v>
      </c>
      <c r="DM221" s="33">
        <v>104.2052</v>
      </c>
      <c r="DN221" s="33">
        <v>101.2942</v>
      </c>
      <c r="DO221" s="33">
        <v>101.5047</v>
      </c>
      <c r="DP221" s="33">
        <v>101.3595</v>
      </c>
      <c r="DQ221" s="33">
        <v>101.49509999999999</v>
      </c>
      <c r="DR221" s="33">
        <v>24939</v>
      </c>
      <c r="DS221" s="73">
        <v>27567</v>
      </c>
      <c r="DT221" s="73">
        <v>98.9</v>
      </c>
      <c r="DU221">
        <v>160.25904846191406</v>
      </c>
      <c r="DV221">
        <v>186.53909301757813</v>
      </c>
      <c r="DW221">
        <v>9143</v>
      </c>
      <c r="DX221">
        <v>198925</v>
      </c>
      <c r="DY221">
        <v>87.1</v>
      </c>
      <c r="DZ221" t="s">
        <v>312</v>
      </c>
    </row>
    <row r="222" spans="1:130" x14ac:dyDescent="0.25">
      <c r="A222" s="1">
        <v>39479</v>
      </c>
      <c r="B222" s="33">
        <v>101.8</v>
      </c>
      <c r="C222" s="107">
        <v>4.03</v>
      </c>
      <c r="D222" s="33">
        <v>4</v>
      </c>
      <c r="E222" s="33">
        <v>4.5599999999999996</v>
      </c>
      <c r="F222" s="33">
        <v>3.45</v>
      </c>
      <c r="G222" s="33">
        <v>3.68</v>
      </c>
      <c r="H222" s="33">
        <v>3.95</v>
      </c>
      <c r="I222" s="33">
        <f t="shared" si="39"/>
        <v>-8.0000000000000071E-2</v>
      </c>
      <c r="J222" s="33">
        <f t="shared" si="40"/>
        <v>-4.9999999999999822E-2</v>
      </c>
      <c r="K222" s="33">
        <f t="shared" si="41"/>
        <v>-0.60999999999999943</v>
      </c>
      <c r="L222" s="33">
        <f t="shared" si="42"/>
        <v>-3.0000000000000249E-2</v>
      </c>
      <c r="M222" s="33">
        <v>102.3</v>
      </c>
      <c r="N222" s="33">
        <v>6968.67</v>
      </c>
      <c r="O222" s="33">
        <v>26.9</v>
      </c>
      <c r="P222" s="33">
        <v>789</v>
      </c>
      <c r="Q222" s="34">
        <f t="shared" si="43"/>
        <v>9.2172897196261694</v>
      </c>
      <c r="R222" s="60">
        <v>1747.1</v>
      </c>
      <c r="S222" s="34">
        <f t="shared" si="44"/>
        <v>2041.0046728971963</v>
      </c>
      <c r="T222" s="60">
        <v>1891</v>
      </c>
      <c r="U222" s="34">
        <f t="shared" si="45"/>
        <v>2209.1121495327106</v>
      </c>
      <c r="V222" s="116">
        <v>323466</v>
      </c>
      <c r="W222" s="116">
        <v>3845184</v>
      </c>
      <c r="X222" s="117">
        <v>7505318</v>
      </c>
      <c r="Y222" s="117">
        <v>1338011</v>
      </c>
      <c r="Z222" s="33">
        <v>100.4</v>
      </c>
      <c r="AA222" s="33">
        <v>93.4</v>
      </c>
      <c r="AB222" s="33">
        <v>90.8</v>
      </c>
      <c r="AC222" s="33">
        <v>94.3</v>
      </c>
      <c r="AD222" s="33">
        <v>40762</v>
      </c>
      <c r="AE222" s="33">
        <v>8</v>
      </c>
      <c r="AF222" s="33">
        <v>396</v>
      </c>
      <c r="AG222" s="33">
        <v>86.2</v>
      </c>
      <c r="AH222" s="33">
        <v>85.6</v>
      </c>
      <c r="AI222" s="33">
        <v>92.8</v>
      </c>
      <c r="AJ222" s="33">
        <v>88</v>
      </c>
      <c r="AK222" s="33">
        <v>194.92861500000001</v>
      </c>
      <c r="AL222" s="33">
        <v>69.400000000000006</v>
      </c>
      <c r="AM222" s="123">
        <v>57.558338502650507</v>
      </c>
      <c r="AN222" s="123">
        <v>125.15577621265147</v>
      </c>
      <c r="AO222" s="123">
        <v>94.605662578371593</v>
      </c>
      <c r="AP222" s="33">
        <v>64.209999999999994</v>
      </c>
      <c r="AQ222" s="33">
        <f t="shared" si="46"/>
        <v>0.69191810344827587</v>
      </c>
      <c r="AR222" s="33">
        <v>98.8</v>
      </c>
      <c r="AS222" s="33">
        <v>97.4</v>
      </c>
      <c r="AT222" s="33">
        <v>100.3</v>
      </c>
      <c r="AU222" s="33">
        <v>102.1</v>
      </c>
      <c r="AV222" s="65">
        <v>98.7</v>
      </c>
      <c r="AW222" s="33">
        <v>105.6</v>
      </c>
      <c r="AX222" s="33">
        <v>27.8</v>
      </c>
      <c r="AY222" s="33">
        <v>12.9</v>
      </c>
      <c r="AZ222" s="33">
        <v>17.5</v>
      </c>
      <c r="BA222" s="33">
        <v>5</v>
      </c>
      <c r="BB222" s="33">
        <v>96.6</v>
      </c>
      <c r="BC222" s="33">
        <v>94.7</v>
      </c>
      <c r="BD222" s="33">
        <v>98.6</v>
      </c>
      <c r="BE222" s="33">
        <v>33.700000000000003</v>
      </c>
      <c r="BF222" s="33">
        <v>-39.5</v>
      </c>
      <c r="BG222" s="33">
        <v>14.6</v>
      </c>
      <c r="BH222" s="33">
        <v>138</v>
      </c>
      <c r="BI222" s="33">
        <v>25.7</v>
      </c>
      <c r="BJ222" s="34">
        <v>54.280162599999997</v>
      </c>
      <c r="BK222" s="45">
        <v>-61.673672557767226</v>
      </c>
      <c r="BL222" s="33">
        <v>0.371</v>
      </c>
      <c r="BM222" s="33">
        <v>101.34990000000001</v>
      </c>
      <c r="BN222" s="33">
        <v>101.16119999999999</v>
      </c>
      <c r="BO222" s="33">
        <v>9.3000000000000007</v>
      </c>
      <c r="BP222" s="33">
        <v>4.5999999999999996</v>
      </c>
      <c r="BQ222" s="33">
        <v>3.2</v>
      </c>
      <c r="BR222" s="33">
        <v>9.6999999999999993</v>
      </c>
      <c r="BS222" s="33">
        <v>14.1</v>
      </c>
      <c r="BT222" s="33">
        <v>2.2000000000000002</v>
      </c>
      <c r="BU222" s="33">
        <v>5.3</v>
      </c>
      <c r="BV222" s="33">
        <v>12.9</v>
      </c>
      <c r="BW222" s="33">
        <v>-8.9</v>
      </c>
      <c r="BX222" s="33">
        <v>-11.4</v>
      </c>
      <c r="BY222" s="33">
        <v>-25.7</v>
      </c>
      <c r="BZ222" s="33">
        <v>103.1</v>
      </c>
      <c r="CA222" s="33">
        <v>-8.9</v>
      </c>
      <c r="CB222" s="33">
        <v>-6.4</v>
      </c>
      <c r="CC222" s="33">
        <v>0.4</v>
      </c>
      <c r="CD222" s="33">
        <v>-6.8</v>
      </c>
      <c r="CE222" s="33">
        <v>-14.7</v>
      </c>
      <c r="CF222" s="33">
        <v>62.8</v>
      </c>
      <c r="CG222" s="33">
        <v>41.2</v>
      </c>
      <c r="CH222" s="33">
        <v>4.3</v>
      </c>
      <c r="CI222" s="33">
        <v>-22.5</v>
      </c>
      <c r="CJ222" s="33">
        <v>-14.8</v>
      </c>
      <c r="CK222" s="33">
        <v>1</v>
      </c>
      <c r="CL222" s="33">
        <v>21.1</v>
      </c>
      <c r="CM222" s="33">
        <v>3776.5829050000002</v>
      </c>
      <c r="CN222" s="33">
        <v>12743.19</v>
      </c>
      <c r="CO222" s="33">
        <v>1354.64</v>
      </c>
      <c r="CP222" s="33">
        <v>4.47</v>
      </c>
      <c r="CQ222" s="33">
        <v>3.62</v>
      </c>
      <c r="CR222" s="33">
        <v>62.4</v>
      </c>
      <c r="CS222" s="121">
        <f t="shared" si="38"/>
        <v>27.450000000000003</v>
      </c>
      <c r="CT222" s="33">
        <v>106.5</v>
      </c>
      <c r="CU222" s="33">
        <v>91.6</v>
      </c>
      <c r="CV222" s="33">
        <v>120.1</v>
      </c>
      <c r="CW222" s="33">
        <v>115.1</v>
      </c>
      <c r="CX222" s="33">
        <v>92.3</v>
      </c>
      <c r="CY222" s="33">
        <v>6.45</v>
      </c>
      <c r="CZ222" s="33">
        <v>48159.504000000001</v>
      </c>
      <c r="DA222" s="33">
        <v>3.67</v>
      </c>
      <c r="DB222" s="33">
        <v>26.85</v>
      </c>
      <c r="DC222" s="33">
        <v>48.01</v>
      </c>
      <c r="DD222" s="33">
        <v>14.52</v>
      </c>
      <c r="DE222" s="33">
        <v>9663.6910000000007</v>
      </c>
      <c r="DF222" s="33">
        <v>2155.7910000000002</v>
      </c>
      <c r="DG222" s="33">
        <v>2578.433</v>
      </c>
      <c r="DH222" s="33">
        <v>1126.8309999999999</v>
      </c>
      <c r="DI222" s="33">
        <v>2571.9699999999998</v>
      </c>
      <c r="DJ222" s="33">
        <v>101.3214</v>
      </c>
      <c r="DK222" s="33">
        <v>101.62649999999999</v>
      </c>
      <c r="DL222" s="33">
        <v>102.45</v>
      </c>
      <c r="DM222" s="33">
        <v>103.1143</v>
      </c>
      <c r="DN222" s="33">
        <v>101.16119999999999</v>
      </c>
      <c r="DO222" s="33">
        <v>101.34990000000001</v>
      </c>
      <c r="DP222" s="33">
        <v>101.22320000000001</v>
      </c>
      <c r="DQ222" s="33">
        <v>101.34520000000001</v>
      </c>
      <c r="DR222" s="33">
        <v>29939</v>
      </c>
      <c r="DS222" s="73">
        <v>27640</v>
      </c>
      <c r="DT222" s="73">
        <v>100.1</v>
      </c>
      <c r="DU222">
        <v>128.7845458984375</v>
      </c>
      <c r="DV222">
        <v>127.34865570068359</v>
      </c>
      <c r="DW222">
        <v>6134</v>
      </c>
      <c r="DX222">
        <v>177050</v>
      </c>
      <c r="DY222">
        <v>86.8</v>
      </c>
      <c r="DZ222" t="s">
        <v>312</v>
      </c>
    </row>
    <row r="223" spans="1:130" x14ac:dyDescent="0.25">
      <c r="A223" s="1">
        <v>39508</v>
      </c>
      <c r="B223" s="33">
        <v>100.9</v>
      </c>
      <c r="C223" s="107">
        <v>4.09</v>
      </c>
      <c r="D223" s="33">
        <v>4</v>
      </c>
      <c r="E223" s="33">
        <v>4.4800000000000004</v>
      </c>
      <c r="F223" s="33">
        <v>3.39</v>
      </c>
      <c r="G223" s="33">
        <v>3.57</v>
      </c>
      <c r="H223" s="33">
        <v>3.8</v>
      </c>
      <c r="I223" s="33">
        <f t="shared" si="39"/>
        <v>-0.29000000000000004</v>
      </c>
      <c r="J223" s="33">
        <f t="shared" si="40"/>
        <v>-0.20000000000000018</v>
      </c>
      <c r="K223" s="33">
        <f t="shared" si="41"/>
        <v>-0.6800000000000006</v>
      </c>
      <c r="L223" s="33">
        <f t="shared" si="42"/>
        <v>-8.9999999999999858E-2</v>
      </c>
      <c r="M223" s="33">
        <v>103.2</v>
      </c>
      <c r="N223" s="33">
        <v>6689.95</v>
      </c>
      <c r="O223" s="33">
        <v>30.37</v>
      </c>
      <c r="P223" s="33">
        <v>798.1</v>
      </c>
      <c r="Q223" s="34">
        <f t="shared" si="43"/>
        <v>9.3018648018648022</v>
      </c>
      <c r="R223" s="60">
        <v>1758.5</v>
      </c>
      <c r="S223" s="34">
        <f t="shared" si="44"/>
        <v>2049.5337995337995</v>
      </c>
      <c r="T223" s="60">
        <v>1898.1</v>
      </c>
      <c r="U223" s="34">
        <f t="shared" si="45"/>
        <v>2212.2377622377621</v>
      </c>
      <c r="V223" s="116">
        <v>324404</v>
      </c>
      <c r="W223" s="116">
        <v>3859561</v>
      </c>
      <c r="X223" s="117">
        <v>7536659</v>
      </c>
      <c r="Y223" s="117">
        <v>1330477</v>
      </c>
      <c r="Z223" s="33">
        <v>100.5</v>
      </c>
      <c r="AA223" s="33">
        <v>91.9</v>
      </c>
      <c r="AB223" s="33">
        <v>88.8</v>
      </c>
      <c r="AC223" s="33">
        <v>91.4</v>
      </c>
      <c r="AD223" s="33">
        <v>40783</v>
      </c>
      <c r="AE223" s="33">
        <v>7.9</v>
      </c>
      <c r="AF223" s="33">
        <v>396</v>
      </c>
      <c r="AG223" s="33">
        <v>86.3</v>
      </c>
      <c r="AH223" s="33">
        <v>85.8</v>
      </c>
      <c r="AI223" s="33">
        <v>92.6</v>
      </c>
      <c r="AJ223" s="33">
        <v>88</v>
      </c>
      <c r="AK223" s="33">
        <v>196.174734</v>
      </c>
      <c r="AL223" s="33">
        <v>69.5</v>
      </c>
      <c r="AM223" s="123">
        <v>63.813701326628916</v>
      </c>
      <c r="AN223" s="123">
        <v>128.97616010192652</v>
      </c>
      <c r="AO223" s="123">
        <v>106.4043092843699</v>
      </c>
      <c r="AP223" s="33">
        <v>66.459999999999994</v>
      </c>
      <c r="AQ223" s="33">
        <f t="shared" si="46"/>
        <v>0.71771058315334768</v>
      </c>
      <c r="AR223" s="33">
        <v>99.7</v>
      </c>
      <c r="AS223" s="33">
        <v>97.7</v>
      </c>
      <c r="AT223" s="33">
        <v>101.6</v>
      </c>
      <c r="AU223" s="33">
        <v>102.2</v>
      </c>
      <c r="AV223" s="65">
        <v>98.1</v>
      </c>
      <c r="AW223" s="33">
        <v>106.6</v>
      </c>
      <c r="AX223" s="33">
        <v>27.6</v>
      </c>
      <c r="AY223" s="33">
        <v>13.5</v>
      </c>
      <c r="AZ223" s="33">
        <v>16.399999999999999</v>
      </c>
      <c r="BA223" s="33">
        <v>5.4</v>
      </c>
      <c r="BB223" s="33">
        <v>99.7</v>
      </c>
      <c r="BC223" s="33">
        <v>97.6</v>
      </c>
      <c r="BD223" s="33">
        <v>101.8</v>
      </c>
      <c r="BE223" s="33">
        <v>32.1</v>
      </c>
      <c r="BF223" s="33">
        <v>-32</v>
      </c>
      <c r="BG223" s="33">
        <v>15</v>
      </c>
      <c r="BH223" s="33">
        <v>138.69999999999999</v>
      </c>
      <c r="BI223" s="33">
        <v>20.7</v>
      </c>
      <c r="BJ223" s="34">
        <v>55.135770579999999</v>
      </c>
      <c r="BK223" s="45">
        <v>-67.856813109092656</v>
      </c>
      <c r="BL223" s="33">
        <v>0.20699999999999999</v>
      </c>
      <c r="BM223" s="33">
        <v>101.12479999999999</v>
      </c>
      <c r="BN223" s="33">
        <v>100.9679</v>
      </c>
      <c r="BO223" s="33">
        <v>9.8000000000000007</v>
      </c>
      <c r="BP223" s="33">
        <v>5.9</v>
      </c>
      <c r="BQ223" s="33">
        <v>4.3</v>
      </c>
      <c r="BR223" s="33">
        <v>10.1</v>
      </c>
      <c r="BS223" s="33">
        <v>14.3</v>
      </c>
      <c r="BT223" s="33">
        <v>2</v>
      </c>
      <c r="BU223" s="33">
        <v>5.2</v>
      </c>
      <c r="BV223" s="33">
        <v>12.3</v>
      </c>
      <c r="BW223" s="33">
        <v>-9.1999999999999993</v>
      </c>
      <c r="BX223" s="33">
        <v>-9.1</v>
      </c>
      <c r="BY223" s="33">
        <v>-23.6</v>
      </c>
      <c r="BZ223" s="33">
        <v>103</v>
      </c>
      <c r="CA223" s="33">
        <v>-9.1999999999999993</v>
      </c>
      <c r="CB223" s="33">
        <v>-6.5</v>
      </c>
      <c r="CC223" s="33">
        <v>-0.2</v>
      </c>
      <c r="CD223" s="33">
        <v>-6.8</v>
      </c>
      <c r="CE223" s="33">
        <v>-15.8</v>
      </c>
      <c r="CF223" s="33">
        <v>64.8</v>
      </c>
      <c r="CG223" s="33">
        <v>42.7</v>
      </c>
      <c r="CH223" s="33">
        <v>4.9000000000000004</v>
      </c>
      <c r="CI223" s="33">
        <v>-20.8</v>
      </c>
      <c r="CJ223" s="33">
        <v>-14.3</v>
      </c>
      <c r="CK223" s="33">
        <v>2.8</v>
      </c>
      <c r="CL223" s="33">
        <v>21.3</v>
      </c>
      <c r="CM223" s="33">
        <v>3587.3371900000002</v>
      </c>
      <c r="CN223" s="33">
        <v>12258.9</v>
      </c>
      <c r="CO223" s="33">
        <v>1317.5414290000001</v>
      </c>
      <c r="CP223" s="33">
        <v>4.4409999999999998</v>
      </c>
      <c r="CQ223" s="33">
        <v>3.54</v>
      </c>
      <c r="CR223" s="33">
        <v>60.1</v>
      </c>
      <c r="CS223" s="121">
        <f t="shared" si="38"/>
        <v>29.950000000000003</v>
      </c>
      <c r="CT223" s="33">
        <v>106.2</v>
      </c>
      <c r="CU223" s="33">
        <v>89.1</v>
      </c>
      <c r="CV223" s="33">
        <v>119.3</v>
      </c>
      <c r="CW223" s="33">
        <v>113.8</v>
      </c>
      <c r="CX223" s="33">
        <v>94.3</v>
      </c>
      <c r="CY223" s="33">
        <v>6.13</v>
      </c>
      <c r="CZ223" s="33">
        <v>48287.724999999999</v>
      </c>
      <c r="DA223" s="33">
        <v>3.66</v>
      </c>
      <c r="DB223" s="33">
        <v>26.48</v>
      </c>
      <c r="DC223" s="33">
        <v>48.05</v>
      </c>
      <c r="DD223" s="33">
        <v>14.68</v>
      </c>
      <c r="DE223" s="33">
        <v>9445.4850000000006</v>
      </c>
      <c r="DF223" s="33">
        <v>1943.44</v>
      </c>
      <c r="DG223" s="33">
        <v>2573.9180000000001</v>
      </c>
      <c r="DH223" s="33">
        <v>1027.3330000000001</v>
      </c>
      <c r="DI223" s="33">
        <v>2564.86</v>
      </c>
      <c r="DJ223" s="33">
        <v>100.8305</v>
      </c>
      <c r="DK223" s="33">
        <v>100.9881</v>
      </c>
      <c r="DL223" s="33">
        <v>101.5</v>
      </c>
      <c r="DM223" s="33">
        <v>101.9153</v>
      </c>
      <c r="DN223" s="33">
        <v>100.9679</v>
      </c>
      <c r="DO223" s="33">
        <v>101.12479999999999</v>
      </c>
      <c r="DP223" s="33">
        <v>101.0719</v>
      </c>
      <c r="DQ223" s="33">
        <v>101.1788</v>
      </c>
      <c r="DR223" s="33">
        <v>29115</v>
      </c>
      <c r="DS223" s="73">
        <v>27666</v>
      </c>
      <c r="DT223" s="73">
        <v>99.3</v>
      </c>
      <c r="DU223">
        <v>139.8707275390625</v>
      </c>
      <c r="DV223">
        <v>91.625205993652344</v>
      </c>
      <c r="DW223">
        <v>7878</v>
      </c>
      <c r="DX223">
        <v>139550</v>
      </c>
      <c r="DY223">
        <v>85.7</v>
      </c>
      <c r="DZ223" t="s">
        <v>312</v>
      </c>
    </row>
    <row r="224" spans="1:130" x14ac:dyDescent="0.25">
      <c r="A224" s="1">
        <v>39539</v>
      </c>
      <c r="B224" s="33">
        <v>101.4</v>
      </c>
      <c r="C224" s="107">
        <v>3.99</v>
      </c>
      <c r="D224" s="33">
        <v>4</v>
      </c>
      <c r="E224" s="33">
        <v>4.58</v>
      </c>
      <c r="F224" s="33">
        <v>3.79</v>
      </c>
      <c r="G224" s="33">
        <v>3.9</v>
      </c>
      <c r="H224" s="33">
        <v>4.04</v>
      </c>
      <c r="I224" s="33">
        <f t="shared" si="39"/>
        <v>4.9999999999999822E-2</v>
      </c>
      <c r="J224" s="33">
        <f t="shared" si="40"/>
        <v>4.0000000000000036E-2</v>
      </c>
      <c r="K224" s="33">
        <f t="shared" si="41"/>
        <v>-0.54</v>
      </c>
      <c r="L224" s="33">
        <f t="shared" si="42"/>
        <v>9.9999999999997868E-3</v>
      </c>
      <c r="M224" s="33">
        <v>103.7</v>
      </c>
      <c r="N224" s="33">
        <v>6720.33</v>
      </c>
      <c r="O224" s="33">
        <v>23.51</v>
      </c>
      <c r="P224" s="33">
        <v>783.7</v>
      </c>
      <c r="Q224" s="34">
        <f t="shared" si="43"/>
        <v>9.1340326340326357</v>
      </c>
      <c r="R224" s="60">
        <v>1762.8</v>
      </c>
      <c r="S224" s="34">
        <f t="shared" si="44"/>
        <v>2054.5454545454545</v>
      </c>
      <c r="T224" s="60">
        <v>1909.6</v>
      </c>
      <c r="U224" s="34">
        <f t="shared" si="45"/>
        <v>2225.6410256410254</v>
      </c>
      <c r="V224" s="116">
        <v>325043</v>
      </c>
      <c r="W224" s="116">
        <v>3840284</v>
      </c>
      <c r="X224" s="117">
        <v>7616022</v>
      </c>
      <c r="Y224" s="117">
        <v>1324942</v>
      </c>
      <c r="Z224" s="33">
        <v>100.3</v>
      </c>
      <c r="AA224" s="33">
        <v>92.4</v>
      </c>
      <c r="AB224" s="33">
        <v>89.5</v>
      </c>
      <c r="AC224" s="33">
        <v>92.9</v>
      </c>
      <c r="AD224" s="33">
        <v>40795</v>
      </c>
      <c r="AE224" s="33">
        <v>7.9</v>
      </c>
      <c r="AF224" s="33">
        <v>393</v>
      </c>
      <c r="AG224" s="33">
        <v>86.3</v>
      </c>
      <c r="AH224" s="33">
        <v>85.8</v>
      </c>
      <c r="AI224" s="33">
        <v>92.8</v>
      </c>
      <c r="AJ224" s="33">
        <v>88</v>
      </c>
      <c r="AK224" s="33">
        <v>197.954904</v>
      </c>
      <c r="AL224" s="33">
        <v>70.599999999999994</v>
      </c>
      <c r="AM224" s="123">
        <v>59.531415797220625</v>
      </c>
      <c r="AN224" s="123">
        <v>133.34953376391925</v>
      </c>
      <c r="AO224" s="123">
        <v>96.266367637557522</v>
      </c>
      <c r="AP224" s="33">
        <v>69.84</v>
      </c>
      <c r="AQ224" s="33">
        <f t="shared" si="46"/>
        <v>0.75258620689655176</v>
      </c>
      <c r="AR224" s="33">
        <v>98.2</v>
      </c>
      <c r="AS224" s="33">
        <v>96.1</v>
      </c>
      <c r="AT224" s="33">
        <v>100.3</v>
      </c>
      <c r="AU224" s="33">
        <v>100.9</v>
      </c>
      <c r="AV224" s="65">
        <v>96.2</v>
      </c>
      <c r="AW224" s="33">
        <v>105.7</v>
      </c>
      <c r="AX224" s="33">
        <v>23.2</v>
      </c>
      <c r="AY224" s="33">
        <v>11.2</v>
      </c>
      <c r="AZ224" s="33">
        <v>15.1</v>
      </c>
      <c r="BA224" s="33">
        <v>4.7</v>
      </c>
      <c r="BB224" s="33">
        <v>97</v>
      </c>
      <c r="BC224" s="33">
        <v>96.2</v>
      </c>
      <c r="BD224" s="33">
        <v>97.8</v>
      </c>
      <c r="BE224" s="33">
        <v>33.200000000000003</v>
      </c>
      <c r="BF224" s="33">
        <v>-40.700000000000003</v>
      </c>
      <c r="BG224" s="33">
        <v>23.3</v>
      </c>
      <c r="BH224" s="33">
        <v>141.80000000000001</v>
      </c>
      <c r="BI224" s="33">
        <v>21.7</v>
      </c>
      <c r="BJ224" s="34">
        <v>53.621245119999998</v>
      </c>
      <c r="BK224" s="45">
        <v>-67.611324611087696</v>
      </c>
      <c r="BL224" s="33">
        <v>0.129</v>
      </c>
      <c r="BM224" s="33">
        <v>100.8074</v>
      </c>
      <c r="BN224" s="33">
        <v>100.6952</v>
      </c>
      <c r="BO224" s="33">
        <v>4.5999999999999996</v>
      </c>
      <c r="BP224" s="33">
        <v>2.7</v>
      </c>
      <c r="BQ224" s="33">
        <v>3.7</v>
      </c>
      <c r="BR224" s="33">
        <v>8.1</v>
      </c>
      <c r="BS224" s="33">
        <v>13</v>
      </c>
      <c r="BT224" s="33">
        <v>-0.1</v>
      </c>
      <c r="BU224" s="33">
        <v>3</v>
      </c>
      <c r="BV224" s="33">
        <v>9.3000000000000007</v>
      </c>
      <c r="BW224" s="33">
        <v>-8.8000000000000007</v>
      </c>
      <c r="BX224" s="33">
        <v>-16.2</v>
      </c>
      <c r="BY224" s="33">
        <v>-25.4</v>
      </c>
      <c r="BZ224" s="33">
        <v>101.2</v>
      </c>
      <c r="CA224" s="33">
        <v>-8.8000000000000007</v>
      </c>
      <c r="CB224" s="33">
        <v>-5.4</v>
      </c>
      <c r="CC224" s="33">
        <v>1.8</v>
      </c>
      <c r="CD224" s="33">
        <v>-7</v>
      </c>
      <c r="CE224" s="33">
        <v>-16.5</v>
      </c>
      <c r="CF224" s="33">
        <v>62</v>
      </c>
      <c r="CG224" s="33">
        <v>41.6</v>
      </c>
      <c r="CH224" s="33">
        <v>4.7</v>
      </c>
      <c r="CI224" s="33">
        <v>-18.600000000000001</v>
      </c>
      <c r="CJ224" s="33">
        <v>-15</v>
      </c>
      <c r="CK224" s="33">
        <v>4.5999999999999996</v>
      </c>
      <c r="CL224" s="33">
        <v>21.5</v>
      </c>
      <c r="CM224" s="33">
        <v>3768.1028179999998</v>
      </c>
      <c r="CN224" s="33">
        <v>12654.36</v>
      </c>
      <c r="CO224" s="33">
        <v>1370.4690909999999</v>
      </c>
      <c r="CP224" s="33">
        <v>4.4409999999999998</v>
      </c>
      <c r="CQ224" s="33">
        <v>3.57</v>
      </c>
      <c r="CR224" s="33">
        <v>53.3</v>
      </c>
      <c r="CS224" s="121">
        <f t="shared" si="38"/>
        <v>30.25</v>
      </c>
      <c r="CT224" s="33">
        <v>103.3</v>
      </c>
      <c r="CU224" s="33">
        <v>88.5</v>
      </c>
      <c r="CV224" s="33">
        <v>118</v>
      </c>
      <c r="CW224" s="33">
        <v>112.2</v>
      </c>
      <c r="CX224" s="33">
        <v>88.5</v>
      </c>
      <c r="CY224" s="33">
        <v>5.86</v>
      </c>
      <c r="CZ224" s="33">
        <v>51524.713000000003</v>
      </c>
      <c r="DA224" s="33">
        <v>3.91</v>
      </c>
      <c r="DB224" s="33">
        <v>26.69</v>
      </c>
      <c r="DC224" s="33">
        <v>48.5</v>
      </c>
      <c r="DD224" s="33">
        <v>14.4</v>
      </c>
      <c r="DE224" s="33">
        <v>10605.362999999999</v>
      </c>
      <c r="DF224" s="33">
        <v>2479.46</v>
      </c>
      <c r="DG224" s="33">
        <v>2917.857</v>
      </c>
      <c r="DH224" s="33">
        <v>1094.616</v>
      </c>
      <c r="DI224" s="33">
        <v>2998.451</v>
      </c>
      <c r="DJ224" s="33">
        <v>100.3082</v>
      </c>
      <c r="DK224" s="33">
        <v>100.3099</v>
      </c>
      <c r="DL224" s="33">
        <v>100.52</v>
      </c>
      <c r="DM224" s="33">
        <v>100.6611</v>
      </c>
      <c r="DN224" s="33">
        <v>100.6952</v>
      </c>
      <c r="DO224" s="33">
        <v>100.8074</v>
      </c>
      <c r="DP224" s="33">
        <v>100.88339999999999</v>
      </c>
      <c r="DQ224" s="33">
        <v>100.9714</v>
      </c>
      <c r="DR224" s="33">
        <v>47218</v>
      </c>
      <c r="DS224" s="73">
        <v>27692</v>
      </c>
      <c r="DT224" s="73">
        <v>99.1</v>
      </c>
      <c r="DU224">
        <v>96.747581481933594</v>
      </c>
      <c r="DV224">
        <v>78.179481506347656</v>
      </c>
      <c r="DW224">
        <v>7890</v>
      </c>
      <c r="DX224">
        <v>112075</v>
      </c>
      <c r="DY224">
        <v>84.5</v>
      </c>
      <c r="DZ224" t="s">
        <v>312</v>
      </c>
    </row>
    <row r="225" spans="1:130" x14ac:dyDescent="0.25">
      <c r="A225" s="1">
        <v>39569</v>
      </c>
      <c r="B225" s="33">
        <v>99.3</v>
      </c>
      <c r="C225" s="107">
        <v>4.01</v>
      </c>
      <c r="D225" s="33">
        <v>4</v>
      </c>
      <c r="E225" s="33">
        <v>4.75</v>
      </c>
      <c r="F225" s="33">
        <v>4.05</v>
      </c>
      <c r="G225" s="33">
        <v>4.0999999999999996</v>
      </c>
      <c r="H225" s="33">
        <v>4.2</v>
      </c>
      <c r="I225" s="33">
        <f t="shared" si="39"/>
        <v>0.19000000000000039</v>
      </c>
      <c r="J225" s="33">
        <f t="shared" si="40"/>
        <v>0.20000000000000018</v>
      </c>
      <c r="K225" s="33">
        <f t="shared" si="41"/>
        <v>-0.54999999999999982</v>
      </c>
      <c r="L225" s="33">
        <f t="shared" si="42"/>
        <v>-9.9999999999997868E-3</v>
      </c>
      <c r="M225" s="33">
        <v>103.5</v>
      </c>
      <c r="N225" s="33">
        <v>6948.82</v>
      </c>
      <c r="O225" s="33">
        <v>19.66</v>
      </c>
      <c r="P225" s="33">
        <v>788.2</v>
      </c>
      <c r="Q225" s="34">
        <f t="shared" si="43"/>
        <v>9.1864801864801873</v>
      </c>
      <c r="R225" s="60">
        <v>1778.4</v>
      </c>
      <c r="S225" s="34">
        <f t="shared" si="44"/>
        <v>2072.727272727273</v>
      </c>
      <c r="T225" s="60">
        <v>1920.9</v>
      </c>
      <c r="U225" s="34">
        <f t="shared" si="45"/>
        <v>2238.8111888111889</v>
      </c>
      <c r="V225" s="116">
        <v>328366</v>
      </c>
      <c r="W225" s="116">
        <v>3857591</v>
      </c>
      <c r="X225" s="117">
        <v>7674618</v>
      </c>
      <c r="Y225" s="117">
        <v>1346124</v>
      </c>
      <c r="Z225" s="33">
        <v>98.8</v>
      </c>
      <c r="AA225" s="33">
        <v>90</v>
      </c>
      <c r="AB225" s="33">
        <v>87.7</v>
      </c>
      <c r="AC225" s="33">
        <v>88.6</v>
      </c>
      <c r="AD225" s="33">
        <v>40794</v>
      </c>
      <c r="AE225" s="33">
        <v>7.9</v>
      </c>
      <c r="AF225" s="33">
        <v>390</v>
      </c>
      <c r="AG225" s="33">
        <v>86.7</v>
      </c>
      <c r="AH225" s="33">
        <v>85.8</v>
      </c>
      <c r="AI225" s="33">
        <v>94.8</v>
      </c>
      <c r="AJ225" s="33">
        <v>88.4</v>
      </c>
      <c r="AK225" s="33">
        <v>199.735074</v>
      </c>
      <c r="AL225" s="33">
        <v>70.5</v>
      </c>
      <c r="AM225" s="123">
        <v>66.426946584543472</v>
      </c>
      <c r="AN225" s="123">
        <v>156.44602163806215</v>
      </c>
      <c r="AO225" s="123">
        <v>101.13144213106851</v>
      </c>
      <c r="AP225" s="33">
        <v>79.61</v>
      </c>
      <c r="AQ225" s="33">
        <f t="shared" si="46"/>
        <v>0.83976793248945147</v>
      </c>
      <c r="AR225" s="33">
        <v>98.1</v>
      </c>
      <c r="AS225" s="33">
        <v>96.2</v>
      </c>
      <c r="AT225" s="33">
        <v>100.1</v>
      </c>
      <c r="AU225" s="33">
        <v>100.6</v>
      </c>
      <c r="AV225" s="65">
        <v>96.5</v>
      </c>
      <c r="AW225" s="33">
        <v>104.9</v>
      </c>
      <c r="AX225" s="33">
        <v>22</v>
      </c>
      <c r="AY225" s="33">
        <v>9.1</v>
      </c>
      <c r="AZ225" s="33">
        <v>13.9</v>
      </c>
      <c r="BA225" s="33">
        <v>4.8</v>
      </c>
      <c r="BB225" s="33">
        <v>98.1</v>
      </c>
      <c r="BC225" s="33">
        <v>97.4</v>
      </c>
      <c r="BD225" s="33">
        <v>98.8</v>
      </c>
      <c r="BE225" s="33">
        <v>38.6</v>
      </c>
      <c r="BF225" s="33">
        <v>-41.4</v>
      </c>
      <c r="BG225" s="33">
        <v>13.4</v>
      </c>
      <c r="BH225" s="33">
        <v>141.4</v>
      </c>
      <c r="BI225" s="33">
        <v>6.4</v>
      </c>
      <c r="BJ225" s="34">
        <v>53.572143859999997</v>
      </c>
      <c r="BK225" s="45">
        <v>-71.816595311311247</v>
      </c>
      <c r="BL225" s="33">
        <v>7.4999999999999997E-2</v>
      </c>
      <c r="BM225" s="33">
        <v>100.3796</v>
      </c>
      <c r="BN225" s="33">
        <v>100.3276</v>
      </c>
      <c r="BO225" s="33">
        <v>6.8</v>
      </c>
      <c r="BP225" s="33">
        <v>1.4</v>
      </c>
      <c r="BQ225" s="33">
        <v>3.6</v>
      </c>
      <c r="BR225" s="33">
        <v>5.3</v>
      </c>
      <c r="BS225" s="33">
        <v>11.6</v>
      </c>
      <c r="BT225" s="33">
        <v>1.7</v>
      </c>
      <c r="BU225" s="33">
        <v>2.9</v>
      </c>
      <c r="BV225" s="33">
        <v>11</v>
      </c>
      <c r="BW225" s="33">
        <v>-11</v>
      </c>
      <c r="BX225" s="33">
        <v>-14</v>
      </c>
      <c r="BY225" s="33">
        <v>-22</v>
      </c>
      <c r="BZ225" s="33">
        <v>100.9</v>
      </c>
      <c r="CA225" s="33">
        <v>-11</v>
      </c>
      <c r="CB225" s="33">
        <v>-7.2</v>
      </c>
      <c r="CC225" s="33">
        <v>-1.6</v>
      </c>
      <c r="CD225" s="33">
        <v>-12.2</v>
      </c>
      <c r="CE225" s="33">
        <v>-19.899999999999999</v>
      </c>
      <c r="CF225" s="33">
        <v>72.2</v>
      </c>
      <c r="CG225" s="33">
        <v>46.4</v>
      </c>
      <c r="CH225" s="33">
        <v>6.9</v>
      </c>
      <c r="CI225" s="33">
        <v>-25.5</v>
      </c>
      <c r="CJ225" s="33">
        <v>-15.3</v>
      </c>
      <c r="CK225" s="33">
        <v>-0.6</v>
      </c>
      <c r="CL225" s="33">
        <v>20.100000000000001</v>
      </c>
      <c r="CM225" s="33">
        <v>3812.7621819999999</v>
      </c>
      <c r="CN225" s="33">
        <v>13010</v>
      </c>
      <c r="CO225" s="33">
        <v>1401.977273</v>
      </c>
      <c r="CP225" s="33">
        <v>4.67</v>
      </c>
      <c r="CQ225" s="33">
        <v>3.78</v>
      </c>
      <c r="CR225" s="33">
        <v>51.1</v>
      </c>
      <c r="CS225" s="121">
        <f t="shared" si="38"/>
        <v>33.150000000000006</v>
      </c>
      <c r="CT225" s="33">
        <v>99.9</v>
      </c>
      <c r="CU225" s="33">
        <v>87.6</v>
      </c>
      <c r="CV225" s="33">
        <v>116.6</v>
      </c>
      <c r="CW225" s="33">
        <v>109.3</v>
      </c>
      <c r="CX225" s="33">
        <v>89.8</v>
      </c>
      <c r="CY225" s="33">
        <v>5.69</v>
      </c>
      <c r="CZ225" s="33">
        <v>46723.006000000001</v>
      </c>
      <c r="DA225" s="33">
        <v>3.76</v>
      </c>
      <c r="DB225" s="33">
        <v>26.52</v>
      </c>
      <c r="DC225" s="33">
        <v>47.57</v>
      </c>
      <c r="DD225" s="33">
        <v>14.28</v>
      </c>
      <c r="DE225" s="33">
        <v>9306.3310000000001</v>
      </c>
      <c r="DF225" s="33">
        <v>1869.8389999999999</v>
      </c>
      <c r="DG225" s="33">
        <v>2485.828</v>
      </c>
      <c r="DH225" s="33">
        <v>965.79100000000005</v>
      </c>
      <c r="DI225" s="33">
        <v>2833.6060000000002</v>
      </c>
      <c r="DJ225" s="33">
        <v>99.764399999999995</v>
      </c>
      <c r="DK225" s="33">
        <v>99.607100000000003</v>
      </c>
      <c r="DL225" s="33">
        <v>99.52</v>
      </c>
      <c r="DM225" s="33">
        <v>99.389700000000005</v>
      </c>
      <c r="DN225" s="33">
        <v>100.3276</v>
      </c>
      <c r="DO225" s="33">
        <v>100.3796</v>
      </c>
      <c r="DP225" s="33">
        <v>100.6277</v>
      </c>
      <c r="DQ225" s="33">
        <v>100.6901</v>
      </c>
      <c r="DR225" s="33">
        <v>39697</v>
      </c>
      <c r="DS225" s="73">
        <v>27708</v>
      </c>
      <c r="DT225" s="73">
        <v>98.9</v>
      </c>
      <c r="DU225">
        <v>76.823440551757813</v>
      </c>
      <c r="DV225">
        <v>53.695789337158203</v>
      </c>
      <c r="DW225">
        <v>9439</v>
      </c>
      <c r="DX225">
        <v>109625</v>
      </c>
      <c r="DY225">
        <v>84.3</v>
      </c>
      <c r="DZ225" t="s">
        <v>312</v>
      </c>
    </row>
    <row r="226" spans="1:130" x14ac:dyDescent="0.25">
      <c r="A226" s="1">
        <v>39600</v>
      </c>
      <c r="B226" s="33">
        <v>100.2</v>
      </c>
      <c r="C226" s="107">
        <v>4.01</v>
      </c>
      <c r="D226" s="33">
        <v>4</v>
      </c>
      <c r="E226" s="33">
        <v>4.8600000000000003</v>
      </c>
      <c r="F226" s="33">
        <v>4.58</v>
      </c>
      <c r="G226" s="33">
        <v>4.55</v>
      </c>
      <c r="H226" s="33">
        <v>4.5199999999999996</v>
      </c>
      <c r="I226" s="33">
        <f t="shared" si="39"/>
        <v>0.50999999999999979</v>
      </c>
      <c r="J226" s="33">
        <f t="shared" si="40"/>
        <v>0.51999999999999957</v>
      </c>
      <c r="K226" s="33">
        <f t="shared" si="41"/>
        <v>-0.34000000000000075</v>
      </c>
      <c r="L226" s="33">
        <f t="shared" si="42"/>
        <v>-9.9999999999997868E-3</v>
      </c>
      <c r="M226" s="33">
        <v>103.4</v>
      </c>
      <c r="N226" s="33">
        <v>7008.77</v>
      </c>
      <c r="O226" s="33">
        <v>20.79</v>
      </c>
      <c r="P226" s="33">
        <v>794.1</v>
      </c>
      <c r="Q226" s="34">
        <f t="shared" si="43"/>
        <v>9.2337209302325576</v>
      </c>
      <c r="R226" s="60">
        <v>1785</v>
      </c>
      <c r="S226" s="34">
        <f t="shared" si="44"/>
        <v>2075.5813953488368</v>
      </c>
      <c r="T226" s="60">
        <v>1928.6</v>
      </c>
      <c r="U226" s="34">
        <f t="shared" si="45"/>
        <v>2242.5581395348836</v>
      </c>
      <c r="V226" s="116">
        <v>330781</v>
      </c>
      <c r="W226" s="116">
        <v>3857729</v>
      </c>
      <c r="X226" s="117">
        <v>7700435</v>
      </c>
      <c r="Y226" s="117">
        <v>1343702</v>
      </c>
      <c r="Z226" s="33">
        <v>99</v>
      </c>
      <c r="AA226" s="33">
        <v>86.9</v>
      </c>
      <c r="AB226" s="33">
        <v>88.2</v>
      </c>
      <c r="AC226" s="33">
        <v>84.3</v>
      </c>
      <c r="AD226" s="33">
        <v>40807</v>
      </c>
      <c r="AE226" s="33">
        <v>7.7</v>
      </c>
      <c r="AF226" s="33">
        <v>399</v>
      </c>
      <c r="AG226" s="33">
        <v>87.2</v>
      </c>
      <c r="AH226" s="33">
        <v>86</v>
      </c>
      <c r="AI226" s="33">
        <v>96.3</v>
      </c>
      <c r="AJ226" s="33">
        <v>88.9</v>
      </c>
      <c r="AK226" s="33">
        <v>201.69326100000001</v>
      </c>
      <c r="AL226" s="33">
        <v>70.400000000000006</v>
      </c>
      <c r="AM226" s="123">
        <v>76.664963677530267</v>
      </c>
      <c r="AN226" s="123">
        <v>169.17522549837693</v>
      </c>
      <c r="AO226" s="123">
        <v>99.194058182197466</v>
      </c>
      <c r="AP226" s="33">
        <v>85.33</v>
      </c>
      <c r="AQ226" s="33">
        <f t="shared" si="46"/>
        <v>0.88608515057113191</v>
      </c>
      <c r="AR226" s="33">
        <v>96.4</v>
      </c>
      <c r="AS226" s="33">
        <v>94.1</v>
      </c>
      <c r="AT226" s="33">
        <v>98.8</v>
      </c>
      <c r="AU226" s="33">
        <v>98.1</v>
      </c>
      <c r="AV226" s="65">
        <v>93.6</v>
      </c>
      <c r="AW226" s="33">
        <v>102.8</v>
      </c>
      <c r="AX226" s="33">
        <v>13.8</v>
      </c>
      <c r="AY226" s="33">
        <v>-2.2999999999999998</v>
      </c>
      <c r="AZ226" s="33">
        <v>10.199999999999999</v>
      </c>
      <c r="BA226" s="33">
        <v>-2.1</v>
      </c>
      <c r="BB226" s="33">
        <v>96.9</v>
      </c>
      <c r="BC226" s="33">
        <v>95.6</v>
      </c>
      <c r="BD226" s="33">
        <v>98.1</v>
      </c>
      <c r="BE226" s="33">
        <v>37.6</v>
      </c>
      <c r="BF226" s="33">
        <v>-52.4</v>
      </c>
      <c r="BG226" s="33">
        <v>7.5</v>
      </c>
      <c r="BH226" s="33">
        <v>149.19999999999999</v>
      </c>
      <c r="BI226" s="33">
        <v>1.1000000000000001</v>
      </c>
      <c r="BJ226" s="34">
        <v>52.564435500000002</v>
      </c>
      <c r="BK226" s="45">
        <v>-74.823541998985604</v>
      </c>
      <c r="BL226" s="33">
        <v>-6.0000000000000001E-3</v>
      </c>
      <c r="BM226" s="33">
        <v>99.812200000000004</v>
      </c>
      <c r="BN226" s="33">
        <v>99.840199999999996</v>
      </c>
      <c r="BO226" s="33">
        <v>2.1</v>
      </c>
      <c r="BP226" s="33">
        <v>-0.9</v>
      </c>
      <c r="BQ226" s="33">
        <v>5.7</v>
      </c>
      <c r="BR226" s="33">
        <v>1.6</v>
      </c>
      <c r="BS226" s="33">
        <v>14.9</v>
      </c>
      <c r="BT226" s="33">
        <v>-2.8</v>
      </c>
      <c r="BU226" s="33">
        <v>-0.7</v>
      </c>
      <c r="BV226" s="33">
        <v>10.6</v>
      </c>
      <c r="BW226" s="33">
        <v>-13.3</v>
      </c>
      <c r="BX226" s="33">
        <v>-17.5</v>
      </c>
      <c r="BY226" s="33">
        <v>-22.9</v>
      </c>
      <c r="BZ226" s="33">
        <v>98.4</v>
      </c>
      <c r="CA226" s="33">
        <v>-13.3</v>
      </c>
      <c r="CB226" s="33">
        <v>-8.1999999999999993</v>
      </c>
      <c r="CC226" s="33">
        <v>-2.5</v>
      </c>
      <c r="CD226" s="33">
        <v>-13.6</v>
      </c>
      <c r="CE226" s="33">
        <v>-22.9</v>
      </c>
      <c r="CF226" s="33">
        <v>75.8</v>
      </c>
      <c r="CG226" s="33">
        <v>55.3</v>
      </c>
      <c r="CH226" s="33">
        <v>11.2</v>
      </c>
      <c r="CI226" s="33">
        <v>-27.4</v>
      </c>
      <c r="CJ226" s="33">
        <v>-19.5</v>
      </c>
      <c r="CK226" s="33">
        <v>-0.2</v>
      </c>
      <c r="CL226" s="33">
        <v>20.100000000000001</v>
      </c>
      <c r="CM226" s="33">
        <v>3527.8323329999998</v>
      </c>
      <c r="CN226" s="33">
        <v>12503.82</v>
      </c>
      <c r="CO226" s="33">
        <v>1341.2509520000001</v>
      </c>
      <c r="CP226" s="33">
        <v>4.9539999999999997</v>
      </c>
      <c r="CQ226" s="33">
        <v>3.98</v>
      </c>
      <c r="CR226" s="33">
        <v>49.2</v>
      </c>
      <c r="CS226" s="121">
        <f t="shared" si="38"/>
        <v>36.549999999999997</v>
      </c>
      <c r="CT226" s="33">
        <v>96.8</v>
      </c>
      <c r="CU226" s="33">
        <v>81</v>
      </c>
      <c r="CV226" s="33">
        <v>115.1</v>
      </c>
      <c r="CW226" s="33">
        <v>105.3</v>
      </c>
      <c r="CX226" s="33">
        <v>90.1</v>
      </c>
      <c r="CY226" s="33">
        <v>6.21</v>
      </c>
      <c r="CZ226" s="33">
        <v>49998.654000000002</v>
      </c>
      <c r="DA226" s="33">
        <v>3.86</v>
      </c>
      <c r="DB226" s="33">
        <v>25.96</v>
      </c>
      <c r="DC226" s="33">
        <v>47.26</v>
      </c>
      <c r="DD226" s="33">
        <v>14.62</v>
      </c>
      <c r="DE226" s="33">
        <v>10253.308000000001</v>
      </c>
      <c r="DF226" s="33">
        <v>2157.3119999999999</v>
      </c>
      <c r="DG226" s="33">
        <v>2848.5909999999999</v>
      </c>
      <c r="DH226" s="33">
        <v>1056.2570000000001</v>
      </c>
      <c r="DI226" s="33">
        <v>3128.4409999999998</v>
      </c>
      <c r="DJ226" s="33">
        <v>99.205200000000005</v>
      </c>
      <c r="DK226" s="33">
        <v>98.890100000000004</v>
      </c>
      <c r="DL226" s="33">
        <v>98.52</v>
      </c>
      <c r="DM226" s="33">
        <v>98.123599999999996</v>
      </c>
      <c r="DN226" s="33">
        <v>99.840199999999996</v>
      </c>
      <c r="DO226" s="33">
        <v>99.812200000000004</v>
      </c>
      <c r="DP226" s="33">
        <v>100.2705</v>
      </c>
      <c r="DQ226" s="33">
        <v>100.2972</v>
      </c>
      <c r="DR226" s="33">
        <v>39270</v>
      </c>
      <c r="DS226" s="73">
        <v>27752</v>
      </c>
      <c r="DT226" s="73">
        <v>98.1</v>
      </c>
      <c r="DU226">
        <v>106.42784118652344</v>
      </c>
      <c r="DV226">
        <v>114.42536926269531</v>
      </c>
      <c r="DW226">
        <v>11458</v>
      </c>
      <c r="DX226">
        <v>122900</v>
      </c>
      <c r="DY226">
        <v>83.1</v>
      </c>
      <c r="DZ226" t="s">
        <v>312</v>
      </c>
    </row>
    <row r="227" spans="1:130" x14ac:dyDescent="0.25">
      <c r="A227" s="1">
        <v>39630</v>
      </c>
      <c r="B227" s="33">
        <v>98.7</v>
      </c>
      <c r="C227" s="107">
        <v>4.1900000000000004</v>
      </c>
      <c r="D227" s="33">
        <v>4.25</v>
      </c>
      <c r="E227" s="33">
        <v>4.92</v>
      </c>
      <c r="F227" s="33">
        <v>4.51</v>
      </c>
      <c r="G227" s="33">
        <v>4.5</v>
      </c>
      <c r="H227" s="33">
        <v>4.49</v>
      </c>
      <c r="I227" s="33">
        <f t="shared" si="39"/>
        <v>0.29999999999999982</v>
      </c>
      <c r="J227" s="33">
        <f t="shared" si="40"/>
        <v>0.24000000000000021</v>
      </c>
      <c r="K227" s="33">
        <f t="shared" si="41"/>
        <v>-0.42999999999999972</v>
      </c>
      <c r="L227" s="33">
        <f t="shared" si="42"/>
        <v>5.9999999999999609E-2</v>
      </c>
      <c r="M227" s="33">
        <v>103.6</v>
      </c>
      <c r="N227" s="33">
        <v>6315.94</v>
      </c>
      <c r="O227" s="33">
        <v>24.59</v>
      </c>
      <c r="P227" s="33">
        <v>778.9</v>
      </c>
      <c r="Q227" s="34">
        <f t="shared" si="43"/>
        <v>9.0569767441860467</v>
      </c>
      <c r="R227" s="60">
        <v>1796.7</v>
      </c>
      <c r="S227" s="34">
        <f t="shared" si="44"/>
        <v>2089.1860465116279</v>
      </c>
      <c r="T227" s="60">
        <v>1941.5</v>
      </c>
      <c r="U227" s="34">
        <f t="shared" si="45"/>
        <v>2257.5581395348836</v>
      </c>
      <c r="V227" s="116">
        <v>340038</v>
      </c>
      <c r="W227" s="116">
        <v>3828594</v>
      </c>
      <c r="X227" s="117">
        <v>7750811</v>
      </c>
      <c r="Y227" s="117">
        <v>1356649</v>
      </c>
      <c r="Z227" s="33">
        <v>97.9</v>
      </c>
      <c r="AA227" s="33">
        <v>86.2</v>
      </c>
      <c r="AB227" s="33">
        <v>86.7</v>
      </c>
      <c r="AC227" s="33">
        <v>83.8</v>
      </c>
      <c r="AD227" s="33">
        <v>40872</v>
      </c>
      <c r="AE227" s="33">
        <v>7.7</v>
      </c>
      <c r="AF227" s="33">
        <v>396</v>
      </c>
      <c r="AG227" s="33">
        <v>87.3</v>
      </c>
      <c r="AH227" s="33">
        <v>86</v>
      </c>
      <c r="AI227" s="33">
        <v>96.8</v>
      </c>
      <c r="AJ227" s="33">
        <v>89.3</v>
      </c>
      <c r="AK227" s="33">
        <v>205.609635</v>
      </c>
      <c r="AL227" s="33">
        <v>90.9</v>
      </c>
      <c r="AM227" s="123">
        <v>83.701844401554794</v>
      </c>
      <c r="AN227" s="123">
        <v>168.87026790396794</v>
      </c>
      <c r="AO227" s="123">
        <v>106.28690972777615</v>
      </c>
      <c r="AP227" s="33">
        <v>84.75</v>
      </c>
      <c r="AQ227" s="33">
        <f t="shared" si="46"/>
        <v>0.87551652892561982</v>
      </c>
      <c r="AR227" s="33">
        <v>93.2</v>
      </c>
      <c r="AS227" s="33">
        <v>90.1</v>
      </c>
      <c r="AT227" s="33">
        <v>96.4</v>
      </c>
      <c r="AU227" s="33">
        <v>95.6</v>
      </c>
      <c r="AV227" s="65">
        <v>90</v>
      </c>
      <c r="AW227" s="33">
        <v>101.6</v>
      </c>
      <c r="AX227" s="33">
        <v>4.4000000000000004</v>
      </c>
      <c r="AY227" s="33">
        <v>-4.5</v>
      </c>
      <c r="AZ227" s="33">
        <v>5.0999999999999996</v>
      </c>
      <c r="BA227" s="33">
        <v>-1.3</v>
      </c>
      <c r="BB227" s="33">
        <v>93.2</v>
      </c>
      <c r="BC227" s="33">
        <v>90.8</v>
      </c>
      <c r="BD227" s="33">
        <v>95.7</v>
      </c>
      <c r="BE227" s="33">
        <v>17</v>
      </c>
      <c r="BF227" s="33">
        <v>-63.9</v>
      </c>
      <c r="BG227" s="33">
        <v>-8</v>
      </c>
      <c r="BH227" s="33">
        <v>152.1</v>
      </c>
      <c r="BI227" s="33">
        <v>0.7</v>
      </c>
      <c r="BJ227" s="34">
        <v>50.899152059999999</v>
      </c>
      <c r="BK227" s="45">
        <v>-79.307796365929136</v>
      </c>
      <c r="BL227" s="33">
        <v>-0.191</v>
      </c>
      <c r="BM227" s="33">
        <v>99.102599999999995</v>
      </c>
      <c r="BN227" s="33">
        <v>99.230500000000006</v>
      </c>
      <c r="BO227" s="33">
        <v>-1.9</v>
      </c>
      <c r="BP227" s="33">
        <v>-3.9</v>
      </c>
      <c r="BQ227" s="33">
        <v>6</v>
      </c>
      <c r="BR227" s="33">
        <v>-2</v>
      </c>
      <c r="BS227" s="33">
        <v>19.399999999999999</v>
      </c>
      <c r="BT227" s="33">
        <v>-4.5999999999999996</v>
      </c>
      <c r="BU227" s="33">
        <v>-3.3</v>
      </c>
      <c r="BV227" s="33">
        <v>4.9000000000000004</v>
      </c>
      <c r="BW227" s="33">
        <v>-16.100000000000001</v>
      </c>
      <c r="BX227" s="33">
        <v>-28.6</v>
      </c>
      <c r="BY227" s="33">
        <v>-22.1</v>
      </c>
      <c r="BZ227" s="33">
        <v>94.3</v>
      </c>
      <c r="CA227" s="33">
        <v>-16.100000000000001</v>
      </c>
      <c r="CB227" s="33">
        <v>-10.4</v>
      </c>
      <c r="CC227" s="33">
        <v>-5.7</v>
      </c>
      <c r="CD227" s="33">
        <v>-20.8</v>
      </c>
      <c r="CE227" s="33">
        <v>-28.3</v>
      </c>
      <c r="CF227" s="33">
        <v>76.400000000000006</v>
      </c>
      <c r="CG227" s="33">
        <v>53.3</v>
      </c>
      <c r="CH227" s="33">
        <v>16.8</v>
      </c>
      <c r="CI227" s="33">
        <v>-29.8</v>
      </c>
      <c r="CJ227" s="33">
        <v>-20.100000000000001</v>
      </c>
      <c r="CK227" s="33">
        <v>-0.9</v>
      </c>
      <c r="CL227" s="33">
        <v>19.100000000000001</v>
      </c>
      <c r="CM227" s="33">
        <v>3298.6578260000001</v>
      </c>
      <c r="CN227" s="33">
        <v>11382.26</v>
      </c>
      <c r="CO227" s="33">
        <v>1257.568696</v>
      </c>
      <c r="CP227" s="33">
        <v>5.14</v>
      </c>
      <c r="CQ227" s="33">
        <v>4.01</v>
      </c>
      <c r="CR227" s="33">
        <v>53.5</v>
      </c>
      <c r="CS227" s="121">
        <f t="shared" si="38"/>
        <v>39.650000000000006</v>
      </c>
      <c r="CT227" s="33">
        <v>92.2</v>
      </c>
      <c r="CU227" s="33">
        <v>85.1</v>
      </c>
      <c r="CV227" s="33">
        <v>111.1</v>
      </c>
      <c r="CW227" s="33">
        <v>106</v>
      </c>
      <c r="CX227" s="33">
        <v>92.7</v>
      </c>
      <c r="CY227" s="33">
        <v>5.41</v>
      </c>
      <c r="CZ227" s="33">
        <v>48056.639000000003</v>
      </c>
      <c r="DA227" s="33">
        <v>3.96</v>
      </c>
      <c r="DB227" s="33">
        <v>27.4</v>
      </c>
      <c r="DC227" s="33">
        <v>47.61</v>
      </c>
      <c r="DD227" s="33">
        <v>14.61</v>
      </c>
      <c r="DE227" s="33">
        <v>11028.407999999999</v>
      </c>
      <c r="DF227" s="33">
        <v>2379.8389999999999</v>
      </c>
      <c r="DG227" s="33">
        <v>2855.3020000000001</v>
      </c>
      <c r="DH227" s="33">
        <v>1102.9949999999999</v>
      </c>
      <c r="DI227" s="33">
        <v>3211.3110000000001</v>
      </c>
      <c r="DJ227" s="33">
        <v>98.6417</v>
      </c>
      <c r="DK227" s="33">
        <v>98.174700000000001</v>
      </c>
      <c r="DL227" s="33">
        <v>97.55</v>
      </c>
      <c r="DM227" s="33">
        <v>96.8857</v>
      </c>
      <c r="DN227" s="33">
        <v>99.230500000000006</v>
      </c>
      <c r="DO227" s="33">
        <v>99.102599999999995</v>
      </c>
      <c r="DP227" s="33">
        <v>99.782799999999995</v>
      </c>
      <c r="DQ227" s="33">
        <v>99.760800000000003</v>
      </c>
      <c r="DR227" s="33">
        <v>31348</v>
      </c>
      <c r="DS227" s="73">
        <v>27801</v>
      </c>
      <c r="DT227" s="73">
        <v>97.2</v>
      </c>
      <c r="DU227">
        <v>87.933021545410156</v>
      </c>
      <c r="DV227">
        <v>85.725822448730469</v>
      </c>
      <c r="DW227">
        <v>9379</v>
      </c>
      <c r="DX227">
        <v>122475</v>
      </c>
      <c r="DY227">
        <v>83.3</v>
      </c>
      <c r="DZ227" t="s">
        <v>312</v>
      </c>
    </row>
    <row r="228" spans="1:130" x14ac:dyDescent="0.25">
      <c r="A228" s="1">
        <v>39661</v>
      </c>
      <c r="B228" s="33">
        <v>100.4</v>
      </c>
      <c r="C228" s="107">
        <v>4.3</v>
      </c>
      <c r="D228" s="33">
        <v>4.25</v>
      </c>
      <c r="E228" s="33">
        <v>4.96</v>
      </c>
      <c r="F228" s="33">
        <v>4.09</v>
      </c>
      <c r="G228" s="33">
        <v>4.1100000000000003</v>
      </c>
      <c r="H228" s="33">
        <v>4.2</v>
      </c>
      <c r="I228" s="33">
        <f t="shared" si="39"/>
        <v>-9.9999999999999645E-2</v>
      </c>
      <c r="J228" s="33">
        <f t="shared" si="40"/>
        <v>-4.9999999999999822E-2</v>
      </c>
      <c r="K228" s="33">
        <f t="shared" si="41"/>
        <v>-0.75999999999999979</v>
      </c>
      <c r="L228" s="33">
        <f t="shared" si="42"/>
        <v>-4.9999999999999822E-2</v>
      </c>
      <c r="M228" s="33">
        <v>102.7</v>
      </c>
      <c r="N228" s="33">
        <v>6396.46</v>
      </c>
      <c r="O228" s="33">
        <v>23.06</v>
      </c>
      <c r="P228" s="33">
        <v>783.1</v>
      </c>
      <c r="Q228" s="34">
        <f t="shared" si="43"/>
        <v>9.0846867749419946</v>
      </c>
      <c r="R228" s="60">
        <v>1808.4</v>
      </c>
      <c r="S228" s="34">
        <f t="shared" si="44"/>
        <v>2097.9118329466355</v>
      </c>
      <c r="T228" s="60">
        <v>1953.5</v>
      </c>
      <c r="U228" s="34">
        <f t="shared" si="45"/>
        <v>2266.2412993039443</v>
      </c>
      <c r="V228" s="116">
        <v>338851</v>
      </c>
      <c r="W228" s="116">
        <v>3822371</v>
      </c>
      <c r="X228" s="117">
        <v>7787840</v>
      </c>
      <c r="Y228" s="117">
        <v>1355752</v>
      </c>
      <c r="Z228" s="33">
        <v>99.7</v>
      </c>
      <c r="AA228" s="33">
        <v>88</v>
      </c>
      <c r="AB228" s="33">
        <v>88.7</v>
      </c>
      <c r="AC228" s="33">
        <v>86.2</v>
      </c>
      <c r="AD228" s="33">
        <v>40872</v>
      </c>
      <c r="AE228" s="33">
        <v>7.6</v>
      </c>
      <c r="AF228" s="33">
        <v>392</v>
      </c>
      <c r="AG228" s="33">
        <v>87.2</v>
      </c>
      <c r="AH228" s="33">
        <v>86.2</v>
      </c>
      <c r="AI228" s="33">
        <v>96</v>
      </c>
      <c r="AJ228" s="33">
        <v>89.3</v>
      </c>
      <c r="AK228" s="33">
        <v>204.54153299999999</v>
      </c>
      <c r="AL228" s="33">
        <v>71.5</v>
      </c>
      <c r="AM228" s="123">
        <v>75.811282360003403</v>
      </c>
      <c r="AN228" s="123">
        <v>153.46163680052328</v>
      </c>
      <c r="AO228" s="123">
        <v>98.55695265666516</v>
      </c>
      <c r="AP228" s="33">
        <v>76.040000000000006</v>
      </c>
      <c r="AQ228" s="33">
        <f t="shared" si="46"/>
        <v>0.79208333333333336</v>
      </c>
      <c r="AR228" s="33">
        <v>91.3</v>
      </c>
      <c r="AS228" s="33">
        <v>87.9</v>
      </c>
      <c r="AT228" s="33">
        <v>94.9</v>
      </c>
      <c r="AU228" s="33">
        <v>92</v>
      </c>
      <c r="AV228" s="65">
        <v>86</v>
      </c>
      <c r="AW228" s="33">
        <v>98.5</v>
      </c>
      <c r="AX228" s="33">
        <v>-2.4</v>
      </c>
      <c r="AY228" s="33">
        <v>-11.4</v>
      </c>
      <c r="AZ228" s="33">
        <v>-1.5</v>
      </c>
      <c r="BA228" s="33">
        <v>-9.5</v>
      </c>
      <c r="BB228" s="33">
        <v>93.2</v>
      </c>
      <c r="BC228" s="33">
        <v>91.2</v>
      </c>
      <c r="BD228" s="33">
        <v>95.2</v>
      </c>
      <c r="BE228" s="33">
        <v>-9.1999999999999993</v>
      </c>
      <c r="BF228" s="33">
        <v>-55.5</v>
      </c>
      <c r="BG228" s="33">
        <v>-21.8</v>
      </c>
      <c r="BH228" s="33">
        <v>158.1</v>
      </c>
      <c r="BI228" s="33">
        <v>1.1000000000000001</v>
      </c>
      <c r="BJ228" s="34">
        <v>49.680969040000001</v>
      </c>
      <c r="BK228" s="45">
        <v>-65.131284161082903</v>
      </c>
      <c r="BL228" s="33">
        <v>-0.439</v>
      </c>
      <c r="BM228" s="33">
        <v>98.2667</v>
      </c>
      <c r="BN228" s="33">
        <v>98.5124</v>
      </c>
      <c r="BO228" s="33">
        <v>-4.3</v>
      </c>
      <c r="BP228" s="33">
        <v>-6.8</v>
      </c>
      <c r="BQ228" s="33">
        <v>9.1999999999999993</v>
      </c>
      <c r="BR228" s="33">
        <v>-7.2</v>
      </c>
      <c r="BS228" s="33">
        <v>17.399999999999999</v>
      </c>
      <c r="BT228" s="33">
        <v>-7.5</v>
      </c>
      <c r="BU228" s="33">
        <v>-6.9</v>
      </c>
      <c r="BV228" s="33">
        <v>0</v>
      </c>
      <c r="BW228" s="33">
        <v>-16.899999999999999</v>
      </c>
      <c r="BX228" s="33">
        <v>-25.2</v>
      </c>
      <c r="BY228" s="33">
        <v>-25.8</v>
      </c>
      <c r="BZ228" s="33">
        <v>91</v>
      </c>
      <c r="CA228" s="33">
        <v>-16.899999999999999</v>
      </c>
      <c r="CB228" s="33">
        <v>-9.6999999999999993</v>
      </c>
      <c r="CC228" s="33">
        <v>-4.0999999999999996</v>
      </c>
      <c r="CD228" s="33">
        <v>-25.4</v>
      </c>
      <c r="CE228" s="33">
        <v>-33</v>
      </c>
      <c r="CF228" s="33">
        <v>72.599999999999994</v>
      </c>
      <c r="CG228" s="33">
        <v>46.4</v>
      </c>
      <c r="CH228" s="33">
        <v>22</v>
      </c>
      <c r="CI228" s="33">
        <v>-30.4</v>
      </c>
      <c r="CJ228" s="33">
        <v>-20.9</v>
      </c>
      <c r="CK228" s="33">
        <v>1</v>
      </c>
      <c r="CL228" s="33">
        <v>19.2</v>
      </c>
      <c r="CM228" s="33">
        <v>3346.0433330000001</v>
      </c>
      <c r="CN228" s="33">
        <v>11326.32</v>
      </c>
      <c r="CO228" s="33">
        <v>1281.472381</v>
      </c>
      <c r="CP228" s="33">
        <v>4.8419999999999996</v>
      </c>
      <c r="CQ228" s="33">
        <v>3.97</v>
      </c>
      <c r="CR228" s="33">
        <v>57.9</v>
      </c>
      <c r="CS228" s="121">
        <f t="shared" si="38"/>
        <v>44.25</v>
      </c>
      <c r="CT228" s="33">
        <v>92.1</v>
      </c>
      <c r="CU228" s="33">
        <v>80.3</v>
      </c>
      <c r="CV228" s="33">
        <v>111.2</v>
      </c>
      <c r="CW228" s="33">
        <v>103.8</v>
      </c>
      <c r="CX228" s="33">
        <v>90.6</v>
      </c>
      <c r="CY228" s="33">
        <v>5.97</v>
      </c>
      <c r="CZ228" s="33">
        <v>41613.527999999998</v>
      </c>
      <c r="DA228" s="33">
        <v>3.84</v>
      </c>
      <c r="DB228" s="33">
        <v>27.29</v>
      </c>
      <c r="DC228" s="33">
        <v>47.8</v>
      </c>
      <c r="DD228" s="33">
        <v>14.46</v>
      </c>
      <c r="DE228" s="33">
        <v>9226.2440000000006</v>
      </c>
      <c r="DF228" s="33">
        <v>1934.1769999999999</v>
      </c>
      <c r="DG228" s="33">
        <v>2854.5140000000001</v>
      </c>
      <c r="DH228" s="33">
        <v>972.54300000000001</v>
      </c>
      <c r="DI228" s="33">
        <v>2557.8580000000002</v>
      </c>
      <c r="DJ228" s="33">
        <v>98.093599999999995</v>
      </c>
      <c r="DK228" s="33">
        <v>97.486400000000003</v>
      </c>
      <c r="DL228" s="33">
        <v>96.64</v>
      </c>
      <c r="DM228" s="33">
        <v>95.722499999999997</v>
      </c>
      <c r="DN228" s="33">
        <v>98.5124</v>
      </c>
      <c r="DO228" s="33">
        <v>98.2667</v>
      </c>
      <c r="DP228" s="33">
        <v>99.149299999999997</v>
      </c>
      <c r="DQ228" s="33">
        <v>99.063900000000004</v>
      </c>
      <c r="DR228" s="33">
        <v>29057</v>
      </c>
      <c r="DS228" s="73">
        <v>27821</v>
      </c>
      <c r="DT228" s="73">
        <v>95.8</v>
      </c>
      <c r="DU228">
        <v>92.29638671875</v>
      </c>
      <c r="DV228">
        <v>86.259246826171875</v>
      </c>
      <c r="DW228">
        <v>8280</v>
      </c>
      <c r="DX228">
        <v>146200</v>
      </c>
      <c r="DY228">
        <v>83</v>
      </c>
      <c r="DZ228" t="s">
        <v>312</v>
      </c>
    </row>
    <row r="229" spans="1:130" x14ac:dyDescent="0.25">
      <c r="A229" s="1">
        <v>39692</v>
      </c>
      <c r="B229" s="33">
        <v>98.6</v>
      </c>
      <c r="C229" s="107">
        <v>4.2699999999999996</v>
      </c>
      <c r="D229" s="33">
        <v>4.25</v>
      </c>
      <c r="E229" s="33">
        <v>4.9800000000000004</v>
      </c>
      <c r="F229" s="33">
        <v>3.9</v>
      </c>
      <c r="G229" s="33">
        <v>3.99</v>
      </c>
      <c r="H229" s="33">
        <v>4.09</v>
      </c>
      <c r="I229" s="33">
        <f t="shared" si="39"/>
        <v>-0.17999999999999972</v>
      </c>
      <c r="J229" s="33">
        <f t="shared" si="40"/>
        <v>-0.16000000000000014</v>
      </c>
      <c r="K229" s="33">
        <f t="shared" si="41"/>
        <v>-0.89000000000000057</v>
      </c>
      <c r="L229" s="33">
        <f t="shared" si="42"/>
        <v>-1.9999999999999574E-2</v>
      </c>
      <c r="M229" s="33">
        <v>101.8</v>
      </c>
      <c r="N229" s="33">
        <v>6421.8</v>
      </c>
      <c r="O229" s="33">
        <v>21.2</v>
      </c>
      <c r="P229" s="33">
        <v>796.3</v>
      </c>
      <c r="Q229" s="34">
        <f t="shared" si="43"/>
        <v>9.2271147161066054</v>
      </c>
      <c r="R229" s="60">
        <v>1822.5</v>
      </c>
      <c r="S229" s="34">
        <f t="shared" si="44"/>
        <v>2111.8192352259557</v>
      </c>
      <c r="T229" s="60">
        <v>1969.9</v>
      </c>
      <c r="U229" s="34">
        <f t="shared" si="45"/>
        <v>2282.6187717265357</v>
      </c>
      <c r="V229" s="116">
        <v>342760</v>
      </c>
      <c r="W229" s="116">
        <v>3884458</v>
      </c>
      <c r="X229" s="117">
        <v>7865188</v>
      </c>
      <c r="Y229" s="117">
        <v>1359700</v>
      </c>
      <c r="Z229" s="33">
        <v>96.4</v>
      </c>
      <c r="AA229" s="33">
        <v>82.2</v>
      </c>
      <c r="AB229" s="33">
        <v>86.9</v>
      </c>
      <c r="AC229" s="33">
        <v>78.8</v>
      </c>
      <c r="AD229" s="33">
        <v>40924</v>
      </c>
      <c r="AE229" s="33">
        <v>7.6</v>
      </c>
      <c r="AF229" s="33">
        <v>389</v>
      </c>
      <c r="AG229" s="33">
        <v>87.4</v>
      </c>
      <c r="AH229" s="33">
        <v>86.3</v>
      </c>
      <c r="AI229" s="33">
        <v>95.6</v>
      </c>
      <c r="AJ229" s="33">
        <v>89.2</v>
      </c>
      <c r="AK229" s="33">
        <v>205.07558399999999</v>
      </c>
      <c r="AL229" s="33">
        <v>70.8</v>
      </c>
      <c r="AM229" s="123">
        <v>71.726622750089433</v>
      </c>
      <c r="AN229" s="123">
        <v>140.40257387131592</v>
      </c>
      <c r="AO229" s="123">
        <v>98.258295224372247</v>
      </c>
      <c r="AP229" s="33">
        <v>68.790000000000006</v>
      </c>
      <c r="AQ229" s="33">
        <f t="shared" si="46"/>
        <v>0.719560669456067</v>
      </c>
      <c r="AR229" s="33">
        <v>89.7</v>
      </c>
      <c r="AS229" s="33">
        <v>87.1</v>
      </c>
      <c r="AT229" s="33">
        <v>92.3</v>
      </c>
      <c r="AU229" s="33">
        <v>90.2</v>
      </c>
      <c r="AV229" s="65">
        <v>85.1</v>
      </c>
      <c r="AW229" s="33">
        <v>95.5</v>
      </c>
      <c r="AX229" s="33">
        <v>-5.5</v>
      </c>
      <c r="AY229" s="33">
        <v>-10.1</v>
      </c>
      <c r="AZ229" s="33">
        <v>-6.3</v>
      </c>
      <c r="BA229" s="33">
        <v>-7.4</v>
      </c>
      <c r="BB229" s="33">
        <v>89.7</v>
      </c>
      <c r="BC229" s="33">
        <v>88.1</v>
      </c>
      <c r="BD229" s="33">
        <v>91.4</v>
      </c>
      <c r="BE229" s="33">
        <v>-1</v>
      </c>
      <c r="BF229" s="33">
        <v>-41.1</v>
      </c>
      <c r="BG229" s="33">
        <v>-15.7</v>
      </c>
      <c r="BH229" s="33">
        <v>166</v>
      </c>
      <c r="BI229" s="33">
        <v>1.3</v>
      </c>
      <c r="BJ229" s="34">
        <v>47.35691052</v>
      </c>
      <c r="BK229" s="45">
        <v>-58.244301596745167</v>
      </c>
      <c r="BL229" s="33">
        <v>-0.71199999999999997</v>
      </c>
      <c r="BM229" s="33">
        <v>97.330399999999997</v>
      </c>
      <c r="BN229" s="33">
        <v>97.707899999999995</v>
      </c>
      <c r="BO229" s="33">
        <v>-9.3000000000000007</v>
      </c>
      <c r="BP229" s="33">
        <v>-12.2</v>
      </c>
      <c r="BQ229" s="33">
        <v>10.7</v>
      </c>
      <c r="BR229" s="33">
        <v>-8.3000000000000007</v>
      </c>
      <c r="BS229" s="33">
        <v>11.9</v>
      </c>
      <c r="BT229" s="33">
        <v>-10.9</v>
      </c>
      <c r="BU229" s="33">
        <v>-9.4</v>
      </c>
      <c r="BV229" s="33">
        <v>-0.7</v>
      </c>
      <c r="BW229" s="33">
        <v>-16</v>
      </c>
      <c r="BX229" s="33">
        <v>-29.1</v>
      </c>
      <c r="BY229" s="33">
        <v>-26</v>
      </c>
      <c r="BZ229" s="33">
        <v>90.2</v>
      </c>
      <c r="CA229" s="33">
        <v>-16</v>
      </c>
      <c r="CB229" s="33">
        <v>-9.8000000000000007</v>
      </c>
      <c r="CC229" s="33">
        <v>-3.7</v>
      </c>
      <c r="CD229" s="33">
        <v>-26.6</v>
      </c>
      <c r="CE229" s="33">
        <v>-33</v>
      </c>
      <c r="CF229" s="33">
        <v>67.400000000000006</v>
      </c>
      <c r="CG229" s="33">
        <v>41.9</v>
      </c>
      <c r="CH229" s="33">
        <v>25.6</v>
      </c>
      <c r="CI229" s="33">
        <v>-23.1</v>
      </c>
      <c r="CJ229" s="33">
        <v>-17.3</v>
      </c>
      <c r="CK229" s="33">
        <v>1.5</v>
      </c>
      <c r="CL229" s="33">
        <v>20</v>
      </c>
      <c r="CM229" s="33">
        <v>3193.7236360000002</v>
      </c>
      <c r="CN229" s="33">
        <v>11543.55</v>
      </c>
      <c r="CO229" s="33">
        <v>1220</v>
      </c>
      <c r="CP229" s="33">
        <v>4.4569999999999999</v>
      </c>
      <c r="CQ229" s="33">
        <v>3.83</v>
      </c>
      <c r="CR229" s="33">
        <v>67.2</v>
      </c>
      <c r="CS229" s="121">
        <f t="shared" si="38"/>
        <v>44.350000000000009</v>
      </c>
      <c r="CT229" s="33">
        <v>90.8</v>
      </c>
      <c r="CU229" s="33">
        <v>78.2</v>
      </c>
      <c r="CV229" s="33">
        <v>110.3</v>
      </c>
      <c r="CW229" s="33">
        <v>100.6</v>
      </c>
      <c r="CX229" s="33">
        <v>90.8</v>
      </c>
      <c r="CY229" s="33">
        <v>5.91</v>
      </c>
      <c r="CZ229" s="33">
        <v>49240.411</v>
      </c>
      <c r="DA229" s="33">
        <v>3.91</v>
      </c>
      <c r="DB229" s="33">
        <v>27.15</v>
      </c>
      <c r="DC229" s="33">
        <v>46.02</v>
      </c>
      <c r="DD229" s="33">
        <v>14.45</v>
      </c>
      <c r="DE229" s="33">
        <v>10131.619000000001</v>
      </c>
      <c r="DF229" s="33">
        <v>2341.3890000000001</v>
      </c>
      <c r="DG229" s="33">
        <v>2908.3389999999999</v>
      </c>
      <c r="DH229" s="33">
        <v>1125.9480000000001</v>
      </c>
      <c r="DI229" s="33">
        <v>2815.5509999999999</v>
      </c>
      <c r="DJ229" s="33">
        <v>97.589299999999994</v>
      </c>
      <c r="DK229" s="33">
        <v>96.860399999999998</v>
      </c>
      <c r="DL229" s="33">
        <v>95.84</v>
      </c>
      <c r="DM229" s="33">
        <v>94.707800000000006</v>
      </c>
      <c r="DN229" s="33">
        <v>97.707899999999995</v>
      </c>
      <c r="DO229" s="33">
        <v>97.330399999999997</v>
      </c>
      <c r="DP229" s="33">
        <v>98.382000000000005</v>
      </c>
      <c r="DQ229" s="33">
        <v>98.219899999999996</v>
      </c>
      <c r="DR229" s="33">
        <v>39082</v>
      </c>
      <c r="DS229" s="73">
        <v>27875</v>
      </c>
      <c r="DT229" s="73">
        <v>95</v>
      </c>
      <c r="DU229">
        <v>156.04350280761719</v>
      </c>
      <c r="DV229">
        <v>155.91175842285156</v>
      </c>
      <c r="DW229">
        <v>6691</v>
      </c>
      <c r="DX229">
        <v>179800</v>
      </c>
      <c r="DY229">
        <v>83.1</v>
      </c>
      <c r="DZ229" t="s">
        <v>312</v>
      </c>
    </row>
    <row r="230" spans="1:130" x14ac:dyDescent="0.25">
      <c r="A230" s="1">
        <v>39722</v>
      </c>
      <c r="B230" s="33">
        <v>96.5</v>
      </c>
      <c r="C230" s="107">
        <v>3.82</v>
      </c>
      <c r="D230" s="33">
        <v>3.75</v>
      </c>
      <c r="E230" s="33">
        <v>5.03</v>
      </c>
      <c r="F230" s="33">
        <v>3.38</v>
      </c>
      <c r="G230" s="33">
        <v>3.69</v>
      </c>
      <c r="H230" s="33">
        <v>3.88</v>
      </c>
      <c r="I230" s="33">
        <f t="shared" si="39"/>
        <v>6.0000000000000053E-2</v>
      </c>
      <c r="J230" s="33">
        <f t="shared" si="40"/>
        <v>0.12999999999999989</v>
      </c>
      <c r="K230" s="33">
        <f t="shared" si="41"/>
        <v>-1.1500000000000004</v>
      </c>
      <c r="L230" s="33">
        <f t="shared" si="42"/>
        <v>-6.999999999999984E-2</v>
      </c>
      <c r="M230" s="33">
        <v>100</v>
      </c>
      <c r="N230" s="33">
        <v>5806.33</v>
      </c>
      <c r="O230" s="33">
        <v>36.82</v>
      </c>
      <c r="P230" s="33">
        <v>827.7</v>
      </c>
      <c r="Q230" s="34">
        <f t="shared" si="43"/>
        <v>9.5798611111111107</v>
      </c>
      <c r="R230" s="60">
        <v>1868.2</v>
      </c>
      <c r="S230" s="34">
        <f t="shared" si="44"/>
        <v>2162.2685185185182</v>
      </c>
      <c r="T230" s="60">
        <v>2014.8</v>
      </c>
      <c r="U230" s="34">
        <f t="shared" si="45"/>
        <v>2331.9444444444443</v>
      </c>
      <c r="V230" s="116">
        <v>338324</v>
      </c>
      <c r="W230" s="116">
        <v>3977681</v>
      </c>
      <c r="X230" s="117">
        <v>8010727</v>
      </c>
      <c r="Y230" s="117">
        <v>1358558</v>
      </c>
      <c r="Z230" s="33">
        <v>94.3</v>
      </c>
      <c r="AA230" s="33">
        <v>76.8</v>
      </c>
      <c r="AB230" s="33">
        <v>85.3</v>
      </c>
      <c r="AC230" s="33">
        <v>72.099999999999994</v>
      </c>
      <c r="AD230" s="33">
        <v>40977</v>
      </c>
      <c r="AE230" s="33">
        <v>7.6</v>
      </c>
      <c r="AF230" s="33">
        <v>383</v>
      </c>
      <c r="AG230" s="33">
        <v>87.3</v>
      </c>
      <c r="AH230" s="33">
        <v>86.4</v>
      </c>
      <c r="AI230" s="33">
        <v>93</v>
      </c>
      <c r="AJ230" s="33">
        <v>88.7</v>
      </c>
      <c r="AK230" s="33">
        <v>205.07558399999999</v>
      </c>
      <c r="AL230" s="33">
        <v>70.599999999999994</v>
      </c>
      <c r="AM230" s="123">
        <v>64.871265578453361</v>
      </c>
      <c r="AN230" s="123">
        <v>115.23486954679433</v>
      </c>
      <c r="AO230" s="123">
        <v>90.445427970797283</v>
      </c>
      <c r="AP230" s="33">
        <v>53.99</v>
      </c>
      <c r="AQ230" s="33">
        <f t="shared" si="46"/>
        <v>0.58053763440860218</v>
      </c>
      <c r="AR230" s="33">
        <v>86.6</v>
      </c>
      <c r="AS230" s="33">
        <v>82.4</v>
      </c>
      <c r="AT230" s="33">
        <v>90.9</v>
      </c>
      <c r="AU230" s="33">
        <v>86.1</v>
      </c>
      <c r="AV230" s="65">
        <v>79.599999999999994</v>
      </c>
      <c r="AW230" s="33">
        <v>93.1</v>
      </c>
      <c r="AX230" s="33">
        <v>-15</v>
      </c>
      <c r="AY230" s="33">
        <v>-31.2</v>
      </c>
      <c r="AZ230" s="33">
        <v>-17.600000000000001</v>
      </c>
      <c r="BA230" s="33">
        <v>-22.1</v>
      </c>
      <c r="BB230" s="33">
        <v>89</v>
      </c>
      <c r="BC230" s="33">
        <v>85.6</v>
      </c>
      <c r="BD230" s="33">
        <v>92.6</v>
      </c>
      <c r="BE230" s="33">
        <v>-35.9</v>
      </c>
      <c r="BF230" s="33">
        <v>-63</v>
      </c>
      <c r="BG230" s="33">
        <v>-27.5</v>
      </c>
      <c r="BH230" s="33">
        <v>170</v>
      </c>
      <c r="BI230" s="33">
        <v>2.7</v>
      </c>
      <c r="BJ230" s="34">
        <v>42.875981729999999</v>
      </c>
      <c r="BK230" s="45">
        <v>-54.036295477230738</v>
      </c>
      <c r="BL230" s="33">
        <v>-1.046</v>
      </c>
      <c r="BM230" s="33">
        <v>96.362300000000005</v>
      </c>
      <c r="BN230" s="33">
        <v>96.876300000000001</v>
      </c>
      <c r="BO230" s="33">
        <v>-16.100000000000001</v>
      </c>
      <c r="BP230" s="33">
        <v>-19</v>
      </c>
      <c r="BQ230" s="33">
        <v>14.8</v>
      </c>
      <c r="BR230" s="33">
        <v>-20.6</v>
      </c>
      <c r="BS230" s="33">
        <v>6.2</v>
      </c>
      <c r="BT230" s="33">
        <v>-15.5</v>
      </c>
      <c r="BU230" s="33">
        <v>-17.2</v>
      </c>
      <c r="BV230" s="33">
        <v>-4.5</v>
      </c>
      <c r="BW230" s="33">
        <v>-18</v>
      </c>
      <c r="BX230" s="33">
        <v>-26.4</v>
      </c>
      <c r="BY230" s="33">
        <v>-25.6</v>
      </c>
      <c r="BZ230" s="33">
        <v>85.2</v>
      </c>
      <c r="CA230" s="33">
        <v>-18</v>
      </c>
      <c r="CB230" s="33">
        <v>-7.9</v>
      </c>
      <c r="CC230" s="33">
        <v>-3.3</v>
      </c>
      <c r="CD230" s="33">
        <v>-30.3</v>
      </c>
      <c r="CE230" s="33">
        <v>-41</v>
      </c>
      <c r="CF230" s="33">
        <v>67.2</v>
      </c>
      <c r="CG230" s="33">
        <v>45.3</v>
      </c>
      <c r="CH230" s="33">
        <v>31.1</v>
      </c>
      <c r="CI230" s="33">
        <v>-25.8</v>
      </c>
      <c r="CJ230" s="33">
        <v>-19.8</v>
      </c>
      <c r="CK230" s="33">
        <v>0.3</v>
      </c>
      <c r="CL230" s="33">
        <v>19.5</v>
      </c>
      <c r="CM230" s="33">
        <v>2627.276261</v>
      </c>
      <c r="CN230" s="33">
        <v>10831.07</v>
      </c>
      <c r="CO230" s="33">
        <v>968.80043499999999</v>
      </c>
      <c r="CP230" s="33">
        <v>4.4240000000000004</v>
      </c>
      <c r="CQ230" s="33">
        <v>3.77</v>
      </c>
      <c r="CR230" s="33">
        <v>57</v>
      </c>
      <c r="CS230" s="121">
        <f t="shared" si="38"/>
        <v>45.650000000000006</v>
      </c>
      <c r="CT230" s="33">
        <v>82.2</v>
      </c>
      <c r="CU230" s="33">
        <v>73.8</v>
      </c>
      <c r="CV230" s="33">
        <v>106.5</v>
      </c>
      <c r="CW230" s="33">
        <v>95.4</v>
      </c>
      <c r="CX230" s="33">
        <v>83.4</v>
      </c>
      <c r="CY230" s="33">
        <v>5.77</v>
      </c>
      <c r="CZ230" s="33">
        <v>50511.097000000002</v>
      </c>
      <c r="DA230" s="33">
        <v>3.8</v>
      </c>
      <c r="DB230" s="33">
        <v>26.63</v>
      </c>
      <c r="DC230" s="33">
        <v>46.42</v>
      </c>
      <c r="DD230" s="33">
        <v>14.7</v>
      </c>
      <c r="DE230" s="33">
        <v>10714.069</v>
      </c>
      <c r="DF230" s="33">
        <v>2648.328</v>
      </c>
      <c r="DG230" s="33">
        <v>3040.8809999999999</v>
      </c>
      <c r="DH230" s="33">
        <v>1086.6020000000001</v>
      </c>
      <c r="DI230" s="33">
        <v>3095.8020000000001</v>
      </c>
      <c r="DJ230" s="33">
        <v>97.169499999999999</v>
      </c>
      <c r="DK230" s="33">
        <v>96.347899999999996</v>
      </c>
      <c r="DL230" s="33">
        <v>95.23</v>
      </c>
      <c r="DM230" s="33">
        <v>93.930999999999997</v>
      </c>
      <c r="DN230" s="33">
        <v>96.876300000000001</v>
      </c>
      <c r="DO230" s="33">
        <v>96.362300000000005</v>
      </c>
      <c r="DP230" s="33">
        <v>97.537999999999997</v>
      </c>
      <c r="DQ230" s="33">
        <v>97.291399999999996</v>
      </c>
      <c r="DR230" s="33">
        <v>61487</v>
      </c>
      <c r="DS230" s="73">
        <v>27902</v>
      </c>
      <c r="DT230" s="73">
        <v>93.4</v>
      </c>
      <c r="DU230">
        <v>216.59178161621094</v>
      </c>
      <c r="DV230">
        <v>256.07177734375</v>
      </c>
      <c r="DW230">
        <v>3025</v>
      </c>
      <c r="DX230">
        <v>199075</v>
      </c>
      <c r="DY230">
        <v>82.1</v>
      </c>
      <c r="DZ230" t="s">
        <v>312</v>
      </c>
    </row>
    <row r="231" spans="1:130" x14ac:dyDescent="0.25">
      <c r="A231" s="1">
        <v>39753</v>
      </c>
      <c r="B231" s="33">
        <v>92.5</v>
      </c>
      <c r="C231" s="107">
        <v>3.15</v>
      </c>
      <c r="D231" s="33">
        <v>3.25</v>
      </c>
      <c r="E231" s="33">
        <v>4.79</v>
      </c>
      <c r="F231" s="33">
        <v>2.77</v>
      </c>
      <c r="G231" s="33">
        <v>3.17</v>
      </c>
      <c r="H231" s="33">
        <v>3.56</v>
      </c>
      <c r="I231" s="33">
        <f t="shared" si="39"/>
        <v>0.41000000000000014</v>
      </c>
      <c r="J231" s="33">
        <f t="shared" si="40"/>
        <v>0.31000000000000005</v>
      </c>
      <c r="K231" s="33">
        <f t="shared" si="41"/>
        <v>-1.23</v>
      </c>
      <c r="L231" s="33">
        <f t="shared" si="42"/>
        <v>0.10000000000000009</v>
      </c>
      <c r="M231" s="33">
        <v>99.9</v>
      </c>
      <c r="N231" s="33">
        <v>5026.84</v>
      </c>
      <c r="O231" s="33">
        <v>56.61</v>
      </c>
      <c r="P231" s="33">
        <v>817.3</v>
      </c>
      <c r="Q231" s="34">
        <f t="shared" si="43"/>
        <v>9.4594907407407405</v>
      </c>
      <c r="R231" s="60">
        <v>1868.9</v>
      </c>
      <c r="S231" s="34">
        <f t="shared" si="44"/>
        <v>2163.0787037037039</v>
      </c>
      <c r="T231" s="60">
        <v>2031.7</v>
      </c>
      <c r="U231" s="34">
        <f t="shared" si="45"/>
        <v>2351.5046296296296</v>
      </c>
      <c r="V231" s="116">
        <v>339138</v>
      </c>
      <c r="W231" s="116">
        <v>3967905</v>
      </c>
      <c r="X231" s="117">
        <v>8035211</v>
      </c>
      <c r="Y231" s="117">
        <v>1351793</v>
      </c>
      <c r="Z231" s="33">
        <v>88.4</v>
      </c>
      <c r="AA231" s="33">
        <v>71.099999999999994</v>
      </c>
      <c r="AB231" s="33">
        <v>84.7</v>
      </c>
      <c r="AC231" s="33">
        <v>67.099999999999994</v>
      </c>
      <c r="AD231" s="33">
        <v>40968</v>
      </c>
      <c r="AE231" s="33">
        <v>7.6</v>
      </c>
      <c r="AF231" s="33">
        <v>374</v>
      </c>
      <c r="AG231" s="33">
        <v>87.1</v>
      </c>
      <c r="AH231" s="33">
        <v>86.4</v>
      </c>
      <c r="AI231" s="33">
        <v>90.7</v>
      </c>
      <c r="AJ231" s="33">
        <v>88.2</v>
      </c>
      <c r="AK231" s="33">
        <v>201.69326100000001</v>
      </c>
      <c r="AL231" s="33">
        <v>108.6</v>
      </c>
      <c r="AM231" s="123">
        <v>52.328074249286175</v>
      </c>
      <c r="AN231" s="123">
        <v>94.630848026196858</v>
      </c>
      <c r="AO231" s="123">
        <v>81.148143458829097</v>
      </c>
      <c r="AP231" s="33">
        <v>41.37</v>
      </c>
      <c r="AQ231" s="33">
        <f t="shared" si="46"/>
        <v>0.45611907386990075</v>
      </c>
      <c r="AR231" s="33">
        <v>81.400000000000006</v>
      </c>
      <c r="AS231" s="33">
        <v>78.3</v>
      </c>
      <c r="AT231" s="33">
        <v>84.7</v>
      </c>
      <c r="AU231" s="33">
        <v>79.8</v>
      </c>
      <c r="AV231" s="65">
        <v>74.900000000000006</v>
      </c>
      <c r="AW231" s="33">
        <v>85.1</v>
      </c>
      <c r="AX231" s="33">
        <v>-33.799999999999997</v>
      </c>
      <c r="AY231" s="33">
        <v>-43.9</v>
      </c>
      <c r="AZ231" s="33">
        <v>-30.5</v>
      </c>
      <c r="BA231" s="33">
        <v>-35.299999999999997</v>
      </c>
      <c r="BB231" s="33">
        <v>83.1</v>
      </c>
      <c r="BC231" s="33">
        <v>79.900000000000006</v>
      </c>
      <c r="BD231" s="33">
        <v>86.4</v>
      </c>
      <c r="BE231" s="33">
        <v>-50.4</v>
      </c>
      <c r="BF231" s="33">
        <v>-53.5</v>
      </c>
      <c r="BG231" s="33">
        <v>-30.1</v>
      </c>
      <c r="BH231" s="33">
        <v>176.5</v>
      </c>
      <c r="BI231" s="33">
        <v>5.5</v>
      </c>
      <c r="BJ231" s="34">
        <v>35.663835200000001</v>
      </c>
      <c r="BK231" s="45">
        <v>-29.810244079705157</v>
      </c>
      <c r="BL231" s="33">
        <v>-1.4219999999999999</v>
      </c>
      <c r="BM231" s="33">
        <v>95.476299999999995</v>
      </c>
      <c r="BN231" s="33">
        <v>96.115099999999998</v>
      </c>
      <c r="BO231" s="33">
        <v>-31.3</v>
      </c>
      <c r="BP231" s="33">
        <v>-30</v>
      </c>
      <c r="BQ231" s="33">
        <v>20.3</v>
      </c>
      <c r="BR231" s="33">
        <v>-34.9</v>
      </c>
      <c r="BS231" s="33">
        <v>-2.5</v>
      </c>
      <c r="BT231" s="33">
        <v>-26.2</v>
      </c>
      <c r="BU231" s="33">
        <v>-28.8</v>
      </c>
      <c r="BV231" s="33">
        <v>-7.8</v>
      </c>
      <c r="BW231" s="33">
        <v>-17.2</v>
      </c>
      <c r="BX231" s="33">
        <v>-34.299999999999997</v>
      </c>
      <c r="BY231" s="33">
        <v>-26.3</v>
      </c>
      <c r="BZ231" s="33">
        <v>79.599999999999994</v>
      </c>
      <c r="CA231" s="33">
        <v>-17.2</v>
      </c>
      <c r="CB231" s="33">
        <v>-7.2</v>
      </c>
      <c r="CC231" s="33">
        <v>-1.5</v>
      </c>
      <c r="CD231" s="33">
        <v>-37.1</v>
      </c>
      <c r="CE231" s="33">
        <v>-43.5</v>
      </c>
      <c r="CF231" s="33">
        <v>56.2</v>
      </c>
      <c r="CG231" s="33">
        <v>30.4</v>
      </c>
      <c r="CH231" s="33">
        <v>39.4</v>
      </c>
      <c r="CI231" s="33">
        <v>-21</v>
      </c>
      <c r="CJ231" s="33">
        <v>-16.7</v>
      </c>
      <c r="CK231" s="33">
        <v>-0.7</v>
      </c>
      <c r="CL231" s="33">
        <v>19.7</v>
      </c>
      <c r="CM231" s="33">
        <v>2452.8717000000001</v>
      </c>
      <c r="CN231" s="33">
        <v>9319.83</v>
      </c>
      <c r="CO231" s="33">
        <v>883.27250000000004</v>
      </c>
      <c r="CP231" s="33">
        <v>4.4939999999999998</v>
      </c>
      <c r="CQ231" s="33">
        <v>3.96</v>
      </c>
      <c r="CR231" s="33">
        <v>53.9</v>
      </c>
      <c r="CS231" s="121">
        <f t="shared" si="38"/>
        <v>54.25</v>
      </c>
      <c r="CT231" s="33">
        <v>79.900000000000006</v>
      </c>
      <c r="CU231" s="33">
        <v>72.400000000000006</v>
      </c>
      <c r="CV231" s="33">
        <v>99.3</v>
      </c>
      <c r="CW231" s="33">
        <v>90.4</v>
      </c>
      <c r="CX231" s="33">
        <v>77.400000000000006</v>
      </c>
      <c r="CY231" s="33">
        <v>5.62</v>
      </c>
      <c r="CZ231" s="33">
        <v>43124.45</v>
      </c>
      <c r="DA231" s="33">
        <v>3.9</v>
      </c>
      <c r="DB231" s="33">
        <v>24.72</v>
      </c>
      <c r="DC231" s="33">
        <v>42.99</v>
      </c>
      <c r="DD231" s="33">
        <v>12.61</v>
      </c>
      <c r="DE231" s="33">
        <v>9784.4310000000005</v>
      </c>
      <c r="DF231" s="33">
        <v>2746.7669999999998</v>
      </c>
      <c r="DG231" s="33">
        <v>2556.502</v>
      </c>
      <c r="DH231" s="33">
        <v>991.375</v>
      </c>
      <c r="DI231" s="33">
        <v>2781.9520000000002</v>
      </c>
      <c r="DJ231" s="33">
        <v>96.881299999999996</v>
      </c>
      <c r="DK231" s="33">
        <v>96.007599999999996</v>
      </c>
      <c r="DL231" s="33">
        <v>94.87</v>
      </c>
      <c r="DM231" s="33">
        <v>93.476100000000002</v>
      </c>
      <c r="DN231" s="33">
        <v>96.115099999999998</v>
      </c>
      <c r="DO231" s="33">
        <v>95.476299999999995</v>
      </c>
      <c r="DP231" s="33">
        <v>96.729500000000002</v>
      </c>
      <c r="DQ231" s="33">
        <v>96.402199999999993</v>
      </c>
      <c r="DR231" s="33">
        <v>120373</v>
      </c>
      <c r="DS231" s="73">
        <v>27883</v>
      </c>
      <c r="DT231" s="73">
        <v>90.3</v>
      </c>
      <c r="DU231">
        <v>156.77445983886719</v>
      </c>
      <c r="DV231">
        <v>188.75669860839844</v>
      </c>
      <c r="DW231">
        <v>827</v>
      </c>
      <c r="DX231">
        <v>241650</v>
      </c>
      <c r="DY231">
        <v>78.900000000000006</v>
      </c>
      <c r="DZ231" t="s">
        <v>312</v>
      </c>
    </row>
    <row r="232" spans="1:130" x14ac:dyDescent="0.25">
      <c r="A232" s="1">
        <v>39783</v>
      </c>
      <c r="B232" s="33">
        <v>89.6</v>
      </c>
      <c r="C232" s="107">
        <v>2.4900000000000002</v>
      </c>
      <c r="D232" s="33">
        <v>2.5</v>
      </c>
      <c r="E232" s="33">
        <v>4.22</v>
      </c>
      <c r="F232" s="33">
        <v>2.48</v>
      </c>
      <c r="G232" s="33">
        <v>2.78</v>
      </c>
      <c r="H232" s="33">
        <v>3.05</v>
      </c>
      <c r="I232" s="33">
        <f t="shared" si="39"/>
        <v>0.55999999999999961</v>
      </c>
      <c r="J232" s="33">
        <f t="shared" si="40"/>
        <v>0.54999999999999982</v>
      </c>
      <c r="K232" s="33">
        <f t="shared" si="41"/>
        <v>-1.17</v>
      </c>
      <c r="L232" s="33">
        <f t="shared" si="42"/>
        <v>9.9999999999997868E-3</v>
      </c>
      <c r="M232" s="33">
        <v>101.9</v>
      </c>
      <c r="N232" s="33">
        <v>4394.79</v>
      </c>
      <c r="O232" s="33">
        <v>57.94</v>
      </c>
      <c r="P232" s="33">
        <v>829.1</v>
      </c>
      <c r="Q232" s="34">
        <f t="shared" si="43"/>
        <v>9.5960648148148149</v>
      </c>
      <c r="R232" s="60">
        <v>1860.7</v>
      </c>
      <c r="S232" s="34">
        <f t="shared" si="44"/>
        <v>2153.587962962963</v>
      </c>
      <c r="T232" s="60">
        <v>2021.1</v>
      </c>
      <c r="U232" s="34">
        <f t="shared" si="45"/>
        <v>2339.2361111111109</v>
      </c>
      <c r="V232" s="116">
        <v>352814</v>
      </c>
      <c r="W232" s="116">
        <v>3992578</v>
      </c>
      <c r="X232" s="117">
        <v>8041762</v>
      </c>
      <c r="Y232" s="117">
        <v>1360610</v>
      </c>
      <c r="Z232" s="33">
        <v>82.2</v>
      </c>
      <c r="AA232" s="33">
        <v>66.3</v>
      </c>
      <c r="AB232" s="33">
        <v>82.1</v>
      </c>
      <c r="AC232" s="33">
        <v>62.4</v>
      </c>
      <c r="AD232" s="33">
        <v>40969</v>
      </c>
      <c r="AE232" s="33">
        <v>7.7</v>
      </c>
      <c r="AF232" s="33">
        <v>356</v>
      </c>
      <c r="AG232" s="33">
        <v>86.7</v>
      </c>
      <c r="AH232" s="33">
        <v>86.4</v>
      </c>
      <c r="AI232" s="33">
        <v>87.5</v>
      </c>
      <c r="AJ232" s="33">
        <v>87.4</v>
      </c>
      <c r="AK232" s="33">
        <v>200.09110799999999</v>
      </c>
      <c r="AL232" s="33">
        <v>74</v>
      </c>
      <c r="AM232" s="123">
        <v>43.971202690071813</v>
      </c>
      <c r="AN232" s="123">
        <v>75.690953859967465</v>
      </c>
      <c r="AO232" s="123">
        <v>77.450746035045526</v>
      </c>
      <c r="AP232" s="33">
        <v>30.07</v>
      </c>
      <c r="AQ232" s="33">
        <f t="shared" si="46"/>
        <v>0.34365714285714288</v>
      </c>
      <c r="AR232" s="33">
        <v>78</v>
      </c>
      <c r="AS232" s="33">
        <v>75.900000000000006</v>
      </c>
      <c r="AT232" s="33">
        <v>80.099999999999994</v>
      </c>
      <c r="AU232" s="33">
        <v>74.900000000000006</v>
      </c>
      <c r="AV232" s="65">
        <v>71.8</v>
      </c>
      <c r="AW232" s="33">
        <v>78.2</v>
      </c>
      <c r="AX232" s="33">
        <v>-49.2</v>
      </c>
      <c r="AY232" s="33">
        <v>-54.7</v>
      </c>
      <c r="AZ232" s="33">
        <v>-36.9</v>
      </c>
      <c r="BA232" s="33">
        <v>-43.3</v>
      </c>
      <c r="BB232" s="33">
        <v>79.900000000000006</v>
      </c>
      <c r="BC232" s="33">
        <v>76.599999999999994</v>
      </c>
      <c r="BD232" s="33">
        <v>83.3</v>
      </c>
      <c r="BE232" s="33">
        <v>-64.5</v>
      </c>
      <c r="BF232" s="33">
        <v>-45.2</v>
      </c>
      <c r="BG232" s="33">
        <v>-32.4</v>
      </c>
      <c r="BH232" s="33">
        <v>183.1</v>
      </c>
      <c r="BI232" s="33">
        <v>20.3</v>
      </c>
      <c r="BJ232" s="34">
        <v>32.657963719999998</v>
      </c>
      <c r="BK232" s="45">
        <v>-17.829139841293173</v>
      </c>
      <c r="BL232" s="33">
        <v>-1.8280000000000001</v>
      </c>
      <c r="BM232" s="33">
        <v>94.788499999999999</v>
      </c>
      <c r="BN232" s="33">
        <v>95.524199999999993</v>
      </c>
      <c r="BO232" s="33">
        <v>-41.4</v>
      </c>
      <c r="BP232" s="33">
        <v>-39.700000000000003</v>
      </c>
      <c r="BQ232" s="33">
        <v>26.6</v>
      </c>
      <c r="BR232" s="33">
        <v>-42.8</v>
      </c>
      <c r="BS232" s="33">
        <v>-7.8</v>
      </c>
      <c r="BT232" s="33">
        <v>-33.799999999999997</v>
      </c>
      <c r="BU232" s="33">
        <v>-36.9</v>
      </c>
      <c r="BV232" s="33">
        <v>-12.4</v>
      </c>
      <c r="BW232" s="33">
        <v>-19.8</v>
      </c>
      <c r="BX232" s="33">
        <v>-33.6</v>
      </c>
      <c r="BY232" s="33">
        <v>-28</v>
      </c>
      <c r="BZ232" s="33">
        <v>74.2</v>
      </c>
      <c r="CA232" s="33">
        <v>-19.8</v>
      </c>
      <c r="CB232" s="33">
        <v>-7.8</v>
      </c>
      <c r="CC232" s="33">
        <v>-3.4</v>
      </c>
      <c r="CD232" s="33">
        <v>-45.3</v>
      </c>
      <c r="CE232" s="33">
        <v>-49.8</v>
      </c>
      <c r="CF232" s="33">
        <v>43.8</v>
      </c>
      <c r="CG232" s="33">
        <v>24.3</v>
      </c>
      <c r="CH232" s="33">
        <v>49</v>
      </c>
      <c r="CI232" s="33">
        <v>-20.7</v>
      </c>
      <c r="CJ232" s="33">
        <v>-18.3</v>
      </c>
      <c r="CK232" s="33">
        <v>1.4</v>
      </c>
      <c r="CL232" s="33">
        <v>20.7</v>
      </c>
      <c r="CM232" s="33">
        <v>2407.0033910000002</v>
      </c>
      <c r="CN232" s="33">
        <v>8149.09</v>
      </c>
      <c r="CO232" s="33">
        <v>877.15260899999998</v>
      </c>
      <c r="CP232" s="33">
        <v>3.653</v>
      </c>
      <c r="CQ232" s="33">
        <v>2.72</v>
      </c>
      <c r="CR232" s="33">
        <v>54</v>
      </c>
      <c r="CS232" s="121">
        <f t="shared" si="38"/>
        <v>56.55</v>
      </c>
      <c r="CT232" s="33">
        <v>68.5</v>
      </c>
      <c r="CU232" s="33">
        <v>67.599999999999994</v>
      </c>
      <c r="CV232" s="33">
        <v>95.9</v>
      </c>
      <c r="CW232" s="33">
        <v>77.599999999999994</v>
      </c>
      <c r="CX232" s="33">
        <v>76.7</v>
      </c>
      <c r="CY232" s="33">
        <v>5.41</v>
      </c>
      <c r="CZ232" s="33">
        <v>36286.014999999999</v>
      </c>
      <c r="DA232" s="33">
        <v>4.42</v>
      </c>
      <c r="DB232" s="33">
        <v>24.37</v>
      </c>
      <c r="DC232" s="33">
        <v>41.03</v>
      </c>
      <c r="DD232" s="33">
        <v>12.84</v>
      </c>
      <c r="DE232" s="33">
        <v>9796.3690000000006</v>
      </c>
      <c r="DF232" s="33">
        <v>2718.9389999999999</v>
      </c>
      <c r="DG232" s="33">
        <v>2330.8510000000001</v>
      </c>
      <c r="DH232" s="33">
        <v>973.05200000000002</v>
      </c>
      <c r="DI232" s="33">
        <v>2779.6579999999999</v>
      </c>
      <c r="DJ232" s="33">
        <v>96.756100000000004</v>
      </c>
      <c r="DK232" s="33">
        <v>95.875900000000001</v>
      </c>
      <c r="DL232" s="33">
        <v>94.8</v>
      </c>
      <c r="DM232" s="33">
        <v>93.385999999999996</v>
      </c>
      <c r="DN232" s="33">
        <v>95.524199999999993</v>
      </c>
      <c r="DO232" s="33">
        <v>94.788499999999999</v>
      </c>
      <c r="DP232" s="33">
        <v>96.049099999999996</v>
      </c>
      <c r="DQ232" s="33">
        <v>95.653700000000001</v>
      </c>
      <c r="DR232" s="33">
        <v>200780</v>
      </c>
      <c r="DS232" s="73">
        <v>27893</v>
      </c>
      <c r="DT232" s="73">
        <v>88.9</v>
      </c>
      <c r="DU232">
        <v>136.78456115722656</v>
      </c>
      <c r="DV232">
        <v>192.48844909667969</v>
      </c>
      <c r="DW232">
        <v>700</v>
      </c>
      <c r="DX232">
        <v>293025</v>
      </c>
      <c r="DY232">
        <v>77.8</v>
      </c>
      <c r="DZ232" t="s">
        <v>312</v>
      </c>
    </row>
    <row r="233" spans="1:130" x14ac:dyDescent="0.25">
      <c r="A233" s="1">
        <v>39814</v>
      </c>
      <c r="B233" s="33">
        <v>83.4</v>
      </c>
      <c r="C233" s="107">
        <v>1.81</v>
      </c>
      <c r="D233" s="33">
        <v>2</v>
      </c>
      <c r="E233" s="33">
        <v>3.33</v>
      </c>
      <c r="F233" s="33">
        <v>2.2400000000000002</v>
      </c>
      <c r="G233" s="33">
        <v>2.75</v>
      </c>
      <c r="H233" s="33">
        <v>3.07</v>
      </c>
      <c r="I233" s="33">
        <f t="shared" si="39"/>
        <v>1.2599999999999998</v>
      </c>
      <c r="J233" s="33">
        <f t="shared" si="40"/>
        <v>1.0699999999999998</v>
      </c>
      <c r="K233" s="33">
        <f t="shared" si="41"/>
        <v>-0.26000000000000023</v>
      </c>
      <c r="L233" s="33">
        <f t="shared" si="42"/>
        <v>0.18999999999999995</v>
      </c>
      <c r="M233" s="33">
        <v>101.5</v>
      </c>
      <c r="N233" s="33">
        <v>4810.2</v>
      </c>
      <c r="O233" s="33">
        <v>41.7</v>
      </c>
      <c r="P233" s="33">
        <v>890</v>
      </c>
      <c r="Q233" s="34">
        <f t="shared" si="43"/>
        <v>10.277136258660509</v>
      </c>
      <c r="R233" s="60">
        <v>1895.6</v>
      </c>
      <c r="S233" s="34">
        <f t="shared" si="44"/>
        <v>2188.9145496535798</v>
      </c>
      <c r="T233" s="60">
        <v>2044</v>
      </c>
      <c r="U233" s="34">
        <f t="shared" si="45"/>
        <v>2360.2771362586604</v>
      </c>
      <c r="V233" s="116">
        <v>360854</v>
      </c>
      <c r="W233" s="116">
        <v>4091136</v>
      </c>
      <c r="X233" s="117">
        <v>8089401</v>
      </c>
      <c r="Y233" s="117">
        <v>1313375</v>
      </c>
      <c r="Z233" s="33">
        <v>76.8</v>
      </c>
      <c r="AA233" s="33">
        <v>61.4</v>
      </c>
      <c r="AB233" s="33">
        <v>77.2</v>
      </c>
      <c r="AC233" s="33">
        <v>57.1</v>
      </c>
      <c r="AD233" s="33">
        <v>41013</v>
      </c>
      <c r="AE233" s="33">
        <v>7.8</v>
      </c>
      <c r="AF233" s="33">
        <v>342</v>
      </c>
      <c r="AG233" s="33">
        <v>86.9</v>
      </c>
      <c r="AH233" s="33">
        <v>86.6</v>
      </c>
      <c r="AI233" s="33">
        <v>86.7</v>
      </c>
      <c r="AJ233" s="33">
        <v>87</v>
      </c>
      <c r="AK233" s="33">
        <v>197.77688699999999</v>
      </c>
      <c r="AL233" s="33">
        <v>71.7</v>
      </c>
      <c r="AM233" s="123">
        <v>35.805122190487047</v>
      </c>
      <c r="AN233" s="123">
        <v>81.612019350968822</v>
      </c>
      <c r="AO233" s="123">
        <v>69.476527212502376</v>
      </c>
      <c r="AP233" s="33">
        <v>32.58</v>
      </c>
      <c r="AQ233" s="33">
        <f t="shared" si="46"/>
        <v>0.37577854671280275</v>
      </c>
      <c r="AR233" s="33">
        <v>78.099999999999994</v>
      </c>
      <c r="AS233" s="33">
        <v>77.3</v>
      </c>
      <c r="AT233" s="33">
        <v>78.900000000000006</v>
      </c>
      <c r="AU233" s="33">
        <v>75.2</v>
      </c>
      <c r="AV233" s="65">
        <v>75.3</v>
      </c>
      <c r="AW233" s="33">
        <v>75</v>
      </c>
      <c r="AX233" s="33">
        <v>-46</v>
      </c>
      <c r="AY233" s="33">
        <v>-53.9</v>
      </c>
      <c r="AZ233" s="33">
        <v>-38.5</v>
      </c>
      <c r="BA233" s="33">
        <v>-44.5</v>
      </c>
      <c r="BB233" s="33">
        <v>81.3</v>
      </c>
      <c r="BC233" s="33">
        <v>78.099999999999994</v>
      </c>
      <c r="BD233" s="33">
        <v>84.6</v>
      </c>
      <c r="BE233" s="33">
        <v>-77.099999999999994</v>
      </c>
      <c r="BF233" s="33">
        <v>-31</v>
      </c>
      <c r="BG233" s="33">
        <v>-32.9</v>
      </c>
      <c r="BH233" s="33">
        <v>182.1</v>
      </c>
      <c r="BI233" s="33">
        <v>45.8</v>
      </c>
      <c r="BJ233" s="34">
        <v>31.95722645</v>
      </c>
      <c r="BK233" s="45">
        <v>1.3245565914016453</v>
      </c>
      <c r="BL233" s="33">
        <v>-2.0489999999999999</v>
      </c>
      <c r="BM233" s="33">
        <v>94.382599999999996</v>
      </c>
      <c r="BN233" s="33">
        <v>95.175399999999996</v>
      </c>
      <c r="BO233" s="33">
        <v>-47.8</v>
      </c>
      <c r="BP233" s="33">
        <v>-45.3</v>
      </c>
      <c r="BQ233" s="33">
        <v>23.3</v>
      </c>
      <c r="BR233" s="33">
        <v>-41.4</v>
      </c>
      <c r="BS233" s="33">
        <v>-11.5</v>
      </c>
      <c r="BT233" s="33">
        <v>-34.299999999999997</v>
      </c>
      <c r="BU233" s="33">
        <v>-37.5</v>
      </c>
      <c r="BV233" s="33">
        <v>-11.2</v>
      </c>
      <c r="BW233" s="33">
        <v>-19.600000000000001</v>
      </c>
      <c r="BX233" s="33">
        <v>-29.8</v>
      </c>
      <c r="BY233" s="33">
        <v>-29.7</v>
      </c>
      <c r="BZ233" s="33">
        <v>75.099999999999994</v>
      </c>
      <c r="CA233" s="33">
        <v>-19.600000000000001</v>
      </c>
      <c r="CB233" s="33">
        <v>-7.6</v>
      </c>
      <c r="CC233" s="33">
        <v>-4.3</v>
      </c>
      <c r="CD233" s="33">
        <v>-50.4</v>
      </c>
      <c r="CE233" s="33">
        <v>-50.5</v>
      </c>
      <c r="CF233" s="33">
        <v>41.6</v>
      </c>
      <c r="CG233" s="33">
        <v>26</v>
      </c>
      <c r="CH233" s="33">
        <v>57.2</v>
      </c>
      <c r="CI233" s="33">
        <v>-12.6</v>
      </c>
      <c r="CJ233" s="33">
        <v>-15.9</v>
      </c>
      <c r="CK233" s="33">
        <v>-0.6</v>
      </c>
      <c r="CL233" s="33">
        <v>20.3</v>
      </c>
      <c r="CM233" s="33">
        <v>2344.9304550000002</v>
      </c>
      <c r="CN233" s="33">
        <v>8776.39</v>
      </c>
      <c r="CO233" s="33">
        <v>866.58545500000002</v>
      </c>
      <c r="CP233" s="33">
        <v>3.323</v>
      </c>
      <c r="CQ233" s="33">
        <v>2.25</v>
      </c>
      <c r="CR233" s="33">
        <v>57.8</v>
      </c>
      <c r="CS233" s="121">
        <f t="shared" si="38"/>
        <v>67.95</v>
      </c>
      <c r="CT233" s="33">
        <v>70.5</v>
      </c>
      <c r="CU233" s="33">
        <v>69.7</v>
      </c>
      <c r="CV233" s="33">
        <v>87.9</v>
      </c>
      <c r="CW233" s="33">
        <v>77.5</v>
      </c>
      <c r="CX233" s="33">
        <v>72.099999999999994</v>
      </c>
      <c r="CY233" s="33">
        <v>4.9400000000000004</v>
      </c>
      <c r="CZ233" s="33">
        <v>37134.184999999998</v>
      </c>
      <c r="DA233" s="33">
        <v>3.7</v>
      </c>
      <c r="DB233" s="33">
        <v>23.28</v>
      </c>
      <c r="DC233" s="33">
        <v>38.92</v>
      </c>
      <c r="DD233" s="33">
        <v>11.39</v>
      </c>
      <c r="DE233" s="33">
        <v>7812.1869999999999</v>
      </c>
      <c r="DF233" s="33">
        <v>1819.279</v>
      </c>
      <c r="DG233" s="33">
        <v>1586.579</v>
      </c>
      <c r="DH233" s="33">
        <v>810.09100000000001</v>
      </c>
      <c r="DI233" s="33">
        <v>2273.11</v>
      </c>
      <c r="DJ233" s="33">
        <v>96.804900000000004</v>
      </c>
      <c r="DK233" s="33">
        <v>95.9636</v>
      </c>
      <c r="DL233" s="33">
        <v>95.01</v>
      </c>
      <c r="DM233" s="33">
        <v>93.652799999999999</v>
      </c>
      <c r="DN233" s="33">
        <v>95.175399999999996</v>
      </c>
      <c r="DO233" s="33">
        <v>94.382599999999996</v>
      </c>
      <c r="DP233" s="33">
        <v>95.555199999999999</v>
      </c>
      <c r="DQ233" s="33">
        <v>95.110399999999998</v>
      </c>
      <c r="DR233" s="33">
        <v>452137</v>
      </c>
      <c r="DS233" s="73">
        <v>27862</v>
      </c>
      <c r="DT233" s="73">
        <v>88.9</v>
      </c>
      <c r="DU233">
        <v>159.99383544921875</v>
      </c>
      <c r="DV233">
        <v>174.72273254394531</v>
      </c>
      <c r="DW233">
        <v>774</v>
      </c>
      <c r="DX233">
        <v>340550</v>
      </c>
      <c r="DY233">
        <v>74.400000000000006</v>
      </c>
      <c r="DZ233" t="s">
        <v>312</v>
      </c>
    </row>
    <row r="234" spans="1:130" x14ac:dyDescent="0.25">
      <c r="A234" s="1">
        <v>39845</v>
      </c>
      <c r="B234" s="33">
        <v>80.900000000000006</v>
      </c>
      <c r="C234" s="107">
        <v>1.26</v>
      </c>
      <c r="D234" s="33">
        <v>2</v>
      </c>
      <c r="E234" s="33">
        <v>2.56</v>
      </c>
      <c r="F234" s="33">
        <v>2.08</v>
      </c>
      <c r="G234" s="33">
        <v>2.73</v>
      </c>
      <c r="H234" s="33">
        <v>3.13</v>
      </c>
      <c r="I234" s="33">
        <f t="shared" si="39"/>
        <v>1.8699999999999999</v>
      </c>
      <c r="J234" s="33">
        <f t="shared" si="40"/>
        <v>1.1299999999999999</v>
      </c>
      <c r="K234" s="33">
        <f t="shared" si="41"/>
        <v>0.56999999999999984</v>
      </c>
      <c r="L234" s="33">
        <f t="shared" si="42"/>
        <v>0.74</v>
      </c>
      <c r="M234" s="33">
        <v>100.6</v>
      </c>
      <c r="N234" s="33">
        <v>4271.04</v>
      </c>
      <c r="O234" s="33">
        <v>46.31</v>
      </c>
      <c r="P234" s="33">
        <v>910.1</v>
      </c>
      <c r="Q234" s="34">
        <f t="shared" si="43"/>
        <v>10.497116493656286</v>
      </c>
      <c r="R234" s="60">
        <v>1901.8</v>
      </c>
      <c r="S234" s="34">
        <f t="shared" si="44"/>
        <v>2193.5409457900805</v>
      </c>
      <c r="T234" s="60">
        <v>2057.1999999999998</v>
      </c>
      <c r="U234" s="34">
        <f t="shared" si="45"/>
        <v>2372.7797001153399</v>
      </c>
      <c r="V234" s="116">
        <v>347232</v>
      </c>
      <c r="W234" s="116">
        <v>4132097</v>
      </c>
      <c r="X234" s="117">
        <v>8112143</v>
      </c>
      <c r="Y234" s="117">
        <v>1324724</v>
      </c>
      <c r="Z234" s="33">
        <v>76.400000000000006</v>
      </c>
      <c r="AA234" s="33">
        <v>59.4</v>
      </c>
      <c r="AB234" s="33">
        <v>72.8</v>
      </c>
      <c r="AC234" s="33">
        <v>56.4</v>
      </c>
      <c r="AD234" s="33">
        <v>41035</v>
      </c>
      <c r="AE234" s="33">
        <v>7.9</v>
      </c>
      <c r="AF234" s="33">
        <v>333</v>
      </c>
      <c r="AG234" s="33">
        <v>87</v>
      </c>
      <c r="AH234" s="33">
        <v>86.7</v>
      </c>
      <c r="AI234" s="33">
        <v>86.4</v>
      </c>
      <c r="AJ234" s="33">
        <v>86.8</v>
      </c>
      <c r="AK234" s="33">
        <v>196.70878500000001</v>
      </c>
      <c r="AL234" s="33">
        <v>71</v>
      </c>
      <c r="AM234" s="123">
        <v>44.300186330585028</v>
      </c>
      <c r="AN234" s="123">
        <v>82.63682781313851</v>
      </c>
      <c r="AO234" s="123">
        <v>76.174427711746887</v>
      </c>
      <c r="AP234" s="33">
        <v>33.53</v>
      </c>
      <c r="AQ234" s="33">
        <f t="shared" si="46"/>
        <v>0.38807870370370368</v>
      </c>
      <c r="AR234" s="33">
        <v>76.900000000000006</v>
      </c>
      <c r="AS234" s="33">
        <v>79.099999999999994</v>
      </c>
      <c r="AT234" s="33">
        <v>74.8</v>
      </c>
      <c r="AU234" s="33">
        <v>73.2</v>
      </c>
      <c r="AV234" s="65">
        <v>76.599999999999994</v>
      </c>
      <c r="AW234" s="33">
        <v>69.900000000000006</v>
      </c>
      <c r="AX234" s="33">
        <v>-48.8</v>
      </c>
      <c r="AY234" s="33">
        <v>-52.2</v>
      </c>
      <c r="AZ234" s="33">
        <v>-46.4</v>
      </c>
      <c r="BA234" s="33">
        <v>-41.1</v>
      </c>
      <c r="BB234" s="33">
        <v>77.900000000000006</v>
      </c>
      <c r="BC234" s="33">
        <v>77.2</v>
      </c>
      <c r="BD234" s="33">
        <v>78.7</v>
      </c>
      <c r="BE234" s="33">
        <v>-86.2</v>
      </c>
      <c r="BF234" s="33">
        <v>-5.8</v>
      </c>
      <c r="BG234" s="33">
        <v>-27.9</v>
      </c>
      <c r="BH234" s="33">
        <v>184.2</v>
      </c>
      <c r="BI234" s="33">
        <v>66.3</v>
      </c>
      <c r="BJ234" s="34">
        <v>32.136745130000001</v>
      </c>
      <c r="BK234" s="45">
        <v>10.866955782165046</v>
      </c>
      <c r="BL234" s="33">
        <v>-2.0449999999999999</v>
      </c>
      <c r="BM234" s="33">
        <v>94.270499999999998</v>
      </c>
      <c r="BN234" s="33">
        <v>95.079099999999997</v>
      </c>
      <c r="BO234" s="33">
        <v>-56.7</v>
      </c>
      <c r="BP234" s="33">
        <v>-54.1</v>
      </c>
      <c r="BQ234" s="33">
        <v>28.5</v>
      </c>
      <c r="BR234" s="33">
        <v>-38.6</v>
      </c>
      <c r="BS234" s="33">
        <v>-12.1</v>
      </c>
      <c r="BT234" s="33">
        <v>-34.4</v>
      </c>
      <c r="BU234" s="33">
        <v>-41.3</v>
      </c>
      <c r="BV234" s="33">
        <v>-11.8</v>
      </c>
      <c r="BW234" s="33">
        <v>-19.899999999999999</v>
      </c>
      <c r="BX234" s="33">
        <v>-25.9</v>
      </c>
      <c r="BY234" s="33">
        <v>-29.8</v>
      </c>
      <c r="BZ234" s="33">
        <v>73.5</v>
      </c>
      <c r="CA234" s="33">
        <v>-19.899999999999999</v>
      </c>
      <c r="CB234" s="33">
        <v>-7.3</v>
      </c>
      <c r="CC234" s="33">
        <v>-2.7</v>
      </c>
      <c r="CD234" s="33">
        <v>-58</v>
      </c>
      <c r="CE234" s="33">
        <v>-51</v>
      </c>
      <c r="CF234" s="33">
        <v>30.6</v>
      </c>
      <c r="CG234" s="33">
        <v>16</v>
      </c>
      <c r="CH234" s="33">
        <v>64.3</v>
      </c>
      <c r="CI234" s="33">
        <v>-11.5</v>
      </c>
      <c r="CJ234" s="33">
        <v>-18.5</v>
      </c>
      <c r="CK234" s="33">
        <v>0.3</v>
      </c>
      <c r="CL234" s="33">
        <v>21.8</v>
      </c>
      <c r="CM234" s="33">
        <v>2159.8429500000002</v>
      </c>
      <c r="CN234" s="33">
        <v>7936.82</v>
      </c>
      <c r="CO234" s="33">
        <v>806.30799999999999</v>
      </c>
      <c r="CP234" s="33">
        <v>3.9020000000000001</v>
      </c>
      <c r="CQ234" s="33">
        <v>2.76</v>
      </c>
      <c r="CR234" s="33">
        <v>50.5</v>
      </c>
      <c r="CS234" s="121">
        <f t="shared" si="38"/>
        <v>65.95</v>
      </c>
      <c r="CT234" s="33">
        <v>69.5</v>
      </c>
      <c r="CU234" s="33">
        <v>66.900000000000006</v>
      </c>
      <c r="CV234" s="33">
        <v>78.5</v>
      </c>
      <c r="CW234" s="33">
        <v>69.8</v>
      </c>
      <c r="CX234" s="33">
        <v>69.5</v>
      </c>
      <c r="CY234" s="33">
        <v>4.83</v>
      </c>
      <c r="CZ234" s="33">
        <v>36229.517999999996</v>
      </c>
      <c r="DA234" s="33">
        <v>3.66</v>
      </c>
      <c r="DB234" s="33">
        <v>22.21</v>
      </c>
      <c r="DC234" s="33">
        <v>37.119999999999997</v>
      </c>
      <c r="DD234" s="33">
        <v>11.1</v>
      </c>
      <c r="DE234" s="33">
        <v>8193.6830000000009</v>
      </c>
      <c r="DF234" s="33">
        <v>1909.221</v>
      </c>
      <c r="DG234" s="33">
        <v>1738.9480000000001</v>
      </c>
      <c r="DH234" s="33">
        <v>919.31100000000004</v>
      </c>
      <c r="DI234" s="33">
        <v>2405.163</v>
      </c>
      <c r="DJ234" s="33">
        <v>97.039000000000001</v>
      </c>
      <c r="DK234" s="33">
        <v>96.282600000000002</v>
      </c>
      <c r="DL234" s="33">
        <v>95.46</v>
      </c>
      <c r="DM234" s="33">
        <v>94.229299999999995</v>
      </c>
      <c r="DN234" s="33">
        <v>95.079099999999997</v>
      </c>
      <c r="DO234" s="33">
        <v>94.270499999999998</v>
      </c>
      <c r="DP234" s="33">
        <v>95.282200000000003</v>
      </c>
      <c r="DQ234" s="33">
        <v>94.810100000000006</v>
      </c>
      <c r="DR234" s="33">
        <v>919231</v>
      </c>
      <c r="DS234" s="73">
        <v>27830</v>
      </c>
      <c r="DT234" s="73">
        <v>88.2</v>
      </c>
      <c r="DU234">
        <v>139.69697570800781</v>
      </c>
      <c r="DV234">
        <v>121.99932098388672</v>
      </c>
      <c r="DW234">
        <v>1099</v>
      </c>
      <c r="DX234">
        <v>495300</v>
      </c>
      <c r="DY234">
        <v>73.099999999999994</v>
      </c>
      <c r="DZ234" t="s">
        <v>312</v>
      </c>
    </row>
    <row r="235" spans="1:130" x14ac:dyDescent="0.25">
      <c r="A235" s="1">
        <v>39873</v>
      </c>
      <c r="B235" s="33">
        <v>81.2</v>
      </c>
      <c r="C235" s="107">
        <v>1.06</v>
      </c>
      <c r="D235" s="33">
        <v>1.5</v>
      </c>
      <c r="E235" s="33">
        <v>2.0099999999999998</v>
      </c>
      <c r="F235" s="33">
        <v>2.0299999999999998</v>
      </c>
      <c r="G235" s="33">
        <v>2.64</v>
      </c>
      <c r="H235" s="33">
        <v>3.02</v>
      </c>
      <c r="I235" s="33">
        <f t="shared" si="39"/>
        <v>1.96</v>
      </c>
      <c r="J235" s="33">
        <f t="shared" si="40"/>
        <v>1.52</v>
      </c>
      <c r="K235" s="33">
        <f t="shared" si="41"/>
        <v>1.0100000000000002</v>
      </c>
      <c r="L235" s="33">
        <f t="shared" si="42"/>
        <v>0.43999999999999995</v>
      </c>
      <c r="M235" s="33">
        <v>101.6</v>
      </c>
      <c r="N235" s="33">
        <v>3710.07</v>
      </c>
      <c r="O235" s="33">
        <v>47.48</v>
      </c>
      <c r="P235" s="33">
        <v>908.5</v>
      </c>
      <c r="Q235" s="34">
        <f t="shared" si="43"/>
        <v>10.478662053056516</v>
      </c>
      <c r="R235" s="60">
        <v>1886.3</v>
      </c>
      <c r="S235" s="34">
        <f t="shared" si="44"/>
        <v>2175.663206459054</v>
      </c>
      <c r="T235" s="60">
        <v>2036.2</v>
      </c>
      <c r="U235" s="34">
        <f t="shared" si="45"/>
        <v>2348.5582468281427</v>
      </c>
      <c r="V235" s="116">
        <v>365588</v>
      </c>
      <c r="W235" s="116">
        <v>4147215</v>
      </c>
      <c r="X235" s="117">
        <v>8093515</v>
      </c>
      <c r="Y235" s="117">
        <v>1309788</v>
      </c>
      <c r="Z235" s="33">
        <v>74.900000000000006</v>
      </c>
      <c r="AA235" s="33">
        <v>61.8</v>
      </c>
      <c r="AB235" s="33">
        <v>72.900000000000006</v>
      </c>
      <c r="AC235" s="33">
        <v>59.7</v>
      </c>
      <c r="AD235" s="33">
        <v>40989</v>
      </c>
      <c r="AE235" s="33">
        <v>8.1</v>
      </c>
      <c r="AF235" s="33">
        <v>319</v>
      </c>
      <c r="AG235" s="33">
        <v>86.8</v>
      </c>
      <c r="AH235" s="33">
        <v>86.7</v>
      </c>
      <c r="AI235" s="33">
        <v>85.5</v>
      </c>
      <c r="AJ235" s="33">
        <v>86.4</v>
      </c>
      <c r="AK235" s="33">
        <v>195.284649</v>
      </c>
      <c r="AL235" s="33">
        <v>71.400000000000006</v>
      </c>
      <c r="AM235" s="123">
        <v>44.300186330585028</v>
      </c>
      <c r="AN235" s="123">
        <v>85.888740018748138</v>
      </c>
      <c r="AO235" s="123">
        <v>72.975501613615776</v>
      </c>
      <c r="AP235" s="33">
        <v>35.67</v>
      </c>
      <c r="AQ235" s="33">
        <f t="shared" si="46"/>
        <v>0.41719298245614039</v>
      </c>
      <c r="AR235" s="33">
        <v>75.7</v>
      </c>
      <c r="AS235" s="33">
        <v>79.400000000000006</v>
      </c>
      <c r="AT235" s="33">
        <v>72.2</v>
      </c>
      <c r="AU235" s="33">
        <v>72.3</v>
      </c>
      <c r="AV235" s="65">
        <v>77.900000000000006</v>
      </c>
      <c r="AW235" s="33">
        <v>67.099999999999994</v>
      </c>
      <c r="AX235" s="33">
        <v>-52</v>
      </c>
      <c r="AY235" s="33">
        <v>-46.8</v>
      </c>
      <c r="AZ235" s="33">
        <v>-46.5</v>
      </c>
      <c r="BA235" s="33">
        <v>-36.6</v>
      </c>
      <c r="BB235" s="33">
        <v>75.599999999999994</v>
      </c>
      <c r="BC235" s="33">
        <v>76.099999999999994</v>
      </c>
      <c r="BD235" s="33">
        <v>75</v>
      </c>
      <c r="BE235" s="33">
        <v>-89.4</v>
      </c>
      <c r="BF235" s="33">
        <v>-3.5</v>
      </c>
      <c r="BG235" s="33">
        <v>-32.799999999999997</v>
      </c>
      <c r="BH235" s="33">
        <v>185.1</v>
      </c>
      <c r="BI235" s="33">
        <v>61.6</v>
      </c>
      <c r="BJ235" s="34">
        <v>32.362072259999998</v>
      </c>
      <c r="BK235" s="45">
        <v>22.061276392484569</v>
      </c>
      <c r="BL235" s="33">
        <v>-1.827</v>
      </c>
      <c r="BM235" s="33">
        <v>94.452399999999997</v>
      </c>
      <c r="BN235" s="33">
        <v>95.235500000000002</v>
      </c>
      <c r="BO235" s="33">
        <v>-60.9</v>
      </c>
      <c r="BP235" s="33">
        <v>-57.9</v>
      </c>
      <c r="BQ235" s="33">
        <v>28.9</v>
      </c>
      <c r="BR235" s="33">
        <v>-36</v>
      </c>
      <c r="BS235" s="33">
        <v>-14</v>
      </c>
      <c r="BT235" s="33">
        <v>-40.4</v>
      </c>
      <c r="BU235" s="33">
        <v>-42</v>
      </c>
      <c r="BV235" s="33">
        <v>-13.8</v>
      </c>
      <c r="BW235" s="33">
        <v>-20.6</v>
      </c>
      <c r="BX235" s="33">
        <v>-26.9</v>
      </c>
      <c r="BY235" s="33">
        <v>-28.7</v>
      </c>
      <c r="BZ235" s="33">
        <v>72.8</v>
      </c>
      <c r="CA235" s="33">
        <v>-20.6</v>
      </c>
      <c r="CB235" s="33">
        <v>-8.5</v>
      </c>
      <c r="CC235" s="33">
        <v>-2.8</v>
      </c>
      <c r="CD235" s="33">
        <v>-68.3</v>
      </c>
      <c r="CE235" s="33">
        <v>-54.7</v>
      </c>
      <c r="CF235" s="33">
        <v>22.6</v>
      </c>
      <c r="CG235" s="33">
        <v>16.8</v>
      </c>
      <c r="CH235" s="33">
        <v>71.099999999999994</v>
      </c>
      <c r="CI235" s="33">
        <v>-11.9</v>
      </c>
      <c r="CJ235" s="33">
        <v>-16.399999999999999</v>
      </c>
      <c r="CK235" s="33">
        <v>3</v>
      </c>
      <c r="CL235" s="33">
        <v>22.3</v>
      </c>
      <c r="CM235" s="33">
        <v>1993.926136</v>
      </c>
      <c r="CN235" s="33">
        <v>6763.3</v>
      </c>
      <c r="CO235" s="33">
        <v>757.12681799999996</v>
      </c>
      <c r="CP235" s="33">
        <v>3.5550000000000002</v>
      </c>
      <c r="CQ235" s="33">
        <v>2.91</v>
      </c>
      <c r="CR235" s="33">
        <v>53.5</v>
      </c>
      <c r="CS235" s="121">
        <f t="shared" si="38"/>
        <v>66.95</v>
      </c>
      <c r="CT235" s="33">
        <v>68.099999999999994</v>
      </c>
      <c r="CU235" s="33">
        <v>67.599999999999994</v>
      </c>
      <c r="CV235" s="33">
        <v>75.900000000000006</v>
      </c>
      <c r="CW235" s="33">
        <v>72.900000000000006</v>
      </c>
      <c r="CX235" s="33">
        <v>67.099999999999994</v>
      </c>
      <c r="CY235" s="33">
        <v>4.4000000000000004</v>
      </c>
      <c r="CZ235" s="33">
        <v>40079.048999999999</v>
      </c>
      <c r="DA235" s="33">
        <v>3.63</v>
      </c>
      <c r="DB235" s="33">
        <v>21.95</v>
      </c>
      <c r="DC235" s="33">
        <v>36.590000000000003</v>
      </c>
      <c r="DD235" s="33">
        <v>10.85</v>
      </c>
      <c r="DE235" s="33">
        <v>9140.9809999999998</v>
      </c>
      <c r="DF235" s="33">
        <v>2044.3679999999999</v>
      </c>
      <c r="DG235" s="33">
        <v>1852.567</v>
      </c>
      <c r="DH235" s="33">
        <v>920.87599999999998</v>
      </c>
      <c r="DI235" s="33">
        <v>2947.5390000000002</v>
      </c>
      <c r="DJ235" s="33">
        <v>97.413300000000007</v>
      </c>
      <c r="DK235" s="33">
        <v>96.774600000000007</v>
      </c>
      <c r="DL235" s="33">
        <v>96.09</v>
      </c>
      <c r="DM235" s="33">
        <v>95.029499999999999</v>
      </c>
      <c r="DN235" s="33">
        <v>95.235500000000002</v>
      </c>
      <c r="DO235" s="33">
        <v>94.452399999999997</v>
      </c>
      <c r="DP235" s="33">
        <v>95.246200000000002</v>
      </c>
      <c r="DQ235" s="33">
        <v>94.770600000000002</v>
      </c>
      <c r="DR235" s="33">
        <v>1193559</v>
      </c>
      <c r="DS235" s="73">
        <v>27772</v>
      </c>
      <c r="DT235" s="73">
        <v>87.5</v>
      </c>
      <c r="DU235">
        <v>133.46070861816406</v>
      </c>
      <c r="DV235">
        <v>144.33311462402344</v>
      </c>
      <c r="DW235">
        <v>2014</v>
      </c>
      <c r="DX235">
        <v>530875</v>
      </c>
      <c r="DY235">
        <v>71.900000000000006</v>
      </c>
      <c r="DZ235" t="s">
        <v>312</v>
      </c>
    </row>
    <row r="236" spans="1:130" x14ac:dyDescent="0.25">
      <c r="A236" s="1">
        <v>39904</v>
      </c>
      <c r="B236" s="33">
        <v>79</v>
      </c>
      <c r="C236" s="107">
        <v>0.84</v>
      </c>
      <c r="D236" s="33">
        <v>1.25</v>
      </c>
      <c r="E236" s="33">
        <v>1.67</v>
      </c>
      <c r="F236" s="33">
        <v>2.17</v>
      </c>
      <c r="G236" s="33">
        <v>2.73</v>
      </c>
      <c r="H236" s="33">
        <v>3.13</v>
      </c>
      <c r="I236" s="33">
        <f t="shared" si="39"/>
        <v>2.29</v>
      </c>
      <c r="J236" s="33">
        <f t="shared" si="40"/>
        <v>1.88</v>
      </c>
      <c r="K236" s="33">
        <f t="shared" si="41"/>
        <v>1.46</v>
      </c>
      <c r="L236" s="33">
        <f t="shared" si="42"/>
        <v>0.41000000000000003</v>
      </c>
      <c r="M236" s="33">
        <v>101.4</v>
      </c>
      <c r="N236" s="33">
        <v>4131.07</v>
      </c>
      <c r="O236" s="33">
        <v>39.14</v>
      </c>
      <c r="P236" s="33">
        <v>922.3</v>
      </c>
      <c r="Q236" s="34">
        <f t="shared" si="43"/>
        <v>10.625576036866359</v>
      </c>
      <c r="R236" s="60">
        <v>1895</v>
      </c>
      <c r="S236" s="34">
        <f t="shared" si="44"/>
        <v>2183.1797235023041</v>
      </c>
      <c r="T236" s="60">
        <v>2052.1</v>
      </c>
      <c r="U236" s="34">
        <f t="shared" si="45"/>
        <v>2364.1705069124423</v>
      </c>
      <c r="V236" s="116">
        <v>358605</v>
      </c>
      <c r="W236" s="116">
        <v>4190537</v>
      </c>
      <c r="X236" s="117">
        <v>8145669</v>
      </c>
      <c r="Y236" s="117">
        <v>1305446</v>
      </c>
      <c r="Z236" s="33">
        <v>73.3</v>
      </c>
      <c r="AA236" s="33">
        <v>61.5</v>
      </c>
      <c r="AB236" s="33">
        <v>74.400000000000006</v>
      </c>
      <c r="AC236" s="33">
        <v>57.2</v>
      </c>
      <c r="AD236" s="33">
        <v>40959</v>
      </c>
      <c r="AE236" s="33">
        <v>8.3000000000000007</v>
      </c>
      <c r="AF236" s="33">
        <v>304</v>
      </c>
      <c r="AG236" s="33">
        <v>86.7</v>
      </c>
      <c r="AH236" s="33">
        <v>86.8</v>
      </c>
      <c r="AI236" s="33">
        <v>84.6</v>
      </c>
      <c r="AJ236" s="33">
        <v>86.2</v>
      </c>
      <c r="AK236" s="33">
        <v>192.614394</v>
      </c>
      <c r="AL236" s="33">
        <v>72.3</v>
      </c>
      <c r="AM236" s="123">
        <v>45.493092204848011</v>
      </c>
      <c r="AN236" s="123">
        <v>92.327918912887256</v>
      </c>
      <c r="AO236" s="123">
        <v>74.469152231438329</v>
      </c>
      <c r="AP236" s="33">
        <v>38.28</v>
      </c>
      <c r="AQ236" s="33">
        <f t="shared" si="46"/>
        <v>0.45248226950354614</v>
      </c>
      <c r="AR236" s="33">
        <v>77.900000000000006</v>
      </c>
      <c r="AS236" s="33">
        <v>83.1</v>
      </c>
      <c r="AT236" s="33">
        <v>73</v>
      </c>
      <c r="AU236" s="33">
        <v>74.7</v>
      </c>
      <c r="AV236" s="65">
        <v>83.4</v>
      </c>
      <c r="AW236" s="33">
        <v>66.8</v>
      </c>
      <c r="AX236" s="33">
        <v>-48</v>
      </c>
      <c r="AY236" s="33">
        <v>-37.1</v>
      </c>
      <c r="AZ236" s="33">
        <v>-46.2</v>
      </c>
      <c r="BA236" s="33">
        <v>-31.5</v>
      </c>
      <c r="BB236" s="33">
        <v>79.400000000000006</v>
      </c>
      <c r="BC236" s="33">
        <v>80.099999999999994</v>
      </c>
      <c r="BD236" s="33">
        <v>78.7</v>
      </c>
      <c r="BE236" s="33">
        <v>-91.6</v>
      </c>
      <c r="BF236" s="33">
        <v>13</v>
      </c>
      <c r="BG236" s="33">
        <v>-31.2</v>
      </c>
      <c r="BH236" s="33">
        <v>182.4</v>
      </c>
      <c r="BI236" s="33">
        <v>26.6</v>
      </c>
      <c r="BJ236" s="34">
        <v>35.395840460000002</v>
      </c>
      <c r="BK236" s="45">
        <v>35.742159062234379</v>
      </c>
      <c r="BL236" s="33">
        <v>-1.52</v>
      </c>
      <c r="BM236" s="33">
        <v>94.906599999999997</v>
      </c>
      <c r="BN236" s="33">
        <v>95.625699999999995</v>
      </c>
      <c r="BO236" s="33">
        <v>-61</v>
      </c>
      <c r="BP236" s="33">
        <v>-60</v>
      </c>
      <c r="BQ236" s="33">
        <v>30</v>
      </c>
      <c r="BR236" s="33">
        <v>-28</v>
      </c>
      <c r="BS236" s="33">
        <v>-12.9</v>
      </c>
      <c r="BT236" s="33">
        <v>-40.6</v>
      </c>
      <c r="BU236" s="33">
        <v>-39.700000000000003</v>
      </c>
      <c r="BV236" s="33">
        <v>-10.9</v>
      </c>
      <c r="BW236" s="33">
        <v>-19.3</v>
      </c>
      <c r="BX236" s="33">
        <v>-22.4</v>
      </c>
      <c r="BY236" s="33">
        <v>-29.5</v>
      </c>
      <c r="BZ236" s="33">
        <v>75.099999999999994</v>
      </c>
      <c r="CA236" s="33">
        <v>-19.3</v>
      </c>
      <c r="CB236" s="33">
        <v>-6.2</v>
      </c>
      <c r="CC236" s="33">
        <v>-1.6</v>
      </c>
      <c r="CD236" s="33">
        <v>-71.5</v>
      </c>
      <c r="CE236" s="33">
        <v>-52.3</v>
      </c>
      <c r="CF236" s="33">
        <v>15</v>
      </c>
      <c r="CG236" s="33">
        <v>15.4</v>
      </c>
      <c r="CH236" s="33">
        <v>76.2</v>
      </c>
      <c r="CI236" s="33">
        <v>-12.4</v>
      </c>
      <c r="CJ236" s="33">
        <v>-17.2</v>
      </c>
      <c r="CK236" s="33">
        <v>1.5</v>
      </c>
      <c r="CL236" s="33">
        <v>20.9</v>
      </c>
      <c r="CM236" s="33">
        <v>2256.265273</v>
      </c>
      <c r="CN236" s="33">
        <v>7761.6</v>
      </c>
      <c r="CO236" s="33">
        <v>848.53409099999999</v>
      </c>
      <c r="CP236" s="33">
        <v>3.129</v>
      </c>
      <c r="CQ236" s="33">
        <v>2.68</v>
      </c>
      <c r="CR236" s="33">
        <v>63.1</v>
      </c>
      <c r="CS236" s="121">
        <f t="shared" si="38"/>
        <v>68.350000000000009</v>
      </c>
      <c r="CT236" s="33">
        <v>70</v>
      </c>
      <c r="CU236" s="33">
        <v>74</v>
      </c>
      <c r="CV236" s="33">
        <v>80.8</v>
      </c>
      <c r="CW236" s="33">
        <v>79.8</v>
      </c>
      <c r="CX236" s="33">
        <v>70.5</v>
      </c>
      <c r="CY236" s="33">
        <v>4.7699999999999996</v>
      </c>
      <c r="CZ236" s="33">
        <v>36769.427000000003</v>
      </c>
      <c r="DA236" s="33">
        <v>3.27</v>
      </c>
      <c r="DB236" s="33">
        <v>21.85</v>
      </c>
      <c r="DC236" s="33">
        <v>36.630000000000003</v>
      </c>
      <c r="DD236" s="33">
        <v>10.56</v>
      </c>
      <c r="DE236" s="33">
        <v>8683.5339999999997</v>
      </c>
      <c r="DF236" s="33">
        <v>1890.711</v>
      </c>
      <c r="DG236" s="33">
        <v>1504.8430000000001</v>
      </c>
      <c r="DH236" s="33">
        <v>790.80100000000004</v>
      </c>
      <c r="DI236" s="33">
        <v>2861.3980000000001</v>
      </c>
      <c r="DJ236" s="33">
        <v>97.891300000000001</v>
      </c>
      <c r="DK236" s="33">
        <v>97.393000000000001</v>
      </c>
      <c r="DL236" s="33">
        <v>96.84</v>
      </c>
      <c r="DM236" s="33">
        <v>95.983800000000002</v>
      </c>
      <c r="DN236" s="33">
        <v>95.625699999999995</v>
      </c>
      <c r="DO236" s="33">
        <v>94.906599999999997</v>
      </c>
      <c r="DP236" s="33">
        <v>95.437700000000007</v>
      </c>
      <c r="DQ236" s="33">
        <v>94.981200000000001</v>
      </c>
      <c r="DR236" s="33">
        <v>1425579</v>
      </c>
      <c r="DS236" s="73">
        <v>27721</v>
      </c>
      <c r="DT236" s="73">
        <v>87.8</v>
      </c>
      <c r="DU236">
        <v>119.99919891357422</v>
      </c>
      <c r="DV236">
        <v>120.31099700927734</v>
      </c>
      <c r="DW236">
        <v>1574</v>
      </c>
      <c r="DX236">
        <v>506975</v>
      </c>
      <c r="DY236">
        <v>72.7</v>
      </c>
      <c r="DZ236" t="s">
        <v>312</v>
      </c>
    </row>
    <row r="237" spans="1:130" x14ac:dyDescent="0.25">
      <c r="A237" s="1">
        <v>39934</v>
      </c>
      <c r="B237" s="33">
        <v>82</v>
      </c>
      <c r="C237" s="107">
        <v>0.78</v>
      </c>
      <c r="D237" s="33">
        <v>1</v>
      </c>
      <c r="E237" s="33">
        <v>1.45</v>
      </c>
      <c r="F237" s="33">
        <v>2.23</v>
      </c>
      <c r="G237" s="33">
        <v>2.9</v>
      </c>
      <c r="H237" s="33">
        <v>3.37</v>
      </c>
      <c r="I237" s="33">
        <f t="shared" si="39"/>
        <v>2.59</v>
      </c>
      <c r="J237" s="33">
        <f t="shared" si="40"/>
        <v>2.37</v>
      </c>
      <c r="K237" s="33">
        <f t="shared" si="41"/>
        <v>1.9200000000000002</v>
      </c>
      <c r="L237" s="33">
        <f t="shared" si="42"/>
        <v>0.21999999999999997</v>
      </c>
      <c r="M237" s="33">
        <v>101.6</v>
      </c>
      <c r="N237" s="33">
        <v>4769.45</v>
      </c>
      <c r="O237" s="33">
        <v>34.85</v>
      </c>
      <c r="P237" s="33">
        <v>925.7</v>
      </c>
      <c r="Q237" s="34">
        <f t="shared" si="43"/>
        <v>10.664746543778802</v>
      </c>
      <c r="R237" s="60">
        <v>1882.1</v>
      </c>
      <c r="S237" s="34">
        <f t="shared" si="44"/>
        <v>2168.3179723502303</v>
      </c>
      <c r="T237" s="60">
        <v>2040</v>
      </c>
      <c r="U237" s="34">
        <f t="shared" si="45"/>
        <v>2350.2304147465438</v>
      </c>
      <c r="V237" s="116">
        <v>357870</v>
      </c>
      <c r="W237" s="116">
        <v>4207878</v>
      </c>
      <c r="X237" s="117">
        <v>8140833</v>
      </c>
      <c r="Y237" s="117">
        <v>1280752</v>
      </c>
      <c r="Z237" s="33">
        <v>76.3</v>
      </c>
      <c r="AA237" s="33">
        <v>63.8</v>
      </c>
      <c r="AB237" s="33">
        <v>75.3</v>
      </c>
      <c r="AC237" s="33">
        <v>60</v>
      </c>
      <c r="AD237" s="33">
        <v>40894</v>
      </c>
      <c r="AE237" s="33">
        <v>8.1999999999999993</v>
      </c>
      <c r="AF237" s="33">
        <v>294</v>
      </c>
      <c r="AG237" s="33">
        <v>86.9</v>
      </c>
      <c r="AH237" s="33">
        <v>86.8</v>
      </c>
      <c r="AI237" s="33">
        <v>84.6</v>
      </c>
      <c r="AJ237" s="33">
        <v>86.2</v>
      </c>
      <c r="AK237" s="33">
        <v>192.614394</v>
      </c>
      <c r="AL237" s="33">
        <v>72.3</v>
      </c>
      <c r="AM237" s="123">
        <v>48.900814467383441</v>
      </c>
      <c r="AN237" s="123">
        <v>102.0520345411847</v>
      </c>
      <c r="AO237" s="123">
        <v>79.137367744453854</v>
      </c>
      <c r="AP237" s="33">
        <v>42.07</v>
      </c>
      <c r="AQ237" s="33">
        <f t="shared" si="46"/>
        <v>0.49728132387706858</v>
      </c>
      <c r="AR237" s="33">
        <v>78.7</v>
      </c>
      <c r="AS237" s="33">
        <v>85.2</v>
      </c>
      <c r="AT237" s="33">
        <v>72.599999999999994</v>
      </c>
      <c r="AU237" s="33">
        <v>75.099999999999994</v>
      </c>
      <c r="AV237" s="65">
        <v>85.6</v>
      </c>
      <c r="AW237" s="33">
        <v>65.8</v>
      </c>
      <c r="AX237" s="33">
        <v>-48.3</v>
      </c>
      <c r="AY237" s="33">
        <v>-33.700000000000003</v>
      </c>
      <c r="AZ237" s="33">
        <v>-39.799999999999997</v>
      </c>
      <c r="BA237" s="33">
        <v>-22.6</v>
      </c>
      <c r="BB237" s="33">
        <v>80.900000000000006</v>
      </c>
      <c r="BC237" s="33">
        <v>82.8</v>
      </c>
      <c r="BD237" s="33">
        <v>79</v>
      </c>
      <c r="BE237" s="33">
        <v>-92.8</v>
      </c>
      <c r="BF237" s="33">
        <v>31.1</v>
      </c>
      <c r="BG237" s="33">
        <v>-28.3</v>
      </c>
      <c r="BH237" s="33">
        <v>182.4</v>
      </c>
      <c r="BI237" s="33">
        <v>3.4</v>
      </c>
      <c r="BJ237" s="34">
        <v>39.582816860000001</v>
      </c>
      <c r="BK237" s="45">
        <v>36.54698977583918</v>
      </c>
      <c r="BL237" s="33">
        <v>-1.151</v>
      </c>
      <c r="BM237" s="33">
        <v>95.577399999999997</v>
      </c>
      <c r="BN237" s="33">
        <v>96.201999999999998</v>
      </c>
      <c r="BO237" s="33">
        <v>-62.8</v>
      </c>
      <c r="BP237" s="33">
        <v>-60.9</v>
      </c>
      <c r="BQ237" s="33">
        <v>28.3</v>
      </c>
      <c r="BR237" s="33">
        <v>-22.6</v>
      </c>
      <c r="BS237" s="33">
        <v>-11.5</v>
      </c>
      <c r="BT237" s="33">
        <v>-38</v>
      </c>
      <c r="BU237" s="33">
        <v>-37.9</v>
      </c>
      <c r="BV237" s="33">
        <v>-7.5</v>
      </c>
      <c r="BW237" s="33">
        <v>-18.7</v>
      </c>
      <c r="BX237" s="33">
        <v>-21.4</v>
      </c>
      <c r="BY237" s="33">
        <v>-30.5</v>
      </c>
      <c r="BZ237" s="33">
        <v>77.3</v>
      </c>
      <c r="CA237" s="33">
        <v>-18.7</v>
      </c>
      <c r="CB237" s="33">
        <v>-6.7</v>
      </c>
      <c r="CC237" s="33">
        <v>-1.7</v>
      </c>
      <c r="CD237" s="33">
        <v>-73.099999999999994</v>
      </c>
      <c r="CE237" s="33">
        <v>-49.9</v>
      </c>
      <c r="CF237" s="33">
        <v>10.6</v>
      </c>
      <c r="CG237" s="33">
        <v>9.1999999999999993</v>
      </c>
      <c r="CH237" s="33">
        <v>78.400000000000006</v>
      </c>
      <c r="CI237" s="33">
        <v>-11.2</v>
      </c>
      <c r="CJ237" s="33">
        <v>-16.600000000000001</v>
      </c>
      <c r="CK237" s="33">
        <v>0.3</v>
      </c>
      <c r="CL237" s="33">
        <v>21.3</v>
      </c>
      <c r="CM237" s="33">
        <v>2426.6816669999998</v>
      </c>
      <c r="CN237" s="33">
        <v>8212.41</v>
      </c>
      <c r="CO237" s="33">
        <v>901.67476199999999</v>
      </c>
      <c r="CP237" s="33">
        <v>3.5409999999999999</v>
      </c>
      <c r="CQ237" s="33">
        <v>3.21</v>
      </c>
      <c r="CR237" s="33">
        <v>69.400000000000006</v>
      </c>
      <c r="CS237" s="121">
        <f t="shared" si="38"/>
        <v>66.45</v>
      </c>
      <c r="CT237" s="33">
        <v>76.900000000000006</v>
      </c>
      <c r="CU237" s="33">
        <v>76.3</v>
      </c>
      <c r="CV237" s="33">
        <v>84.5</v>
      </c>
      <c r="CW237" s="33">
        <v>81.7</v>
      </c>
      <c r="CX237" s="33">
        <v>78.400000000000006</v>
      </c>
      <c r="CY237" s="33">
        <v>4.29</v>
      </c>
      <c r="CZ237" s="33">
        <v>34610.911999999997</v>
      </c>
      <c r="DA237" s="33">
        <v>3.3</v>
      </c>
      <c r="DB237" s="33">
        <v>20.079999999999998</v>
      </c>
      <c r="DC237" s="33">
        <v>35.58</v>
      </c>
      <c r="DD237" s="33">
        <v>10.76</v>
      </c>
      <c r="DE237" s="33">
        <v>8391.2199999999993</v>
      </c>
      <c r="DF237" s="33">
        <v>1795.2339999999999</v>
      </c>
      <c r="DG237" s="33">
        <v>1418.3240000000001</v>
      </c>
      <c r="DH237" s="33">
        <v>783.48400000000004</v>
      </c>
      <c r="DI237" s="33">
        <v>2790.1129999999998</v>
      </c>
      <c r="DJ237" s="33">
        <v>98.433400000000006</v>
      </c>
      <c r="DK237" s="33">
        <v>98.087999999999994</v>
      </c>
      <c r="DL237" s="33">
        <v>97.67</v>
      </c>
      <c r="DM237" s="33">
        <v>97.034000000000006</v>
      </c>
      <c r="DN237" s="33">
        <v>96.201999999999998</v>
      </c>
      <c r="DO237" s="33">
        <v>95.577399999999997</v>
      </c>
      <c r="DP237" s="33">
        <v>95.793999999999997</v>
      </c>
      <c r="DQ237" s="33">
        <v>95.373099999999994</v>
      </c>
      <c r="DR237" s="33">
        <v>1442667</v>
      </c>
      <c r="DS237" s="73">
        <v>27669</v>
      </c>
      <c r="DT237" s="73">
        <v>88.6</v>
      </c>
      <c r="DU237">
        <v>122.96009826660156</v>
      </c>
      <c r="DV237">
        <v>112.80203247070313</v>
      </c>
      <c r="DW237">
        <v>1806</v>
      </c>
      <c r="DX237">
        <v>394925</v>
      </c>
      <c r="DY237">
        <v>72.400000000000006</v>
      </c>
      <c r="DZ237" t="s">
        <v>312</v>
      </c>
    </row>
    <row r="238" spans="1:130" x14ac:dyDescent="0.25">
      <c r="A238" s="1">
        <v>39965</v>
      </c>
      <c r="B238" s="33">
        <v>83.4</v>
      </c>
      <c r="C238" s="107">
        <v>0.7</v>
      </c>
      <c r="D238" s="33">
        <v>1</v>
      </c>
      <c r="E238" s="33">
        <v>1.31</v>
      </c>
      <c r="F238" s="33">
        <v>2.36</v>
      </c>
      <c r="G238" s="33">
        <v>3.04</v>
      </c>
      <c r="H238" s="33">
        <v>3.47</v>
      </c>
      <c r="I238" s="33">
        <f t="shared" si="39"/>
        <v>2.7700000000000005</v>
      </c>
      <c r="J238" s="33">
        <f t="shared" si="40"/>
        <v>2.4700000000000002</v>
      </c>
      <c r="K238" s="33">
        <f t="shared" si="41"/>
        <v>2.16</v>
      </c>
      <c r="L238" s="33">
        <f t="shared" si="42"/>
        <v>0.30000000000000004</v>
      </c>
      <c r="M238" s="33">
        <v>102</v>
      </c>
      <c r="N238" s="33">
        <v>5142.5600000000004</v>
      </c>
      <c r="O238" s="33">
        <v>31.24</v>
      </c>
      <c r="P238" s="33">
        <v>943.6</v>
      </c>
      <c r="Q238" s="34">
        <f t="shared" si="43"/>
        <v>10.845977011494254</v>
      </c>
      <c r="R238" s="60">
        <v>1874.8</v>
      </c>
      <c r="S238" s="34">
        <f t="shared" si="44"/>
        <v>2154.9425287356321</v>
      </c>
      <c r="T238" s="60">
        <v>2022.2</v>
      </c>
      <c r="U238" s="34">
        <f t="shared" si="45"/>
        <v>2324.367816091954</v>
      </c>
      <c r="V238" s="116">
        <v>355747</v>
      </c>
      <c r="W238" s="116">
        <v>4258226</v>
      </c>
      <c r="X238" s="117">
        <v>8155197</v>
      </c>
      <c r="Y238" s="117">
        <v>1273590</v>
      </c>
      <c r="Z238" s="33">
        <v>77.900000000000006</v>
      </c>
      <c r="AA238" s="33">
        <v>66.400000000000006</v>
      </c>
      <c r="AB238" s="33">
        <v>75.5</v>
      </c>
      <c r="AC238" s="33">
        <v>61.7</v>
      </c>
      <c r="AD238" s="33">
        <v>40845</v>
      </c>
      <c r="AE238" s="33">
        <v>8.3000000000000007</v>
      </c>
      <c r="AF238" s="33">
        <v>285</v>
      </c>
      <c r="AG238" s="33">
        <v>87.3</v>
      </c>
      <c r="AH238" s="33">
        <v>87</v>
      </c>
      <c r="AI238" s="33">
        <v>85</v>
      </c>
      <c r="AJ238" s="33">
        <v>86.3</v>
      </c>
      <c r="AK238" s="33">
        <v>192.43637699999999</v>
      </c>
      <c r="AL238" s="33">
        <v>72</v>
      </c>
      <c r="AM238" s="123">
        <v>57.009683701848296</v>
      </c>
      <c r="AN238" s="123">
        <v>120.9998064266815</v>
      </c>
      <c r="AO238" s="123">
        <v>79.453495711475639</v>
      </c>
      <c r="AP238" s="33">
        <v>48.95</v>
      </c>
      <c r="AQ238" s="33">
        <f t="shared" si="46"/>
        <v>0.57588235294117651</v>
      </c>
      <c r="AR238" s="33">
        <v>81</v>
      </c>
      <c r="AS238" s="33">
        <v>89.6</v>
      </c>
      <c r="AT238" s="33">
        <v>73.2</v>
      </c>
      <c r="AU238" s="33">
        <v>77.7</v>
      </c>
      <c r="AV238" s="65">
        <v>90.6</v>
      </c>
      <c r="AW238" s="33">
        <v>66.7</v>
      </c>
      <c r="AX238" s="33">
        <v>-42.2</v>
      </c>
      <c r="AY238" s="33">
        <v>-22.6</v>
      </c>
      <c r="AZ238" s="33">
        <v>-33.299999999999997</v>
      </c>
      <c r="BA238" s="33">
        <v>-14.3</v>
      </c>
      <c r="BB238" s="33">
        <v>82.3</v>
      </c>
      <c r="BC238" s="33">
        <v>85.4</v>
      </c>
      <c r="BD238" s="33">
        <v>79.2</v>
      </c>
      <c r="BE238" s="33">
        <v>-89.7</v>
      </c>
      <c r="BF238" s="33">
        <v>44.8</v>
      </c>
      <c r="BG238" s="33">
        <v>-22.6</v>
      </c>
      <c r="BH238" s="33">
        <v>179.9</v>
      </c>
      <c r="BI238" s="33">
        <v>1.3</v>
      </c>
      <c r="BJ238" s="34">
        <v>40.876354820000003</v>
      </c>
      <c r="BK238" s="45">
        <v>35.513542342301932</v>
      </c>
      <c r="BL238" s="33">
        <v>-0.76900000000000002</v>
      </c>
      <c r="BM238" s="33">
        <v>96.382599999999996</v>
      </c>
      <c r="BN238" s="33">
        <v>96.893699999999995</v>
      </c>
      <c r="BO238" s="33">
        <v>-62.5</v>
      </c>
      <c r="BP238" s="33">
        <v>-60.4</v>
      </c>
      <c r="BQ238" s="33">
        <v>26.5</v>
      </c>
      <c r="BR238" s="33">
        <v>-15</v>
      </c>
      <c r="BS238" s="33">
        <v>-8.9</v>
      </c>
      <c r="BT238" s="33">
        <v>-34.799999999999997</v>
      </c>
      <c r="BU238" s="33">
        <v>-34.700000000000003</v>
      </c>
      <c r="BV238" s="33">
        <v>-4.4000000000000004</v>
      </c>
      <c r="BW238" s="33">
        <v>-17.8</v>
      </c>
      <c r="BX238" s="33">
        <v>-17.399999999999999</v>
      </c>
      <c r="BY238" s="33">
        <v>-30.1</v>
      </c>
      <c r="BZ238" s="33">
        <v>80.3</v>
      </c>
      <c r="CA238" s="33">
        <v>-17.8</v>
      </c>
      <c r="CB238" s="33">
        <v>-8.1</v>
      </c>
      <c r="CC238" s="33">
        <v>-0.5</v>
      </c>
      <c r="CD238" s="33">
        <v>-74.099999999999994</v>
      </c>
      <c r="CE238" s="33">
        <v>-45.4</v>
      </c>
      <c r="CF238" s="33">
        <v>7.7</v>
      </c>
      <c r="CG238" s="33">
        <v>11.1</v>
      </c>
      <c r="CH238" s="33">
        <v>77.7</v>
      </c>
      <c r="CI238" s="33">
        <v>-11.2</v>
      </c>
      <c r="CJ238" s="33">
        <v>-17.399999999999999</v>
      </c>
      <c r="CK238" s="33">
        <v>2.1</v>
      </c>
      <c r="CL238" s="33">
        <v>21</v>
      </c>
      <c r="CM238" s="33">
        <v>2449.0250000000001</v>
      </c>
      <c r="CN238" s="33">
        <v>8721.44</v>
      </c>
      <c r="CO238" s="33">
        <v>926.11500000000001</v>
      </c>
      <c r="CP238" s="33">
        <v>3.8359999999999999</v>
      </c>
      <c r="CQ238" s="33">
        <v>3.71</v>
      </c>
      <c r="CR238" s="33">
        <v>69.2</v>
      </c>
      <c r="CS238" s="121">
        <f t="shared" si="38"/>
        <v>59.55</v>
      </c>
      <c r="CT238" s="33">
        <v>80.2</v>
      </c>
      <c r="CU238" s="33">
        <v>75.900000000000006</v>
      </c>
      <c r="CV238" s="33">
        <v>87.3</v>
      </c>
      <c r="CW238" s="33">
        <v>81.7</v>
      </c>
      <c r="CX238" s="33">
        <v>77.599999999999994</v>
      </c>
      <c r="CY238" s="33">
        <v>4.78</v>
      </c>
      <c r="CZ238" s="33">
        <v>37348.959000000003</v>
      </c>
      <c r="DA238" s="33">
        <v>2.95</v>
      </c>
      <c r="DB238" s="33">
        <v>20.55</v>
      </c>
      <c r="DC238" s="33">
        <v>35.97</v>
      </c>
      <c r="DD238" s="33">
        <v>10.92</v>
      </c>
      <c r="DE238" s="33">
        <v>9423.5419999999995</v>
      </c>
      <c r="DF238" s="33">
        <v>1861.3610000000001</v>
      </c>
      <c r="DG238" s="33">
        <v>1613.8130000000001</v>
      </c>
      <c r="DH238" s="33">
        <v>908.62900000000002</v>
      </c>
      <c r="DI238" s="33">
        <v>3259.348</v>
      </c>
      <c r="DJ238" s="33">
        <v>98.997399999999999</v>
      </c>
      <c r="DK238" s="33">
        <v>98.807100000000005</v>
      </c>
      <c r="DL238" s="33">
        <v>98.52</v>
      </c>
      <c r="DM238" s="33">
        <v>98.113299999999995</v>
      </c>
      <c r="DN238" s="33">
        <v>96.893699999999995</v>
      </c>
      <c r="DO238" s="33">
        <v>96.382599999999996</v>
      </c>
      <c r="DP238" s="33">
        <v>96.250100000000003</v>
      </c>
      <c r="DQ238" s="33">
        <v>95.874799999999993</v>
      </c>
      <c r="DR238" s="33">
        <v>1365255</v>
      </c>
      <c r="DS238" s="73">
        <v>27663</v>
      </c>
      <c r="DT238" s="73">
        <v>89.8</v>
      </c>
      <c r="DU238">
        <v>113.23891448974609</v>
      </c>
      <c r="DV238">
        <v>136.32083129882813</v>
      </c>
      <c r="DW238">
        <v>3681</v>
      </c>
      <c r="DX238">
        <v>309225</v>
      </c>
      <c r="DY238">
        <v>73.099999999999994</v>
      </c>
      <c r="DZ238" t="s">
        <v>312</v>
      </c>
    </row>
    <row r="239" spans="1:130" x14ac:dyDescent="0.25">
      <c r="A239" s="1">
        <v>39995</v>
      </c>
      <c r="B239" s="33">
        <v>82.4</v>
      </c>
      <c r="C239" s="107">
        <v>0.36</v>
      </c>
      <c r="D239" s="33">
        <v>1</v>
      </c>
      <c r="E239" s="33">
        <v>1.1599999999999999</v>
      </c>
      <c r="F239" s="33">
        <v>2.2599999999999998</v>
      </c>
      <c r="G239" s="33">
        <v>2.92</v>
      </c>
      <c r="H239" s="33">
        <v>3.34</v>
      </c>
      <c r="I239" s="33">
        <f t="shared" si="39"/>
        <v>2.98</v>
      </c>
      <c r="J239" s="33">
        <f t="shared" si="40"/>
        <v>2.34</v>
      </c>
      <c r="K239" s="33">
        <f t="shared" si="41"/>
        <v>2.1799999999999997</v>
      </c>
      <c r="L239" s="33">
        <f t="shared" si="42"/>
        <v>0.64</v>
      </c>
      <c r="M239" s="33">
        <v>101.9</v>
      </c>
      <c r="N239" s="33">
        <v>4905.4399999999996</v>
      </c>
      <c r="O239" s="33">
        <v>27.98</v>
      </c>
      <c r="P239" s="33">
        <v>953.6</v>
      </c>
      <c r="Q239" s="34">
        <f t="shared" si="43"/>
        <v>10.960919540229884</v>
      </c>
      <c r="R239" s="60">
        <v>1867.7</v>
      </c>
      <c r="S239" s="34">
        <f t="shared" si="44"/>
        <v>2146.7816091954023</v>
      </c>
      <c r="T239" s="60">
        <v>2010</v>
      </c>
      <c r="U239" s="34">
        <f t="shared" si="45"/>
        <v>2310.344827586207</v>
      </c>
      <c r="V239" s="116">
        <v>337412</v>
      </c>
      <c r="W239" s="116">
        <v>4314634</v>
      </c>
      <c r="X239" s="117">
        <v>8184207</v>
      </c>
      <c r="Y239" s="117">
        <v>1248924</v>
      </c>
      <c r="Z239" s="33">
        <v>78.3</v>
      </c>
      <c r="AA239" s="33">
        <v>69</v>
      </c>
      <c r="AB239" s="33">
        <v>75.3</v>
      </c>
      <c r="AC239" s="33">
        <v>65.2</v>
      </c>
      <c r="AD239" s="33">
        <v>40831</v>
      </c>
      <c r="AE239" s="33">
        <v>8.3000000000000007</v>
      </c>
      <c r="AF239" s="33">
        <v>281</v>
      </c>
      <c r="AG239" s="33">
        <v>87</v>
      </c>
      <c r="AH239" s="33">
        <v>87</v>
      </c>
      <c r="AI239" s="33">
        <v>84.3</v>
      </c>
      <c r="AJ239" s="33">
        <v>86.1</v>
      </c>
      <c r="AK239" s="33">
        <v>189.58810500000001</v>
      </c>
      <c r="AL239" s="33">
        <v>92.4</v>
      </c>
      <c r="AM239" s="123">
        <v>60.154651207968328</v>
      </c>
      <c r="AN239" s="123">
        <v>114.21730606644151</v>
      </c>
      <c r="AO239" s="123">
        <v>79.558592928025206</v>
      </c>
      <c r="AP239" s="33">
        <v>46.08</v>
      </c>
      <c r="AQ239" s="33">
        <f t="shared" si="46"/>
        <v>0.54661921708185057</v>
      </c>
      <c r="AR239" s="33">
        <v>82.7</v>
      </c>
      <c r="AS239" s="33">
        <v>91.6</v>
      </c>
      <c r="AT239" s="33">
        <v>74.7</v>
      </c>
      <c r="AU239" s="33">
        <v>80.099999999999994</v>
      </c>
      <c r="AV239" s="65">
        <v>94</v>
      </c>
      <c r="AW239" s="33">
        <v>68.3</v>
      </c>
      <c r="AX239" s="33">
        <v>-37.9</v>
      </c>
      <c r="AY239" s="33">
        <v>-17.3</v>
      </c>
      <c r="AZ239" s="33">
        <v>-29.9</v>
      </c>
      <c r="BA239" s="33">
        <v>-8.1</v>
      </c>
      <c r="BB239" s="33">
        <v>83.1</v>
      </c>
      <c r="BC239" s="33">
        <v>86.4</v>
      </c>
      <c r="BD239" s="33">
        <v>79.900000000000006</v>
      </c>
      <c r="BE239" s="33">
        <v>-89.3</v>
      </c>
      <c r="BF239" s="33">
        <v>39.5</v>
      </c>
      <c r="BG239" s="33">
        <v>-14</v>
      </c>
      <c r="BH239" s="33">
        <v>175.5</v>
      </c>
      <c r="BI239" s="33">
        <v>3.7</v>
      </c>
      <c r="BJ239" s="34">
        <v>45.652945369999998</v>
      </c>
      <c r="BK239" s="45">
        <v>52.578083512989934</v>
      </c>
      <c r="BL239" s="33">
        <v>-0.38400000000000001</v>
      </c>
      <c r="BM239" s="33">
        <v>97.231399999999994</v>
      </c>
      <c r="BN239" s="33">
        <v>97.623000000000005</v>
      </c>
      <c r="BO239" s="33">
        <v>-60</v>
      </c>
      <c r="BP239" s="33">
        <v>-58.4</v>
      </c>
      <c r="BQ239" s="33">
        <v>23.9</v>
      </c>
      <c r="BR239" s="33">
        <v>-9.6</v>
      </c>
      <c r="BS239" s="33">
        <v>-8.9</v>
      </c>
      <c r="BT239" s="33">
        <v>-32.9</v>
      </c>
      <c r="BU239" s="33">
        <v>-31.2</v>
      </c>
      <c r="BV239" s="33">
        <v>-3.9</v>
      </c>
      <c r="BW239" s="33">
        <v>-15.7</v>
      </c>
      <c r="BX239" s="33">
        <v>-18.899999999999999</v>
      </c>
      <c r="BY239" s="33">
        <v>-29.3</v>
      </c>
      <c r="BZ239" s="33">
        <v>82.6</v>
      </c>
      <c r="CA239" s="33">
        <v>-15.7</v>
      </c>
      <c r="CB239" s="33">
        <v>-6.2</v>
      </c>
      <c r="CC239" s="33">
        <v>0.2</v>
      </c>
      <c r="CD239" s="33">
        <v>-72.099999999999994</v>
      </c>
      <c r="CE239" s="33">
        <v>-41.1</v>
      </c>
      <c r="CF239" s="33">
        <v>-1.1000000000000001</v>
      </c>
      <c r="CG239" s="33">
        <v>8.5</v>
      </c>
      <c r="CH239" s="33">
        <v>75</v>
      </c>
      <c r="CI239" s="33">
        <v>-5.2</v>
      </c>
      <c r="CJ239" s="33">
        <v>-15.9</v>
      </c>
      <c r="CK239" s="33">
        <v>1</v>
      </c>
      <c r="CL239" s="33">
        <v>20.2</v>
      </c>
      <c r="CM239" s="33">
        <v>2462.0956959999999</v>
      </c>
      <c r="CN239" s="33">
        <v>8504.06</v>
      </c>
      <c r="CO239" s="33">
        <v>934.10826099999997</v>
      </c>
      <c r="CP239" s="33">
        <v>3.762</v>
      </c>
      <c r="CQ239" s="33">
        <v>3.55</v>
      </c>
      <c r="CR239" s="33">
        <v>63.2</v>
      </c>
      <c r="CS239" s="121">
        <f t="shared" si="38"/>
        <v>56.25</v>
      </c>
      <c r="CT239" s="33">
        <v>82.3</v>
      </c>
      <c r="CU239" s="33">
        <v>80.900000000000006</v>
      </c>
      <c r="CV239" s="33">
        <v>86.5</v>
      </c>
      <c r="CW239" s="33">
        <v>85.2</v>
      </c>
      <c r="CX239" s="33">
        <v>80.099999999999994</v>
      </c>
      <c r="CY239" s="33">
        <v>4.57</v>
      </c>
      <c r="CZ239" s="33">
        <v>37114.012999999999</v>
      </c>
      <c r="DA239" s="33">
        <v>3.04</v>
      </c>
      <c r="DB239" s="33">
        <v>20.66</v>
      </c>
      <c r="DC239" s="33">
        <v>36.74</v>
      </c>
      <c r="DD239" s="33">
        <v>11.9</v>
      </c>
      <c r="DE239" s="33">
        <v>11090.683999999999</v>
      </c>
      <c r="DF239" s="33">
        <v>2274.998</v>
      </c>
      <c r="DG239" s="33">
        <v>1878.383</v>
      </c>
      <c r="DH239" s="33">
        <v>1063.49</v>
      </c>
      <c r="DI239" s="33">
        <v>3648.0790000000002</v>
      </c>
      <c r="DJ239" s="33">
        <v>99.542100000000005</v>
      </c>
      <c r="DK239" s="33">
        <v>99.498699999999999</v>
      </c>
      <c r="DL239" s="33">
        <v>99.33</v>
      </c>
      <c r="DM239" s="33">
        <v>99.144800000000004</v>
      </c>
      <c r="DN239" s="33">
        <v>97.623000000000005</v>
      </c>
      <c r="DO239" s="33">
        <v>97.231399999999994</v>
      </c>
      <c r="DP239" s="33">
        <v>96.749099999999999</v>
      </c>
      <c r="DQ239" s="33">
        <v>96.423699999999997</v>
      </c>
      <c r="DR239" s="33">
        <v>1215030</v>
      </c>
      <c r="DS239" s="73">
        <v>27659</v>
      </c>
      <c r="DT239" s="73">
        <v>90.5</v>
      </c>
      <c r="DU239">
        <v>73</v>
      </c>
      <c r="DV239">
        <v>73</v>
      </c>
      <c r="DW239">
        <v>73</v>
      </c>
      <c r="DX239">
        <v>73</v>
      </c>
      <c r="DY239">
        <v>73</v>
      </c>
      <c r="DZ239" t="s">
        <v>312</v>
      </c>
    </row>
    <row r="240" spans="1:130" x14ac:dyDescent="0.25">
      <c r="A240" s="1">
        <v>40026</v>
      </c>
      <c r="B240" s="33">
        <v>83.8</v>
      </c>
      <c r="C240" s="107">
        <v>0.35</v>
      </c>
      <c r="D240" s="33">
        <v>1</v>
      </c>
      <c r="E240" s="33">
        <v>1.02</v>
      </c>
      <c r="F240" s="33">
        <v>2.3199999999999998</v>
      </c>
      <c r="G240" s="33">
        <v>2.9</v>
      </c>
      <c r="H240" s="33">
        <v>3.31</v>
      </c>
      <c r="I240" s="33">
        <f t="shared" si="39"/>
        <v>2.96</v>
      </c>
      <c r="J240" s="33">
        <f t="shared" si="40"/>
        <v>2.31</v>
      </c>
      <c r="K240" s="33">
        <f t="shared" si="41"/>
        <v>2.29</v>
      </c>
      <c r="L240" s="33">
        <f t="shared" si="42"/>
        <v>0.65</v>
      </c>
      <c r="M240" s="33">
        <v>102.1</v>
      </c>
      <c r="N240" s="33">
        <v>5426.85</v>
      </c>
      <c r="O240" s="33">
        <v>29.07</v>
      </c>
      <c r="P240" s="33">
        <v>967.7</v>
      </c>
      <c r="Q240" s="34">
        <f t="shared" si="43"/>
        <v>11.110218140068888</v>
      </c>
      <c r="R240" s="60">
        <v>1865.6</v>
      </c>
      <c r="S240" s="34">
        <f t="shared" si="44"/>
        <v>2141.9058553386913</v>
      </c>
      <c r="T240" s="60">
        <v>1996</v>
      </c>
      <c r="U240" s="34">
        <f t="shared" si="45"/>
        <v>2291.6188289322617</v>
      </c>
      <c r="V240" s="116">
        <v>325116</v>
      </c>
      <c r="W240" s="116">
        <v>4346194</v>
      </c>
      <c r="X240" s="117">
        <v>8176976</v>
      </c>
      <c r="Y240" s="117">
        <v>1210614</v>
      </c>
      <c r="Z240" s="33">
        <v>80.5</v>
      </c>
      <c r="AA240" s="33">
        <v>69.7</v>
      </c>
      <c r="AB240" s="33">
        <v>73.5</v>
      </c>
      <c r="AC240" s="33">
        <v>64.8</v>
      </c>
      <c r="AD240" s="33">
        <v>40840</v>
      </c>
      <c r="AE240" s="33">
        <v>8.1999999999999993</v>
      </c>
      <c r="AF240" s="33">
        <v>284</v>
      </c>
      <c r="AG240" s="33">
        <v>87.3</v>
      </c>
      <c r="AH240" s="33">
        <v>87.1</v>
      </c>
      <c r="AI240" s="33">
        <v>85.2</v>
      </c>
      <c r="AJ240" s="33">
        <v>86.2</v>
      </c>
      <c r="AK240" s="33">
        <v>190.47819000000001</v>
      </c>
      <c r="AL240" s="33">
        <v>72</v>
      </c>
      <c r="AM240" s="123">
        <v>63.541220312233726</v>
      </c>
      <c r="AN240" s="123">
        <v>127.28908030669092</v>
      </c>
      <c r="AO240" s="123">
        <v>84.698614381240318</v>
      </c>
      <c r="AP240" s="33">
        <v>50.88</v>
      </c>
      <c r="AQ240" s="33">
        <f t="shared" si="46"/>
        <v>0.59718309859154928</v>
      </c>
      <c r="AR240" s="33">
        <v>86.1</v>
      </c>
      <c r="AS240" s="33">
        <v>96.9</v>
      </c>
      <c r="AT240" s="33">
        <v>76.5</v>
      </c>
      <c r="AU240" s="33">
        <v>83.5</v>
      </c>
      <c r="AV240" s="65">
        <v>99.8</v>
      </c>
      <c r="AW240" s="33">
        <v>69.8</v>
      </c>
      <c r="AX240" s="33">
        <v>-29.8</v>
      </c>
      <c r="AY240" s="33">
        <v>-7</v>
      </c>
      <c r="AZ240" s="33">
        <v>-17.8</v>
      </c>
      <c r="BA240" s="33">
        <v>3</v>
      </c>
      <c r="BB240" s="33">
        <v>88.2</v>
      </c>
      <c r="BC240" s="33">
        <v>93.1</v>
      </c>
      <c r="BD240" s="33">
        <v>83.5</v>
      </c>
      <c r="BE240" s="33">
        <v>-77.2</v>
      </c>
      <c r="BF240" s="33">
        <v>56.1</v>
      </c>
      <c r="BG240" s="33">
        <v>-7.5</v>
      </c>
      <c r="BH240" s="33">
        <v>169.4</v>
      </c>
      <c r="BI240" s="33">
        <v>1.6</v>
      </c>
      <c r="BJ240" s="34">
        <v>49.170970930000003</v>
      </c>
      <c r="BK240" s="45">
        <v>57.165229036971546</v>
      </c>
      <c r="BL240" s="33">
        <v>-2.3E-2</v>
      </c>
      <c r="BM240" s="33">
        <v>98.038799999999995</v>
      </c>
      <c r="BN240" s="33">
        <v>98.316500000000005</v>
      </c>
      <c r="BO240" s="33">
        <v>-53.8</v>
      </c>
      <c r="BP240" s="33">
        <v>-53.7</v>
      </c>
      <c r="BQ240" s="33">
        <v>20.100000000000001</v>
      </c>
      <c r="BR240" s="33">
        <v>-1.8</v>
      </c>
      <c r="BS240" s="33">
        <v>-3.8</v>
      </c>
      <c r="BT240" s="33">
        <v>-27.8</v>
      </c>
      <c r="BU240" s="33">
        <v>-25.2</v>
      </c>
      <c r="BV240" s="33">
        <v>3.6</v>
      </c>
      <c r="BW240" s="33">
        <v>-13.1</v>
      </c>
      <c r="BX240" s="33">
        <v>-16.8</v>
      </c>
      <c r="BY240" s="33">
        <v>-27.1</v>
      </c>
      <c r="BZ240" s="33">
        <v>88.4</v>
      </c>
      <c r="CA240" s="33">
        <v>-13.1</v>
      </c>
      <c r="CB240" s="33">
        <v>-4.9000000000000004</v>
      </c>
      <c r="CC240" s="33">
        <v>2</v>
      </c>
      <c r="CD240" s="33">
        <v>-68.099999999999994</v>
      </c>
      <c r="CE240" s="33">
        <v>-36.1</v>
      </c>
      <c r="CF240" s="33">
        <v>-13.4</v>
      </c>
      <c r="CG240" s="33">
        <v>-0.1</v>
      </c>
      <c r="CH240" s="33">
        <v>71.3</v>
      </c>
      <c r="CI240" s="33">
        <v>-3.2</v>
      </c>
      <c r="CJ240" s="33">
        <v>-13.4</v>
      </c>
      <c r="CK240" s="33">
        <v>0.9</v>
      </c>
      <c r="CL240" s="33">
        <v>21.5</v>
      </c>
      <c r="CM240" s="33">
        <v>2702.652857</v>
      </c>
      <c r="CN240" s="33">
        <v>9286.56</v>
      </c>
      <c r="CO240" s="33">
        <v>1009.7247620000001</v>
      </c>
      <c r="CP240" s="33">
        <v>3.879</v>
      </c>
      <c r="CQ240" s="33">
        <v>3.66</v>
      </c>
      <c r="CR240" s="33">
        <v>65</v>
      </c>
      <c r="CS240" s="121">
        <f t="shared" si="38"/>
        <v>54.150000000000006</v>
      </c>
      <c r="CT240" s="33">
        <v>83.6</v>
      </c>
      <c r="CU240" s="33">
        <v>86.4</v>
      </c>
      <c r="CV240" s="33">
        <v>93.2</v>
      </c>
      <c r="CW240" s="33">
        <v>82.8</v>
      </c>
      <c r="CX240" s="33">
        <v>83.8</v>
      </c>
      <c r="CY240" s="33">
        <v>3.9</v>
      </c>
      <c r="CZ240" s="33">
        <v>32545.960999999999</v>
      </c>
      <c r="DA240" s="33">
        <v>3.01</v>
      </c>
      <c r="DB240" s="33">
        <v>21.96</v>
      </c>
      <c r="DC240" s="33">
        <v>37.340000000000003</v>
      </c>
      <c r="DD240" s="33">
        <v>11.38</v>
      </c>
      <c r="DE240" s="33">
        <v>9117.65</v>
      </c>
      <c r="DF240" s="33">
        <v>1703.854</v>
      </c>
      <c r="DG240" s="33">
        <v>1617.498</v>
      </c>
      <c r="DH240" s="33">
        <v>814.31899999999996</v>
      </c>
      <c r="DI240" s="33">
        <v>3189.7869999999998</v>
      </c>
      <c r="DJ240" s="33">
        <v>100.0288</v>
      </c>
      <c r="DK240" s="33">
        <v>100.1139</v>
      </c>
      <c r="DL240" s="33">
        <v>100.04</v>
      </c>
      <c r="DM240" s="33">
        <v>100.05249999999999</v>
      </c>
      <c r="DN240" s="33">
        <v>98.316500000000005</v>
      </c>
      <c r="DO240" s="33">
        <v>98.038799999999995</v>
      </c>
      <c r="DP240" s="33">
        <v>97.253200000000007</v>
      </c>
      <c r="DQ240" s="33">
        <v>96.978200000000001</v>
      </c>
      <c r="DR240" s="33">
        <v>1021778</v>
      </c>
      <c r="DS240" s="73">
        <v>27671</v>
      </c>
      <c r="DT240" s="73">
        <v>91.9</v>
      </c>
      <c r="DU240">
        <v>91.37744140625</v>
      </c>
      <c r="DV240">
        <v>122.87916564941406</v>
      </c>
      <c r="DW240">
        <v>3251</v>
      </c>
      <c r="DX240">
        <v>285900</v>
      </c>
      <c r="DY240">
        <v>74.099999999999994</v>
      </c>
      <c r="DZ240" t="s">
        <v>312</v>
      </c>
    </row>
    <row r="241" spans="1:130" x14ac:dyDescent="0.25">
      <c r="A241" s="1">
        <v>40057</v>
      </c>
      <c r="B241" s="33">
        <v>86.7</v>
      </c>
      <c r="C241" s="107">
        <v>0.36</v>
      </c>
      <c r="D241" s="33">
        <v>1</v>
      </c>
      <c r="E241" s="33">
        <v>0.87</v>
      </c>
      <c r="F241" s="33">
        <v>2.16</v>
      </c>
      <c r="G241" s="33">
        <v>2.8</v>
      </c>
      <c r="H241" s="33">
        <v>3.26</v>
      </c>
      <c r="I241" s="33">
        <f t="shared" si="39"/>
        <v>2.9</v>
      </c>
      <c r="J241" s="33">
        <f t="shared" si="40"/>
        <v>2.2599999999999998</v>
      </c>
      <c r="K241" s="33">
        <f t="shared" si="41"/>
        <v>2.3899999999999997</v>
      </c>
      <c r="L241" s="33">
        <f t="shared" si="42"/>
        <v>0.64</v>
      </c>
      <c r="M241" s="33">
        <v>102.3</v>
      </c>
      <c r="N241" s="33">
        <v>5327.29</v>
      </c>
      <c r="O241" s="33">
        <v>31.13</v>
      </c>
      <c r="P241" s="33">
        <v>984.2</v>
      </c>
      <c r="Q241" s="34">
        <f t="shared" si="43"/>
        <v>11.299655568312286</v>
      </c>
      <c r="R241" s="60">
        <v>1862.2</v>
      </c>
      <c r="S241" s="34">
        <f t="shared" si="44"/>
        <v>2138.0022962112516</v>
      </c>
      <c r="T241" s="60">
        <v>2002</v>
      </c>
      <c r="U241" s="34">
        <f t="shared" si="45"/>
        <v>2298.5074626865671</v>
      </c>
      <c r="V241" s="116">
        <v>336456</v>
      </c>
      <c r="W241" s="116">
        <v>4400713</v>
      </c>
      <c r="X241" s="117">
        <v>8189516</v>
      </c>
      <c r="Y241" s="117">
        <v>1224720</v>
      </c>
      <c r="Z241" s="33">
        <v>82.7</v>
      </c>
      <c r="AA241" s="33">
        <v>72</v>
      </c>
      <c r="AB241" s="33">
        <v>78.2</v>
      </c>
      <c r="AC241" s="33">
        <v>67.099999999999994</v>
      </c>
      <c r="AD241" s="33">
        <v>40865</v>
      </c>
      <c r="AE241" s="33">
        <v>8.1999999999999993</v>
      </c>
      <c r="AF241" s="33">
        <v>288</v>
      </c>
      <c r="AG241" s="33">
        <v>87.1</v>
      </c>
      <c r="AH241" s="33">
        <v>87.1</v>
      </c>
      <c r="AI241" s="33">
        <v>84.7</v>
      </c>
      <c r="AJ241" s="33">
        <v>86.3</v>
      </c>
      <c r="AK241" s="33">
        <v>189.58810500000001</v>
      </c>
      <c r="AL241" s="33">
        <v>72.8</v>
      </c>
      <c r="AM241" s="123">
        <v>60.137226366935494</v>
      </c>
      <c r="AN241" s="123">
        <v>116.93456886519293</v>
      </c>
      <c r="AO241" s="123">
        <v>82.144373899297008</v>
      </c>
      <c r="AP241" s="33">
        <v>46.35</v>
      </c>
      <c r="AQ241" s="33">
        <f t="shared" si="46"/>
        <v>0.5472255017709563</v>
      </c>
      <c r="AR241" s="33">
        <v>87.9</v>
      </c>
      <c r="AS241" s="33">
        <v>99.1</v>
      </c>
      <c r="AT241" s="33">
        <v>77.900000000000006</v>
      </c>
      <c r="AU241" s="33">
        <v>85.9</v>
      </c>
      <c r="AV241" s="65">
        <v>102.4</v>
      </c>
      <c r="AW241" s="33">
        <v>72.099999999999994</v>
      </c>
      <c r="AX241" s="33">
        <v>-26.5</v>
      </c>
      <c r="AY241" s="33">
        <v>-6.8</v>
      </c>
      <c r="AZ241" s="33">
        <v>-11.4</v>
      </c>
      <c r="BA241" s="33">
        <v>7.7</v>
      </c>
      <c r="BB241" s="33">
        <v>90.1</v>
      </c>
      <c r="BC241" s="33">
        <v>95.9</v>
      </c>
      <c r="BD241" s="33">
        <v>84.7</v>
      </c>
      <c r="BE241" s="33">
        <v>-74</v>
      </c>
      <c r="BF241" s="33">
        <v>57.7</v>
      </c>
      <c r="BG241" s="33">
        <v>3.4</v>
      </c>
      <c r="BH241" s="33">
        <v>168.4</v>
      </c>
      <c r="BI241" s="33">
        <v>0.9</v>
      </c>
      <c r="BJ241" s="34">
        <v>49.648240639999997</v>
      </c>
      <c r="BK241" s="45">
        <v>56.062692636036452</v>
      </c>
      <c r="BL241" s="33">
        <v>0.29699999999999999</v>
      </c>
      <c r="BM241" s="33">
        <v>98.738799999999998</v>
      </c>
      <c r="BN241" s="33">
        <v>98.918000000000006</v>
      </c>
      <c r="BO241" s="33">
        <v>-51.3</v>
      </c>
      <c r="BP241" s="33">
        <v>-51.5</v>
      </c>
      <c r="BQ241" s="33">
        <v>18.5</v>
      </c>
      <c r="BR241" s="33">
        <v>-1.1000000000000001</v>
      </c>
      <c r="BS241" s="33">
        <v>-6.5</v>
      </c>
      <c r="BT241" s="33">
        <v>-29.3</v>
      </c>
      <c r="BU241" s="33">
        <v>-23.6</v>
      </c>
      <c r="BV241" s="33">
        <v>6</v>
      </c>
      <c r="BW241" s="33">
        <v>-11.5</v>
      </c>
      <c r="BX241" s="33">
        <v>-14.8</v>
      </c>
      <c r="BY241" s="33">
        <v>-29.1</v>
      </c>
      <c r="BZ241" s="33">
        <v>90.4</v>
      </c>
      <c r="CA241" s="33">
        <v>-11.5</v>
      </c>
      <c r="CB241" s="33">
        <v>-3.6</v>
      </c>
      <c r="CC241" s="33">
        <v>2.7</v>
      </c>
      <c r="CD241" s="33">
        <v>-61.9</v>
      </c>
      <c r="CE241" s="33">
        <v>-32.6</v>
      </c>
      <c r="CF241" s="33">
        <v>-13.2</v>
      </c>
      <c r="CG241" s="33">
        <v>2.1</v>
      </c>
      <c r="CH241" s="33">
        <v>68</v>
      </c>
      <c r="CI241" s="33">
        <v>-0.2</v>
      </c>
      <c r="CJ241" s="33">
        <v>-12.4</v>
      </c>
      <c r="CK241" s="33">
        <v>3.4</v>
      </c>
      <c r="CL241" s="33">
        <v>21.9</v>
      </c>
      <c r="CM241" s="33">
        <v>2827.9335449999999</v>
      </c>
      <c r="CN241" s="33">
        <v>9310.6</v>
      </c>
      <c r="CO241" s="33">
        <v>1044.552381</v>
      </c>
      <c r="CP241" s="33">
        <v>3.6960000000000002</v>
      </c>
      <c r="CQ241" s="33">
        <v>3.38</v>
      </c>
      <c r="CR241" s="33">
        <v>73.5</v>
      </c>
      <c r="CS241" s="121">
        <f t="shared" si="38"/>
        <v>52.850000000000009</v>
      </c>
      <c r="CT241" s="33">
        <v>89.4</v>
      </c>
      <c r="CU241" s="33">
        <v>84.3</v>
      </c>
      <c r="CV241" s="33">
        <v>93.6</v>
      </c>
      <c r="CW241" s="33">
        <v>81.900000000000006</v>
      </c>
      <c r="CX241" s="33">
        <v>85.3</v>
      </c>
      <c r="CY241" s="33">
        <v>4.04</v>
      </c>
      <c r="CZ241" s="33">
        <v>40778.582000000002</v>
      </c>
      <c r="DA241" s="33">
        <v>3.08</v>
      </c>
      <c r="DB241" s="33">
        <v>21.8</v>
      </c>
      <c r="DC241" s="33">
        <v>38.130000000000003</v>
      </c>
      <c r="DD241" s="33">
        <v>11.31</v>
      </c>
      <c r="DE241" s="33">
        <v>9660.9920000000002</v>
      </c>
      <c r="DF241" s="33">
        <v>1780.375</v>
      </c>
      <c r="DG241" s="33">
        <v>1725.2560000000001</v>
      </c>
      <c r="DH241" s="33">
        <v>985.40300000000002</v>
      </c>
      <c r="DI241" s="33">
        <v>3357.5230000000001</v>
      </c>
      <c r="DJ241" s="33">
        <v>100.44280000000001</v>
      </c>
      <c r="DK241" s="33">
        <v>100.6341</v>
      </c>
      <c r="DL241" s="33">
        <v>100.63</v>
      </c>
      <c r="DM241" s="33">
        <v>100.8086</v>
      </c>
      <c r="DN241" s="33">
        <v>98.918000000000006</v>
      </c>
      <c r="DO241" s="33">
        <v>98.738799999999998</v>
      </c>
      <c r="DP241" s="33">
        <v>97.734099999999998</v>
      </c>
      <c r="DQ241" s="33">
        <v>97.507199999999997</v>
      </c>
      <c r="DR241" s="33">
        <v>1072410</v>
      </c>
      <c r="DS241" s="73">
        <v>27682</v>
      </c>
      <c r="DT241" s="73">
        <v>91.1</v>
      </c>
      <c r="DU241">
        <v>104.32360076904297</v>
      </c>
      <c r="DV241">
        <v>59.587852478027344</v>
      </c>
      <c r="DW241">
        <v>2423</v>
      </c>
      <c r="DX241">
        <v>302950</v>
      </c>
      <c r="DY241">
        <v>74.8</v>
      </c>
      <c r="DZ241" t="s">
        <v>312</v>
      </c>
    </row>
    <row r="242" spans="1:130" x14ac:dyDescent="0.25">
      <c r="A242" s="1">
        <v>40087</v>
      </c>
      <c r="B242" s="33">
        <v>84.9</v>
      </c>
      <c r="C242" s="107">
        <v>0.36</v>
      </c>
      <c r="D242" s="33">
        <v>1</v>
      </c>
      <c r="E242" s="33">
        <v>0.79</v>
      </c>
      <c r="F242" s="33">
        <v>2.1800000000000002</v>
      </c>
      <c r="G242" s="33">
        <v>2.74</v>
      </c>
      <c r="H242" s="33">
        <v>3.21</v>
      </c>
      <c r="I242" s="33">
        <f t="shared" si="39"/>
        <v>2.85</v>
      </c>
      <c r="J242" s="33">
        <f t="shared" si="40"/>
        <v>2.21</v>
      </c>
      <c r="K242" s="33">
        <f t="shared" si="41"/>
        <v>2.42</v>
      </c>
      <c r="L242" s="33">
        <f t="shared" si="42"/>
        <v>0.64</v>
      </c>
      <c r="M242" s="33">
        <v>102.9</v>
      </c>
      <c r="N242" s="33">
        <v>5554.55</v>
      </c>
      <c r="O242" s="33">
        <v>28.66</v>
      </c>
      <c r="P242" s="33">
        <v>1011.3</v>
      </c>
      <c r="Q242" s="34">
        <f t="shared" si="43"/>
        <v>11.610792192881746</v>
      </c>
      <c r="R242" s="60">
        <v>1863.5</v>
      </c>
      <c r="S242" s="34">
        <f t="shared" si="44"/>
        <v>2139.4948335246845</v>
      </c>
      <c r="T242" s="60">
        <v>2000.7</v>
      </c>
      <c r="U242" s="34">
        <f t="shared" si="45"/>
        <v>2297.0149253731347</v>
      </c>
      <c r="V242" s="116">
        <v>322629</v>
      </c>
      <c r="W242" s="116">
        <v>4448680</v>
      </c>
      <c r="X242" s="117">
        <v>8195862</v>
      </c>
      <c r="Y242" s="117">
        <v>1187647</v>
      </c>
      <c r="Z242" s="33">
        <v>83.1</v>
      </c>
      <c r="AA242" s="33">
        <v>70.3</v>
      </c>
      <c r="AB242" s="33">
        <v>77.2</v>
      </c>
      <c r="AC242" s="33">
        <v>63.8</v>
      </c>
      <c r="AD242" s="33">
        <v>40849</v>
      </c>
      <c r="AE242" s="33">
        <v>8.1</v>
      </c>
      <c r="AF242" s="33">
        <v>290</v>
      </c>
      <c r="AG242" s="33">
        <v>87.3</v>
      </c>
      <c r="AH242" s="33">
        <v>87.1</v>
      </c>
      <c r="AI242" s="33">
        <v>85.5</v>
      </c>
      <c r="AJ242" s="33">
        <v>86.5</v>
      </c>
      <c r="AK242" s="33">
        <v>189.58810500000001</v>
      </c>
      <c r="AL242" s="33">
        <v>72.3</v>
      </c>
      <c r="AM242" s="123">
        <v>58.437234102145787</v>
      </c>
      <c r="AN242" s="123">
        <v>124.43839146616784</v>
      </c>
      <c r="AO242" s="123">
        <v>81.206176735472539</v>
      </c>
      <c r="AP242" s="33">
        <v>49.21</v>
      </c>
      <c r="AQ242" s="33">
        <f t="shared" si="46"/>
        <v>0.5755555555555556</v>
      </c>
      <c r="AR242" s="33">
        <v>88.5</v>
      </c>
      <c r="AS242" s="33">
        <v>99.8</v>
      </c>
      <c r="AT242" s="33">
        <v>78.5</v>
      </c>
      <c r="AU242" s="33">
        <v>87.2</v>
      </c>
      <c r="AV242" s="65">
        <v>103.7</v>
      </c>
      <c r="AW242" s="33">
        <v>73.3</v>
      </c>
      <c r="AX242" s="33">
        <v>-22.6</v>
      </c>
      <c r="AY242" s="33">
        <v>5.3</v>
      </c>
      <c r="AZ242" s="33">
        <v>-8.6</v>
      </c>
      <c r="BA242" s="33">
        <v>11.2</v>
      </c>
      <c r="BB242" s="33">
        <v>90.4</v>
      </c>
      <c r="BC242" s="33">
        <v>95.3</v>
      </c>
      <c r="BD242" s="33">
        <v>85.6</v>
      </c>
      <c r="BE242" s="33">
        <v>-72.2</v>
      </c>
      <c r="BF242" s="33">
        <v>56</v>
      </c>
      <c r="BG242" s="33">
        <v>8.6999999999999993</v>
      </c>
      <c r="BH242" s="33">
        <v>167.1</v>
      </c>
      <c r="BI242" s="33">
        <v>1.9</v>
      </c>
      <c r="BJ242" s="34">
        <v>51.03710968</v>
      </c>
      <c r="BK242" s="45">
        <v>51.900388337536143</v>
      </c>
      <c r="BL242" s="33">
        <v>0.504</v>
      </c>
      <c r="BM242" s="33">
        <v>99.306600000000003</v>
      </c>
      <c r="BN242" s="33">
        <v>99.405699999999996</v>
      </c>
      <c r="BO242" s="33">
        <v>-49.7</v>
      </c>
      <c r="BP242" s="33">
        <v>-49.3</v>
      </c>
      <c r="BQ242" s="33">
        <v>15.1</v>
      </c>
      <c r="BR242" s="33">
        <v>6</v>
      </c>
      <c r="BS242" s="33">
        <v>-5.0999999999999996</v>
      </c>
      <c r="BT242" s="33">
        <v>-24.3</v>
      </c>
      <c r="BU242" s="33">
        <v>-19.600000000000001</v>
      </c>
      <c r="BV242" s="33">
        <v>6.3</v>
      </c>
      <c r="BW242" s="33">
        <v>-10</v>
      </c>
      <c r="BX242" s="33">
        <v>-17.3</v>
      </c>
      <c r="BY242" s="33">
        <v>-26.9</v>
      </c>
      <c r="BZ242" s="33">
        <v>92.6</v>
      </c>
      <c r="CA242" s="33">
        <v>-10</v>
      </c>
      <c r="CB242" s="33">
        <v>-1.7</v>
      </c>
      <c r="CC242" s="33">
        <v>2.1</v>
      </c>
      <c r="CD242" s="33">
        <v>-60.9</v>
      </c>
      <c r="CE242" s="33">
        <v>-28.6</v>
      </c>
      <c r="CF242" s="33">
        <v>-17.100000000000001</v>
      </c>
      <c r="CG242" s="33">
        <v>3.7</v>
      </c>
      <c r="CH242" s="33">
        <v>66</v>
      </c>
      <c r="CI242" s="33">
        <v>-4.8</v>
      </c>
      <c r="CJ242" s="33">
        <v>-11.7</v>
      </c>
      <c r="CK242" s="33">
        <v>2.7</v>
      </c>
      <c r="CL242" s="33">
        <v>22.6</v>
      </c>
      <c r="CM242" s="33">
        <v>2865.4845449999998</v>
      </c>
      <c r="CN242" s="33">
        <v>9509.2800000000007</v>
      </c>
      <c r="CO242" s="33">
        <v>1067.663636</v>
      </c>
      <c r="CP242" s="33">
        <v>3.5910000000000002</v>
      </c>
      <c r="CQ242" s="33">
        <v>3.21</v>
      </c>
      <c r="CR242" s="33">
        <v>68.599999999999994</v>
      </c>
      <c r="CS242" s="121">
        <f t="shared" si="38"/>
        <v>47.05</v>
      </c>
      <c r="CT242" s="33">
        <v>91.3</v>
      </c>
      <c r="CU242" s="33">
        <v>85.9</v>
      </c>
      <c r="CV242" s="33">
        <v>94.9</v>
      </c>
      <c r="CW242" s="33">
        <v>81.8</v>
      </c>
      <c r="CX242" s="33">
        <v>89.2</v>
      </c>
      <c r="CY242" s="33">
        <v>4.24</v>
      </c>
      <c r="CZ242" s="33">
        <v>41337.303</v>
      </c>
      <c r="DA242" s="33">
        <v>3.05</v>
      </c>
      <c r="DB242" s="33">
        <v>22.23</v>
      </c>
      <c r="DC242" s="33">
        <v>37.86</v>
      </c>
      <c r="DD242" s="33">
        <v>11.43</v>
      </c>
      <c r="DE242" s="33">
        <v>9813.5660000000007</v>
      </c>
      <c r="DF242" s="33">
        <v>1811.931</v>
      </c>
      <c r="DG242" s="33">
        <v>1844.9870000000001</v>
      </c>
      <c r="DH242" s="33">
        <v>935.49900000000002</v>
      </c>
      <c r="DI242" s="33">
        <v>3356.5920000000001</v>
      </c>
      <c r="DJ242" s="33">
        <v>100.7812</v>
      </c>
      <c r="DK242" s="33">
        <v>101.0564</v>
      </c>
      <c r="DL242" s="33">
        <v>101.11</v>
      </c>
      <c r="DM242" s="33">
        <v>101.4144</v>
      </c>
      <c r="DN242" s="33">
        <v>99.405699999999996</v>
      </c>
      <c r="DO242" s="33">
        <v>99.306600000000003</v>
      </c>
      <c r="DP242" s="33">
        <v>98.175399999999996</v>
      </c>
      <c r="DQ242" s="33">
        <v>97.992599999999996</v>
      </c>
      <c r="DR242" s="33">
        <v>1076378</v>
      </c>
      <c r="DS242" s="73">
        <v>27682</v>
      </c>
      <c r="DT242" s="73">
        <v>91.7</v>
      </c>
      <c r="DU242">
        <v>105.04013824462891</v>
      </c>
      <c r="DV242">
        <v>84.368049621582031</v>
      </c>
      <c r="DW242">
        <v>2284</v>
      </c>
      <c r="DX242">
        <v>345425</v>
      </c>
      <c r="DY242">
        <v>73.900000000000006</v>
      </c>
      <c r="DZ242" t="s">
        <v>312</v>
      </c>
    </row>
    <row r="243" spans="1:130" x14ac:dyDescent="0.25">
      <c r="A243" s="1">
        <v>40118</v>
      </c>
      <c r="B243" s="33">
        <v>85.6</v>
      </c>
      <c r="C243" s="107">
        <v>0.36</v>
      </c>
      <c r="D243" s="33">
        <v>1</v>
      </c>
      <c r="E243" s="33">
        <v>0.74</v>
      </c>
      <c r="F243" s="33">
        <v>2.11</v>
      </c>
      <c r="G243" s="33">
        <v>2.72</v>
      </c>
      <c r="H243" s="33">
        <v>3.22</v>
      </c>
      <c r="I243" s="33">
        <f t="shared" si="39"/>
        <v>2.8600000000000003</v>
      </c>
      <c r="J243" s="33">
        <f t="shared" si="40"/>
        <v>2.2200000000000002</v>
      </c>
      <c r="K243" s="33">
        <f t="shared" si="41"/>
        <v>2.4800000000000004</v>
      </c>
      <c r="L243" s="33">
        <f t="shared" si="42"/>
        <v>0.64</v>
      </c>
      <c r="M243" s="33">
        <v>102.5</v>
      </c>
      <c r="N243" s="33">
        <v>5430.82</v>
      </c>
      <c r="O243" s="33">
        <v>31.15</v>
      </c>
      <c r="P243" s="33">
        <v>1013.2</v>
      </c>
      <c r="Q243" s="34">
        <f t="shared" si="43"/>
        <v>11.632606199770381</v>
      </c>
      <c r="R243" s="60">
        <v>1854.8</v>
      </c>
      <c r="S243" s="34">
        <f t="shared" si="44"/>
        <v>2129.5063145809413</v>
      </c>
      <c r="T243" s="60">
        <v>1990.6</v>
      </c>
      <c r="U243" s="34">
        <f t="shared" si="45"/>
        <v>2285.419058553387</v>
      </c>
      <c r="V243" s="116">
        <v>320831</v>
      </c>
      <c r="W243" s="116">
        <v>4467737</v>
      </c>
      <c r="X243" s="117">
        <v>8181093</v>
      </c>
      <c r="Y243" s="117">
        <v>1173741</v>
      </c>
      <c r="Z243" s="33">
        <v>84.1</v>
      </c>
      <c r="AA243" s="33">
        <v>72.3</v>
      </c>
      <c r="AB243" s="33">
        <v>78.900000000000006</v>
      </c>
      <c r="AC243" s="33">
        <v>66.900000000000006</v>
      </c>
      <c r="AD243" s="33">
        <v>40855</v>
      </c>
      <c r="AE243" s="33">
        <v>8.1</v>
      </c>
      <c r="AF243" s="33">
        <v>294</v>
      </c>
      <c r="AG243" s="33">
        <v>87.4</v>
      </c>
      <c r="AH243" s="33">
        <v>87.1</v>
      </c>
      <c r="AI243" s="33">
        <v>86.2</v>
      </c>
      <c r="AJ243" s="33">
        <v>86.6</v>
      </c>
      <c r="AK243" s="33">
        <v>189.766122</v>
      </c>
      <c r="AL243" s="33">
        <v>110.4</v>
      </c>
      <c r="AM243" s="123">
        <v>64.142822221060328</v>
      </c>
      <c r="AN243" s="123">
        <v>130.41308244715935</v>
      </c>
      <c r="AO243" s="123">
        <v>83.931216223240085</v>
      </c>
      <c r="AP243" s="33">
        <v>51.57</v>
      </c>
      <c r="AQ243" s="33">
        <f t="shared" si="46"/>
        <v>0.59825986078886306</v>
      </c>
      <c r="AR243" s="33">
        <v>90.1</v>
      </c>
      <c r="AS243" s="33">
        <v>101.4</v>
      </c>
      <c r="AT243" s="33">
        <v>80</v>
      </c>
      <c r="AU243" s="33">
        <v>89.4</v>
      </c>
      <c r="AV243" s="65">
        <v>105.7</v>
      </c>
      <c r="AW243" s="33">
        <v>75.599999999999994</v>
      </c>
      <c r="AX243" s="33">
        <v>-17.899999999999999</v>
      </c>
      <c r="AY243" s="33">
        <v>5.3</v>
      </c>
      <c r="AZ243" s="33">
        <v>-4.8</v>
      </c>
      <c r="BA243" s="33">
        <v>10.7</v>
      </c>
      <c r="BB243" s="33">
        <v>91</v>
      </c>
      <c r="BC243" s="33">
        <v>97</v>
      </c>
      <c r="BD243" s="33">
        <v>85.4</v>
      </c>
      <c r="BE243" s="33">
        <v>-65.599999999999994</v>
      </c>
      <c r="BF243" s="33">
        <v>51.1</v>
      </c>
      <c r="BG243" s="33">
        <v>0.9</v>
      </c>
      <c r="BH243" s="33">
        <v>165.9</v>
      </c>
      <c r="BI243" s="33">
        <v>8.6999999999999993</v>
      </c>
      <c r="BJ243" s="34">
        <v>52.437461859999999</v>
      </c>
      <c r="BK243" s="45">
        <v>45.214602470832432</v>
      </c>
      <c r="BL243" s="33">
        <v>0.55500000000000005</v>
      </c>
      <c r="BM243" s="33">
        <v>99.753500000000003</v>
      </c>
      <c r="BN243" s="33">
        <v>99.789699999999996</v>
      </c>
      <c r="BO243" s="33">
        <v>-47.3</v>
      </c>
      <c r="BP243" s="33">
        <v>-47</v>
      </c>
      <c r="BQ243" s="33">
        <v>15.9</v>
      </c>
      <c r="BR243" s="33">
        <v>5.4</v>
      </c>
      <c r="BS243" s="33">
        <v>-5.9</v>
      </c>
      <c r="BT243" s="33">
        <v>-23.3</v>
      </c>
      <c r="BU243" s="33">
        <v>-19.3</v>
      </c>
      <c r="BV243" s="33">
        <v>8.9</v>
      </c>
      <c r="BW243" s="33">
        <v>-11.4</v>
      </c>
      <c r="BX243" s="33">
        <v>-15.8</v>
      </c>
      <c r="BY243" s="33">
        <v>-26.2</v>
      </c>
      <c r="BZ243" s="33">
        <v>93.1</v>
      </c>
      <c r="CA243" s="33">
        <v>-11.4</v>
      </c>
      <c r="CB243" s="33">
        <v>-4.7</v>
      </c>
      <c r="CC243" s="33">
        <v>1.3</v>
      </c>
      <c r="CD243" s="33">
        <v>-61.7</v>
      </c>
      <c r="CE243" s="33">
        <v>-30.2</v>
      </c>
      <c r="CF243" s="33">
        <v>-12.2</v>
      </c>
      <c r="CG243" s="33">
        <v>8.3000000000000007</v>
      </c>
      <c r="CH243" s="33">
        <v>64.7</v>
      </c>
      <c r="CI243" s="33">
        <v>-4.9000000000000004</v>
      </c>
      <c r="CJ243" s="33">
        <v>-12.1</v>
      </c>
      <c r="CK243" s="33">
        <v>2.6</v>
      </c>
      <c r="CL243" s="33">
        <v>21.9</v>
      </c>
      <c r="CM243" s="33">
        <v>2843.771667</v>
      </c>
      <c r="CN243" s="33">
        <v>9789.44</v>
      </c>
      <c r="CO243" s="33">
        <v>1088.069</v>
      </c>
      <c r="CP243" s="33">
        <v>3.7570000000000001</v>
      </c>
      <c r="CQ243" s="33">
        <v>3.45</v>
      </c>
      <c r="CR243" s="33">
        <v>66.5</v>
      </c>
      <c r="CS243" s="121">
        <f t="shared" si="38"/>
        <v>45.150000000000006</v>
      </c>
      <c r="CT243" s="33">
        <v>92.7</v>
      </c>
      <c r="CU243" s="33">
        <v>86.2</v>
      </c>
      <c r="CV243" s="33">
        <v>95.2</v>
      </c>
      <c r="CW243" s="33">
        <v>86</v>
      </c>
      <c r="CX243" s="33">
        <v>87.9</v>
      </c>
      <c r="CY243" s="33">
        <v>4.84</v>
      </c>
      <c r="CZ243" s="33">
        <v>39346.61</v>
      </c>
      <c r="DA243" s="33">
        <v>3.15</v>
      </c>
      <c r="DB243" s="33">
        <v>21.42</v>
      </c>
      <c r="DC243" s="33">
        <v>38.1</v>
      </c>
      <c r="DD243" s="33">
        <v>12.03</v>
      </c>
      <c r="DE243" s="33">
        <v>10478.272999999999</v>
      </c>
      <c r="DF243" s="33">
        <v>2070.623</v>
      </c>
      <c r="DG243" s="33">
        <v>2079.8649999999998</v>
      </c>
      <c r="DH243" s="33">
        <v>989.74099999999999</v>
      </c>
      <c r="DI243" s="33">
        <v>3614.2139999999999</v>
      </c>
      <c r="DJ243" s="33">
        <v>101.0436</v>
      </c>
      <c r="DK243" s="33">
        <v>101.38079999999999</v>
      </c>
      <c r="DL243" s="33">
        <v>101.46</v>
      </c>
      <c r="DM243" s="33">
        <v>101.8625</v>
      </c>
      <c r="DN243" s="33">
        <v>99.789699999999996</v>
      </c>
      <c r="DO243" s="33">
        <v>99.753500000000003</v>
      </c>
      <c r="DP243" s="33">
        <v>98.578999999999994</v>
      </c>
      <c r="DQ243" s="33">
        <v>98.436599999999999</v>
      </c>
      <c r="DR243" s="33">
        <v>947382</v>
      </c>
      <c r="DS243" s="73">
        <v>27730</v>
      </c>
      <c r="DT243" s="73">
        <v>91.9</v>
      </c>
      <c r="DU243">
        <v>133.00749206542969</v>
      </c>
      <c r="DV243">
        <v>106.57057952880859</v>
      </c>
      <c r="DW243">
        <v>3185</v>
      </c>
      <c r="DX243">
        <v>373800</v>
      </c>
      <c r="DY243">
        <v>73.400000000000006</v>
      </c>
      <c r="DZ243" t="s">
        <v>312</v>
      </c>
    </row>
    <row r="244" spans="1:130" x14ac:dyDescent="0.25">
      <c r="A244" s="1">
        <v>40148</v>
      </c>
      <c r="B244" s="33">
        <v>85.8</v>
      </c>
      <c r="C244" s="107">
        <v>0.35</v>
      </c>
      <c r="D244" s="33">
        <v>1</v>
      </c>
      <c r="E244" s="33">
        <v>0.72</v>
      </c>
      <c r="F244" s="33">
        <v>1.99</v>
      </c>
      <c r="G244" s="33">
        <v>2.63</v>
      </c>
      <c r="H244" s="33">
        <v>3.14</v>
      </c>
      <c r="I244" s="33">
        <f>IF(ISNUMBER(C244),H244-C244,"")</f>
        <v>2.79</v>
      </c>
      <c r="J244" s="33">
        <f>IF(ISNUMBER(D244),H244-D244,"")</f>
        <v>2.14</v>
      </c>
      <c r="K244" s="33">
        <f>IF(ISNUMBER(H244),H244-E244,"")</f>
        <v>2.42</v>
      </c>
      <c r="L244" s="33">
        <f>IF(ISNUMBER(D244),D244-C244,"")</f>
        <v>0.65</v>
      </c>
      <c r="M244" s="33">
        <v>102.4</v>
      </c>
      <c r="N244" s="33">
        <v>5776.61</v>
      </c>
      <c r="O244" s="33">
        <v>26.59</v>
      </c>
      <c r="P244" s="33">
        <v>1011.7</v>
      </c>
      <c r="Q244" s="34">
        <f t="shared" si="43"/>
        <v>11.602064220183486</v>
      </c>
      <c r="R244" s="60">
        <v>1850.4</v>
      </c>
      <c r="S244" s="34">
        <f t="shared" si="44"/>
        <v>2122.0183486238534</v>
      </c>
      <c r="T244" s="60">
        <v>1986.6</v>
      </c>
      <c r="U244" s="34">
        <f t="shared" si="45"/>
        <v>2278.2110091743116</v>
      </c>
      <c r="V244" s="116">
        <v>318673</v>
      </c>
      <c r="W244" s="116">
        <v>4499550</v>
      </c>
      <c r="X244" s="117">
        <v>8207839</v>
      </c>
      <c r="Y244" s="117">
        <v>1141476</v>
      </c>
      <c r="Z244" s="33">
        <v>83.3</v>
      </c>
      <c r="AA244" s="33">
        <v>71.2</v>
      </c>
      <c r="AB244" s="33">
        <v>78.5</v>
      </c>
      <c r="AC244" s="33">
        <v>66.099999999999994</v>
      </c>
      <c r="AD244" s="33">
        <v>40898</v>
      </c>
      <c r="AE244" s="33">
        <v>8.1</v>
      </c>
      <c r="AF244" s="33">
        <v>303</v>
      </c>
      <c r="AG244" s="33">
        <v>87.5</v>
      </c>
      <c r="AH244" s="33">
        <v>87.2</v>
      </c>
      <c r="AI244" s="33">
        <v>86.7</v>
      </c>
      <c r="AJ244" s="33">
        <v>87.1</v>
      </c>
      <c r="AK244" s="33">
        <v>189.58810500000001</v>
      </c>
      <c r="AL244" s="33">
        <v>73.3</v>
      </c>
      <c r="AM244" s="123">
        <v>65.609588604303582</v>
      </c>
      <c r="AN244" s="123">
        <v>129.33851772287565</v>
      </c>
      <c r="AO244" s="123">
        <v>86.995198041037639</v>
      </c>
      <c r="AP244" s="33">
        <v>51.31</v>
      </c>
      <c r="AQ244" s="33">
        <f t="shared" ref="AQ244:AQ284" si="47">IF(ISNUMBER(AP244),AP244/$AI244,"")</f>
        <v>0.59181084198385236</v>
      </c>
      <c r="AR244" s="33">
        <v>90.4</v>
      </c>
      <c r="AS244" s="33">
        <v>100.9</v>
      </c>
      <c r="AT244" s="33">
        <v>81</v>
      </c>
      <c r="AU244" s="33">
        <v>89.9</v>
      </c>
      <c r="AV244" s="65">
        <v>104.5</v>
      </c>
      <c r="AW244" s="33">
        <v>77.400000000000006</v>
      </c>
      <c r="AX244" s="33">
        <v>-17.7</v>
      </c>
      <c r="AY244" s="33">
        <v>7.4</v>
      </c>
      <c r="AZ244" s="33">
        <v>-2.8</v>
      </c>
      <c r="BA244" s="33">
        <v>9.6999999999999993</v>
      </c>
      <c r="BB244" s="33">
        <v>91.8</v>
      </c>
      <c r="BC244" s="33">
        <v>96.6</v>
      </c>
      <c r="BD244" s="33">
        <v>87.2</v>
      </c>
      <c r="BE244" s="33">
        <v>-60.6</v>
      </c>
      <c r="BF244" s="33">
        <v>50.4</v>
      </c>
      <c r="BG244" s="33">
        <v>1.7</v>
      </c>
      <c r="BH244" s="33">
        <v>163.80000000000001</v>
      </c>
      <c r="BI244" s="33">
        <v>14.6</v>
      </c>
      <c r="BJ244" s="34">
        <v>52.687593069999998</v>
      </c>
      <c r="BK244" s="45">
        <v>65.310668774568143</v>
      </c>
      <c r="BL244" s="33">
        <v>0.499</v>
      </c>
      <c r="BM244" s="33">
        <v>100.1099</v>
      </c>
      <c r="BN244" s="33">
        <v>100.0959</v>
      </c>
      <c r="BO244" s="33">
        <v>-44.9</v>
      </c>
      <c r="BP244" s="33">
        <v>-44.6</v>
      </c>
      <c r="BQ244" s="33">
        <v>14.4</v>
      </c>
      <c r="BR244" s="33">
        <v>6.9</v>
      </c>
      <c r="BS244" s="33">
        <v>-9</v>
      </c>
      <c r="BT244" s="33">
        <v>-19.8</v>
      </c>
      <c r="BU244" s="33">
        <v>-17.5</v>
      </c>
      <c r="BV244" s="33">
        <v>8.1999999999999993</v>
      </c>
      <c r="BW244" s="33">
        <v>-9.5</v>
      </c>
      <c r="BX244" s="33">
        <v>-15.7</v>
      </c>
      <c r="BY244" s="33">
        <v>-27.2</v>
      </c>
      <c r="BZ244" s="33">
        <v>94.2</v>
      </c>
      <c r="CA244" s="33">
        <v>-9.5</v>
      </c>
      <c r="CB244" s="33">
        <v>-2.5</v>
      </c>
      <c r="CC244" s="33">
        <v>2.4</v>
      </c>
      <c r="CD244" s="33">
        <v>-56.6</v>
      </c>
      <c r="CE244" s="33">
        <v>-26.5</v>
      </c>
      <c r="CF244" s="33">
        <v>-6.6</v>
      </c>
      <c r="CG244" s="33">
        <v>11.9</v>
      </c>
      <c r="CH244" s="33">
        <v>62.2</v>
      </c>
      <c r="CI244" s="33">
        <v>-7.4</v>
      </c>
      <c r="CJ244" s="33">
        <v>-11.5</v>
      </c>
      <c r="CK244" s="33">
        <v>4.2</v>
      </c>
      <c r="CL244" s="33">
        <v>21.6</v>
      </c>
      <c r="CM244" s="33">
        <v>2907.6463640000002</v>
      </c>
      <c r="CN244" s="33">
        <v>10471.58</v>
      </c>
      <c r="CO244" s="33">
        <v>1110.377727</v>
      </c>
      <c r="CP244" s="33">
        <v>3.653</v>
      </c>
      <c r="CQ244" s="33">
        <v>3.28</v>
      </c>
      <c r="CR244" s="33">
        <v>68.900000000000006</v>
      </c>
      <c r="CS244" s="121">
        <f t="shared" si="38"/>
        <v>43.75</v>
      </c>
      <c r="CT244" s="33">
        <v>95.5</v>
      </c>
      <c r="CU244" s="33">
        <v>86.5</v>
      </c>
      <c r="CV244" s="33">
        <v>96</v>
      </c>
      <c r="CW244" s="33">
        <v>88</v>
      </c>
      <c r="CX244" s="33">
        <v>87.9</v>
      </c>
      <c r="CY244" s="33">
        <v>4.62</v>
      </c>
      <c r="CZ244" s="33">
        <v>36389.745000000003</v>
      </c>
      <c r="DA244" s="33">
        <v>3.35</v>
      </c>
      <c r="DB244" s="33">
        <v>22.64</v>
      </c>
      <c r="DC244" s="33">
        <v>39.979999999999997</v>
      </c>
      <c r="DD244" s="33">
        <v>12.13</v>
      </c>
      <c r="DE244" s="33">
        <v>11373.027</v>
      </c>
      <c r="DF244" s="33">
        <v>2636.0639999999999</v>
      </c>
      <c r="DG244" s="33">
        <v>1759.835</v>
      </c>
      <c r="DH244" s="33">
        <v>953.495</v>
      </c>
      <c r="DI244" s="33">
        <v>3569.652</v>
      </c>
      <c r="DJ244" s="33">
        <v>101.22499999999999</v>
      </c>
      <c r="DK244" s="33">
        <v>101.60209999999999</v>
      </c>
      <c r="DL244" s="33">
        <v>101.68</v>
      </c>
      <c r="DM244" s="33">
        <v>102.134</v>
      </c>
      <c r="DN244" s="33">
        <v>100.0959</v>
      </c>
      <c r="DO244" s="33">
        <v>100.1099</v>
      </c>
      <c r="DP244" s="33">
        <v>98.949600000000004</v>
      </c>
      <c r="DQ244" s="33">
        <v>98.844300000000004</v>
      </c>
      <c r="DR244" s="33">
        <v>808951</v>
      </c>
      <c r="DS244" s="73">
        <v>27769</v>
      </c>
      <c r="DT244" s="73">
        <v>93.5</v>
      </c>
      <c r="DU244">
        <v>115.26261138916016</v>
      </c>
      <c r="DV244">
        <v>76.332855224609375</v>
      </c>
      <c r="DW244">
        <v>3836</v>
      </c>
      <c r="DX244">
        <v>443000</v>
      </c>
      <c r="DY244">
        <v>75.3</v>
      </c>
      <c r="DZ244" t="s">
        <v>312</v>
      </c>
    </row>
    <row r="245" spans="1:130" x14ac:dyDescent="0.25">
      <c r="A245" s="1">
        <v>40179</v>
      </c>
      <c r="B245" s="33">
        <v>86.7</v>
      </c>
      <c r="C245" s="107">
        <v>0.34</v>
      </c>
      <c r="D245" s="33">
        <v>1</v>
      </c>
      <c r="E245" s="33">
        <v>0.7</v>
      </c>
      <c r="F245" s="33">
        <v>2.09</v>
      </c>
      <c r="G245" s="33">
        <v>2.79</v>
      </c>
      <c r="H245" s="33">
        <v>3.26</v>
      </c>
      <c r="I245" s="33">
        <f>IF(ISNUMBER(C245),H245-C245,"")</f>
        <v>2.92</v>
      </c>
      <c r="J245" s="33">
        <f>IF(ISNUMBER(D245),H245-D245,"")</f>
        <v>2.2599999999999998</v>
      </c>
      <c r="K245" s="33">
        <f>IF(ISNUMBER(H245),H245-E245,"")</f>
        <v>2.5599999999999996</v>
      </c>
      <c r="L245" s="33">
        <f>IF(ISNUMBER(D245),D245-C245,"")</f>
        <v>0.65999999999999992</v>
      </c>
      <c r="M245" s="33">
        <v>101.4</v>
      </c>
      <c r="N245" s="33">
        <v>5957.43</v>
      </c>
      <c r="O245" s="33">
        <v>22.73</v>
      </c>
      <c r="P245" s="33">
        <v>1044.0999999999999</v>
      </c>
      <c r="Q245" s="34">
        <f t="shared" si="43"/>
        <v>11.959908361970218</v>
      </c>
      <c r="R245" s="60">
        <v>1869.7</v>
      </c>
      <c r="S245" s="34">
        <f t="shared" si="44"/>
        <v>2141.6953035509737</v>
      </c>
      <c r="T245" s="60">
        <v>1993.6</v>
      </c>
      <c r="U245" s="34">
        <f t="shared" si="45"/>
        <v>2283.6197021764033</v>
      </c>
      <c r="V245" s="116">
        <v>308182</v>
      </c>
      <c r="W245" s="116">
        <v>4545385</v>
      </c>
      <c r="X245" s="117">
        <v>8220765</v>
      </c>
      <c r="Y245" s="117">
        <v>1103286</v>
      </c>
      <c r="Z245" s="33">
        <v>84.3</v>
      </c>
      <c r="AA245" s="33">
        <v>73.8</v>
      </c>
      <c r="AB245" s="33">
        <v>79</v>
      </c>
      <c r="AC245" s="33">
        <v>68.900000000000006</v>
      </c>
      <c r="AD245" s="33">
        <v>40881</v>
      </c>
      <c r="AE245" s="33">
        <v>8</v>
      </c>
      <c r="AF245" s="33">
        <v>306</v>
      </c>
      <c r="AG245" s="33">
        <v>87.7</v>
      </c>
      <c r="AH245" s="33">
        <v>87.3</v>
      </c>
      <c r="AI245" s="33">
        <v>87.5</v>
      </c>
      <c r="AJ245" s="33">
        <v>87.1</v>
      </c>
      <c r="AK245" s="33">
        <v>161.71999199999999</v>
      </c>
      <c r="AL245" s="33">
        <v>72.7</v>
      </c>
      <c r="AM245" s="123">
        <v>69.035221991607926</v>
      </c>
      <c r="AN245" s="123">
        <v>138.2911024186773</v>
      </c>
      <c r="AO245" s="123">
        <v>94.330761512218686</v>
      </c>
      <c r="AP245" s="33">
        <v>53.65</v>
      </c>
      <c r="AQ245" s="33">
        <f t="shared" si="47"/>
        <v>0.6131428571428571</v>
      </c>
      <c r="AR245" s="33">
        <v>91</v>
      </c>
      <c r="AS245" s="33">
        <v>100.4</v>
      </c>
      <c r="AT245" s="33">
        <v>82.5</v>
      </c>
      <c r="AU245" s="33">
        <v>90.7</v>
      </c>
      <c r="AV245" s="65">
        <v>104</v>
      </c>
      <c r="AW245" s="33">
        <v>79.099999999999994</v>
      </c>
      <c r="AX245" s="33">
        <v>-16.100000000000001</v>
      </c>
      <c r="AY245" s="33">
        <v>5.0999999999999996</v>
      </c>
      <c r="AZ245" s="33">
        <v>-0.8</v>
      </c>
      <c r="BA245" s="33">
        <v>12</v>
      </c>
      <c r="BB245" s="33">
        <v>92.9</v>
      </c>
      <c r="BC245" s="33">
        <v>97.1</v>
      </c>
      <c r="BD245" s="33">
        <v>88.9</v>
      </c>
      <c r="BE245" s="33">
        <v>-56.6</v>
      </c>
      <c r="BF245" s="33">
        <v>47.2</v>
      </c>
      <c r="BG245" s="33">
        <v>1.5</v>
      </c>
      <c r="BH245" s="33">
        <v>160.30000000000001</v>
      </c>
      <c r="BI245" s="33">
        <v>54.5</v>
      </c>
      <c r="BJ245" s="34">
        <v>53.710921759999998</v>
      </c>
      <c r="BK245" s="45">
        <v>76.282359674873547</v>
      </c>
      <c r="BL245" s="33">
        <v>0.42799999999999999</v>
      </c>
      <c r="BM245" s="33">
        <v>100.4203</v>
      </c>
      <c r="BN245" s="33">
        <v>100.3626</v>
      </c>
      <c r="BO245" s="33">
        <v>-39.299999999999997</v>
      </c>
      <c r="BP245" s="33">
        <v>-39.4</v>
      </c>
      <c r="BQ245" s="33">
        <v>12</v>
      </c>
      <c r="BR245" s="33">
        <v>6.6</v>
      </c>
      <c r="BS245" s="33">
        <v>-8.1999999999999993</v>
      </c>
      <c r="BT245" s="33">
        <v>-19.100000000000001</v>
      </c>
      <c r="BU245" s="33">
        <v>-14.9</v>
      </c>
      <c r="BV245" s="33">
        <v>8.6999999999999993</v>
      </c>
      <c r="BW245" s="33">
        <v>-11.4</v>
      </c>
      <c r="BX245" s="33">
        <v>-16.2</v>
      </c>
      <c r="BY245" s="33">
        <v>-27.3</v>
      </c>
      <c r="BZ245" s="33">
        <v>94.5</v>
      </c>
      <c r="CA245" s="33">
        <v>-11.4</v>
      </c>
      <c r="CB245" s="33">
        <v>-4.8</v>
      </c>
      <c r="CC245" s="33">
        <v>2</v>
      </c>
      <c r="CD245" s="33">
        <v>-63.2</v>
      </c>
      <c r="CE245" s="33">
        <v>-26.6</v>
      </c>
      <c r="CF245" s="33">
        <v>-6.7</v>
      </c>
      <c r="CG245" s="33">
        <v>14.6</v>
      </c>
      <c r="CH245" s="33">
        <v>59.1</v>
      </c>
      <c r="CI245" s="33">
        <v>-3</v>
      </c>
      <c r="CJ245" s="33">
        <v>-16.100000000000001</v>
      </c>
      <c r="CK245" s="33">
        <v>4</v>
      </c>
      <c r="CL245" s="33">
        <v>22.1</v>
      </c>
      <c r="CM245" s="33">
        <v>2922.7227499999999</v>
      </c>
      <c r="CN245" s="33">
        <v>10428.049999999999</v>
      </c>
      <c r="CO245" s="33">
        <v>1123.5815789999999</v>
      </c>
      <c r="CP245" s="33">
        <v>4.1109999999999998</v>
      </c>
      <c r="CQ245" s="33">
        <v>3.85</v>
      </c>
      <c r="CR245" s="33">
        <v>70.099999999999994</v>
      </c>
      <c r="CS245" s="121">
        <f t="shared" si="38"/>
        <v>40.950000000000003</v>
      </c>
      <c r="CT245" s="33">
        <v>97.1</v>
      </c>
      <c r="CU245" s="33">
        <v>87.6</v>
      </c>
      <c r="CV245" s="33">
        <v>97.9</v>
      </c>
      <c r="CW245" s="33">
        <v>88.9</v>
      </c>
      <c r="CX245" s="33">
        <v>88.8</v>
      </c>
      <c r="CY245" s="33">
        <v>4.47</v>
      </c>
      <c r="CZ245" s="33">
        <v>36240.419000000002</v>
      </c>
      <c r="DA245" s="33">
        <v>3.65</v>
      </c>
      <c r="DB245" s="33">
        <v>23.09</v>
      </c>
      <c r="DC245" s="33">
        <v>39.04</v>
      </c>
      <c r="DD245" s="33">
        <v>11.86</v>
      </c>
      <c r="DE245" s="33">
        <v>9137.9590000000007</v>
      </c>
      <c r="DF245" s="33">
        <v>1700.694</v>
      </c>
      <c r="DG245" s="33">
        <v>1303.9449999999999</v>
      </c>
      <c r="DH245" s="33">
        <v>1005.015</v>
      </c>
      <c r="DI245" s="33">
        <v>3146.1579999999999</v>
      </c>
      <c r="DJ245" s="33">
        <v>101.3214</v>
      </c>
      <c r="DK245" s="33">
        <v>101.7163</v>
      </c>
      <c r="DL245" s="33">
        <v>101.74</v>
      </c>
      <c r="DM245" s="33">
        <v>102.21729999999999</v>
      </c>
      <c r="DN245" s="33">
        <v>100.3626</v>
      </c>
      <c r="DO245" s="33">
        <v>100.4203</v>
      </c>
      <c r="DP245" s="33">
        <v>99.269400000000005</v>
      </c>
      <c r="DQ245" s="33">
        <v>99.195999999999998</v>
      </c>
      <c r="DR245" s="33">
        <v>874174</v>
      </c>
      <c r="DS245" s="73">
        <v>27757</v>
      </c>
      <c r="DT245" s="73">
        <v>92.8</v>
      </c>
      <c r="DU245">
        <v>142.00355529785156</v>
      </c>
      <c r="DV245">
        <v>105.57108306884766</v>
      </c>
      <c r="DW245">
        <v>3005</v>
      </c>
      <c r="DX245">
        <v>502400</v>
      </c>
      <c r="DY245">
        <v>74.3</v>
      </c>
      <c r="DZ245" t="s">
        <v>312</v>
      </c>
    </row>
    <row r="246" spans="1:130" x14ac:dyDescent="0.25">
      <c r="A246" s="1">
        <v>40210</v>
      </c>
      <c r="B246" s="33">
        <v>85.6</v>
      </c>
      <c r="C246" s="107">
        <v>0.34</v>
      </c>
      <c r="D246" s="33">
        <v>1</v>
      </c>
      <c r="E246" s="33">
        <v>0.69</v>
      </c>
      <c r="F246" s="33">
        <v>1.89</v>
      </c>
      <c r="G246" s="33">
        <v>2.63</v>
      </c>
      <c r="H246" s="33">
        <v>3.17</v>
      </c>
      <c r="I246" s="33">
        <f t="shared" ref="I246:I268" si="48">IF(ISNUMBER(C246),H246-C246,"")</f>
        <v>2.83</v>
      </c>
      <c r="J246" s="33">
        <f t="shared" ref="J246:J268" si="49">IF(ISNUMBER(D246),H246-D246,"")</f>
        <v>2.17</v>
      </c>
      <c r="K246" s="33">
        <f t="shared" ref="K246:K268" si="50">IF(ISNUMBER(H246),H246-E246,"")</f>
        <v>2.48</v>
      </c>
      <c r="L246" s="33">
        <f t="shared" ref="L246:L268" si="51">IF(ISNUMBER(D246),D246-C246,"")</f>
        <v>0.65999999999999992</v>
      </c>
      <c r="M246" s="33">
        <v>100.1</v>
      </c>
      <c r="N246" s="33">
        <v>5654.48</v>
      </c>
      <c r="O246" s="33">
        <v>24.92</v>
      </c>
      <c r="P246" s="33">
        <v>1048</v>
      </c>
      <c r="Q246" s="34">
        <f t="shared" si="43"/>
        <v>11.990846681922196</v>
      </c>
      <c r="R246" s="60">
        <v>1873.3</v>
      </c>
      <c r="S246" s="34">
        <f t="shared" si="44"/>
        <v>2143.3638443935924</v>
      </c>
      <c r="T246" s="60">
        <v>2007.4</v>
      </c>
      <c r="U246" s="34">
        <f t="shared" si="45"/>
        <v>2296.7963386727688</v>
      </c>
      <c r="V246" s="116">
        <v>301620</v>
      </c>
      <c r="W246" s="116">
        <v>4568331</v>
      </c>
      <c r="X246" s="117">
        <v>8228832</v>
      </c>
      <c r="Y246" s="117">
        <v>1094772</v>
      </c>
      <c r="Z246" s="33">
        <v>84.4</v>
      </c>
      <c r="AA246" s="33">
        <v>73.900000000000006</v>
      </c>
      <c r="AB246" s="33">
        <v>75.5</v>
      </c>
      <c r="AC246" s="33">
        <v>68.599999999999994</v>
      </c>
      <c r="AD246" s="33">
        <v>40888</v>
      </c>
      <c r="AE246" s="33">
        <v>8</v>
      </c>
      <c r="AF246" s="33">
        <v>312</v>
      </c>
      <c r="AG246" s="33">
        <v>87.6</v>
      </c>
      <c r="AH246" s="33">
        <v>87.4</v>
      </c>
      <c r="AI246" s="33">
        <v>88.1</v>
      </c>
      <c r="AJ246" s="33">
        <v>87.6</v>
      </c>
      <c r="AK246" s="33">
        <v>161.52467799999999</v>
      </c>
      <c r="AL246" s="33">
        <v>72.8</v>
      </c>
      <c r="AM246" s="123">
        <v>68.704909924662445</v>
      </c>
      <c r="AN246" s="123">
        <v>139.28743600958995</v>
      </c>
      <c r="AO246" s="123">
        <v>91.946577430041728</v>
      </c>
      <c r="AP246" s="33">
        <v>54.03</v>
      </c>
      <c r="AQ246" s="33">
        <f t="shared" si="47"/>
        <v>0.61328036322360957</v>
      </c>
      <c r="AR246" s="33">
        <v>90.2</v>
      </c>
      <c r="AS246" s="33">
        <v>100.1</v>
      </c>
      <c r="AT246" s="33">
        <v>81.3</v>
      </c>
      <c r="AU246" s="33">
        <v>90.7</v>
      </c>
      <c r="AV246" s="65">
        <v>103.8</v>
      </c>
      <c r="AW246" s="33">
        <v>79.2</v>
      </c>
      <c r="AX246" s="33">
        <v>-11.9</v>
      </c>
      <c r="AY246" s="33">
        <v>11.5</v>
      </c>
      <c r="AZ246" s="33">
        <v>-1</v>
      </c>
      <c r="BA246" s="33">
        <v>13.6</v>
      </c>
      <c r="BB246" s="33">
        <v>89.7</v>
      </c>
      <c r="BC246" s="33">
        <v>96.6</v>
      </c>
      <c r="BD246" s="33">
        <v>83.2</v>
      </c>
      <c r="BE246" s="33">
        <v>-54.8</v>
      </c>
      <c r="BF246" s="33">
        <v>45.1</v>
      </c>
      <c r="BG246" s="33">
        <v>-5.6</v>
      </c>
      <c r="BH246" s="33">
        <v>157.4</v>
      </c>
      <c r="BI246" s="33">
        <v>77.7</v>
      </c>
      <c r="BJ246" s="34">
        <v>57.213331889999999</v>
      </c>
      <c r="BK246" s="45">
        <v>73.653400945402836</v>
      </c>
      <c r="BL246" s="33">
        <v>0.222</v>
      </c>
      <c r="BM246" s="33">
        <v>100.7157</v>
      </c>
      <c r="BN246" s="33">
        <v>100.6164</v>
      </c>
      <c r="BO246" s="33">
        <v>-38.5</v>
      </c>
      <c r="BP246" s="33">
        <v>-36.299999999999997</v>
      </c>
      <c r="BQ246" s="33">
        <v>9.3000000000000007</v>
      </c>
      <c r="BR246" s="33">
        <v>10.4</v>
      </c>
      <c r="BS246" s="33">
        <v>-6.3</v>
      </c>
      <c r="BT246" s="33">
        <v>-14.6</v>
      </c>
      <c r="BU246" s="33">
        <v>-12.5</v>
      </c>
      <c r="BV246" s="33">
        <v>6.8</v>
      </c>
      <c r="BW246" s="33">
        <v>-10.4</v>
      </c>
      <c r="BX246" s="33">
        <v>-21</v>
      </c>
      <c r="BY246" s="33">
        <v>-26.6</v>
      </c>
      <c r="BZ246" s="33">
        <v>95.5</v>
      </c>
      <c r="CA246" s="33">
        <v>-10.4</v>
      </c>
      <c r="CB246" s="33">
        <v>-4</v>
      </c>
      <c r="CC246" s="33">
        <v>2</v>
      </c>
      <c r="CD246" s="33">
        <v>-57.1</v>
      </c>
      <c r="CE246" s="33">
        <v>-26.1</v>
      </c>
      <c r="CF246" s="33">
        <v>-5.5</v>
      </c>
      <c r="CG246" s="33">
        <v>13.5</v>
      </c>
      <c r="CH246" s="33">
        <v>53.3</v>
      </c>
      <c r="CI246" s="33">
        <v>-7.5</v>
      </c>
      <c r="CJ246" s="33">
        <v>-13.4</v>
      </c>
      <c r="CK246" s="33">
        <v>4.3</v>
      </c>
      <c r="CL246" s="33">
        <v>22.5</v>
      </c>
      <c r="CM246" s="33">
        <v>2727.4830999999999</v>
      </c>
      <c r="CN246" s="33">
        <v>10185.530000000001</v>
      </c>
      <c r="CO246" s="33">
        <v>1089.1600000000001</v>
      </c>
      <c r="CP246" s="33">
        <v>3.992</v>
      </c>
      <c r="CQ246" s="33">
        <v>3.68</v>
      </c>
      <c r="CR246" s="33">
        <v>68.400000000000006</v>
      </c>
      <c r="CS246" s="121">
        <f>+CS247+(CT246-CT245)</f>
        <v>39.350000000000009</v>
      </c>
      <c r="CT246" s="33">
        <v>93.5</v>
      </c>
      <c r="CU246" s="33">
        <v>86.4</v>
      </c>
      <c r="CV246" s="33">
        <v>99</v>
      </c>
      <c r="CW246" s="33">
        <v>90.6</v>
      </c>
      <c r="CX246" s="33">
        <v>87.8</v>
      </c>
      <c r="CY246" s="33">
        <v>4.67</v>
      </c>
      <c r="CZ246" s="33">
        <v>38845.14</v>
      </c>
      <c r="DA246" s="33">
        <v>2.95</v>
      </c>
      <c r="DB246" s="33">
        <v>23.17</v>
      </c>
      <c r="DC246" s="33">
        <v>39.74</v>
      </c>
      <c r="DD246" s="33">
        <v>11.9</v>
      </c>
      <c r="DE246" s="33">
        <v>10536.091</v>
      </c>
      <c r="DF246" s="33">
        <v>2053.9360000000001</v>
      </c>
      <c r="DG246" s="33">
        <v>1626.309</v>
      </c>
      <c r="DH246" s="33">
        <v>975.98599999999999</v>
      </c>
      <c r="DI246" s="33">
        <v>3853.4050000000002</v>
      </c>
      <c r="DJ246" s="33">
        <v>101.3377</v>
      </c>
      <c r="DK246" s="33">
        <v>101.7311</v>
      </c>
      <c r="DL246" s="33">
        <v>101.67</v>
      </c>
      <c r="DM246" s="33">
        <v>102.13200000000001</v>
      </c>
      <c r="DN246" s="33">
        <v>100.6164</v>
      </c>
      <c r="DO246" s="33">
        <v>100.7157</v>
      </c>
      <c r="DP246" s="33">
        <v>99.506699999999995</v>
      </c>
      <c r="DQ246" s="33">
        <v>99.457099999999997</v>
      </c>
      <c r="DR246" s="33">
        <v>828603</v>
      </c>
      <c r="DS246" s="73">
        <v>27762</v>
      </c>
      <c r="DT246" s="73">
        <v>93.6</v>
      </c>
      <c r="DU246">
        <v>136.73905944824219</v>
      </c>
      <c r="DV246">
        <v>121.43701171875</v>
      </c>
      <c r="DW246">
        <v>2745</v>
      </c>
      <c r="DX246">
        <v>541150</v>
      </c>
      <c r="DY246">
        <v>74.3</v>
      </c>
      <c r="DZ246" t="s">
        <v>312</v>
      </c>
    </row>
    <row r="247" spans="1:130" x14ac:dyDescent="0.25">
      <c r="A247" s="1">
        <v>40238</v>
      </c>
      <c r="B247" s="33">
        <v>88.1</v>
      </c>
      <c r="C247" s="107">
        <v>0.35</v>
      </c>
      <c r="D247" s="33">
        <v>1</v>
      </c>
      <c r="E247" s="33">
        <v>0.66</v>
      </c>
      <c r="F247" s="33">
        <v>1.79</v>
      </c>
      <c r="G247" s="33">
        <v>2.5499999999999998</v>
      </c>
      <c r="H247" s="33">
        <v>3.1</v>
      </c>
      <c r="I247" s="33">
        <f t="shared" si="48"/>
        <v>2.75</v>
      </c>
      <c r="J247" s="33">
        <f t="shared" si="49"/>
        <v>2.1</v>
      </c>
      <c r="K247" s="33">
        <f t="shared" si="50"/>
        <v>2.44</v>
      </c>
      <c r="L247" s="33">
        <f t="shared" si="51"/>
        <v>0.65</v>
      </c>
      <c r="M247" s="33">
        <v>100.1</v>
      </c>
      <c r="N247" s="33">
        <v>5713.51</v>
      </c>
      <c r="O247" s="33">
        <v>21.19</v>
      </c>
      <c r="P247" s="33">
        <v>1035</v>
      </c>
      <c r="Q247" s="34">
        <f t="shared" si="43"/>
        <v>11.842105263157894</v>
      </c>
      <c r="R247" s="60">
        <v>1864.3</v>
      </c>
      <c r="S247" s="34">
        <f t="shared" si="44"/>
        <v>2133.0663615560638</v>
      </c>
      <c r="T247" s="60">
        <v>1996.1</v>
      </c>
      <c r="U247" s="34">
        <f t="shared" si="45"/>
        <v>2283.8672768878714</v>
      </c>
      <c r="V247" s="116">
        <v>303083</v>
      </c>
      <c r="W247" s="116">
        <v>4580958</v>
      </c>
      <c r="X247" s="117">
        <v>8230444</v>
      </c>
      <c r="Y247" s="117">
        <v>1101860</v>
      </c>
      <c r="Z247" s="33">
        <v>86.5</v>
      </c>
      <c r="AA247" s="33">
        <v>77.5</v>
      </c>
      <c r="AB247" s="33">
        <v>79.099999999999994</v>
      </c>
      <c r="AC247" s="33">
        <v>72.7</v>
      </c>
      <c r="AD247" s="33">
        <v>40948</v>
      </c>
      <c r="AE247" s="33">
        <v>8</v>
      </c>
      <c r="AF247" s="33">
        <v>322</v>
      </c>
      <c r="AG247" s="33">
        <v>87.9</v>
      </c>
      <c r="AH247" s="33">
        <v>87.4</v>
      </c>
      <c r="AI247" s="33">
        <v>89.4</v>
      </c>
      <c r="AJ247" s="33">
        <v>88</v>
      </c>
      <c r="AK247" s="33">
        <v>162.30593400000001</v>
      </c>
      <c r="AL247" s="33">
        <v>72.900000000000006</v>
      </c>
      <c r="AM247" s="123">
        <v>72.009703060279122</v>
      </c>
      <c r="AN247" s="123">
        <v>143.57006581369154</v>
      </c>
      <c r="AO247" s="123">
        <v>97.834781896004969</v>
      </c>
      <c r="AP247" s="33">
        <v>58.6</v>
      </c>
      <c r="AQ247" s="33">
        <f t="shared" si="47"/>
        <v>0.65548098434004476</v>
      </c>
      <c r="AR247" s="33">
        <v>92.4</v>
      </c>
      <c r="AS247" s="33">
        <v>101.3</v>
      </c>
      <c r="AT247" s="33">
        <v>84.2</v>
      </c>
      <c r="AU247" s="33">
        <v>93.3</v>
      </c>
      <c r="AV247" s="65">
        <v>105</v>
      </c>
      <c r="AW247" s="33">
        <v>82.8</v>
      </c>
      <c r="AX247" s="33">
        <v>-6.8</v>
      </c>
      <c r="AY247" s="33">
        <v>15.9</v>
      </c>
      <c r="AZ247" s="33">
        <v>3</v>
      </c>
      <c r="BA247" s="33">
        <v>15.4</v>
      </c>
      <c r="BB247" s="33">
        <v>91.9</v>
      </c>
      <c r="BC247" s="33">
        <v>98.5</v>
      </c>
      <c r="BD247" s="33">
        <v>85.8</v>
      </c>
      <c r="BE247" s="33">
        <v>-51.9</v>
      </c>
      <c r="BF247" s="33">
        <v>44.5</v>
      </c>
      <c r="BG247" s="33">
        <v>4.5</v>
      </c>
      <c r="BH247" s="33">
        <v>155.5</v>
      </c>
      <c r="BI247" s="33">
        <v>78.599999999999994</v>
      </c>
      <c r="BJ247" s="34">
        <v>60.231417720000003</v>
      </c>
      <c r="BK247" s="45">
        <v>89.22128245765532</v>
      </c>
      <c r="BL247" s="33">
        <v>0.20799999999999999</v>
      </c>
      <c r="BM247" s="33">
        <v>101.0119</v>
      </c>
      <c r="BN247" s="33">
        <v>100.8708</v>
      </c>
      <c r="BO247" s="33">
        <v>-34.5</v>
      </c>
      <c r="BP247" s="33">
        <v>-31.6</v>
      </c>
      <c r="BQ247" s="33">
        <v>6.3</v>
      </c>
      <c r="BR247" s="33">
        <v>13.3</v>
      </c>
      <c r="BS247" s="33">
        <v>-1.2</v>
      </c>
      <c r="BT247" s="33">
        <v>-12.4</v>
      </c>
      <c r="BU247" s="33">
        <v>-9.1999999999999993</v>
      </c>
      <c r="BV247" s="33">
        <v>9.6999999999999993</v>
      </c>
      <c r="BW247" s="33">
        <v>-9.1</v>
      </c>
      <c r="BX247" s="33">
        <v>-18.2</v>
      </c>
      <c r="BY247" s="33">
        <v>-24.3</v>
      </c>
      <c r="BZ247" s="33">
        <v>98.3</v>
      </c>
      <c r="CA247" s="33">
        <v>-9.1</v>
      </c>
      <c r="CB247" s="33">
        <v>-2.7</v>
      </c>
      <c r="CC247" s="33">
        <v>2.4</v>
      </c>
      <c r="CD247" s="33">
        <v>-54</v>
      </c>
      <c r="CE247" s="33">
        <v>-22</v>
      </c>
      <c r="CF247" s="33">
        <v>0.6</v>
      </c>
      <c r="CG247" s="33">
        <v>14.8</v>
      </c>
      <c r="CH247" s="33">
        <v>45.4</v>
      </c>
      <c r="CI247" s="33">
        <v>-7.1</v>
      </c>
      <c r="CJ247" s="33">
        <v>-13.9</v>
      </c>
      <c r="CK247" s="33">
        <v>4.5999999999999996</v>
      </c>
      <c r="CL247" s="33">
        <v>23.2</v>
      </c>
      <c r="CM247" s="33">
        <v>2890.466304</v>
      </c>
      <c r="CN247" s="33">
        <v>10403.790000000001</v>
      </c>
      <c r="CO247" s="33">
        <v>1152.0486960000001</v>
      </c>
      <c r="CP247" s="33">
        <v>4.0659999999999998</v>
      </c>
      <c r="CQ247" s="33">
        <v>3.61</v>
      </c>
      <c r="CR247" s="33">
        <v>67.900000000000006</v>
      </c>
      <c r="CS247" s="64">
        <v>42.95</v>
      </c>
      <c r="CT247" s="33">
        <v>96</v>
      </c>
      <c r="CU247" s="33">
        <v>89.8</v>
      </c>
      <c r="CV247" s="33">
        <v>101.4</v>
      </c>
      <c r="CW247" s="33">
        <v>90</v>
      </c>
      <c r="CX247" s="33">
        <v>92.9</v>
      </c>
      <c r="CY247" s="33">
        <v>5.54</v>
      </c>
      <c r="CZ247" s="33">
        <v>46385.197999999997</v>
      </c>
      <c r="DA247" s="33">
        <v>3.42</v>
      </c>
      <c r="DB247" s="33">
        <v>23.86</v>
      </c>
      <c r="DC247" s="33">
        <v>41.19</v>
      </c>
      <c r="DD247" s="33">
        <v>12.41</v>
      </c>
      <c r="DE247" s="33">
        <v>13062.388000000001</v>
      </c>
      <c r="DF247" s="33">
        <v>2343.9830000000002</v>
      </c>
      <c r="DG247" s="33">
        <v>2214.9929999999999</v>
      </c>
      <c r="DH247" s="33">
        <v>1168.239</v>
      </c>
      <c r="DI247" s="33">
        <v>4775.9960000000001</v>
      </c>
      <c r="DJ247" s="33">
        <v>101.29049999999999</v>
      </c>
      <c r="DK247" s="33">
        <v>101.6664</v>
      </c>
      <c r="DL247" s="33">
        <v>101.5</v>
      </c>
      <c r="DM247" s="33">
        <v>101.91289999999999</v>
      </c>
      <c r="DN247" s="33">
        <v>100.8708</v>
      </c>
      <c r="DO247" s="33">
        <v>101.0119</v>
      </c>
      <c r="DP247" s="33">
        <v>99.665000000000006</v>
      </c>
      <c r="DQ247" s="33">
        <v>99.631100000000004</v>
      </c>
      <c r="DR247" s="33">
        <v>708529</v>
      </c>
      <c r="DS247" s="73">
        <v>27840</v>
      </c>
      <c r="DT247" s="73">
        <v>95.5</v>
      </c>
      <c r="DU247">
        <v>137.83830261230469</v>
      </c>
      <c r="DV247">
        <v>116.47019958496094</v>
      </c>
      <c r="DW247">
        <v>2760</v>
      </c>
      <c r="DX247">
        <v>552325</v>
      </c>
      <c r="DY247">
        <v>76.400000000000006</v>
      </c>
      <c r="DZ247" t="s">
        <v>312</v>
      </c>
    </row>
    <row r="248" spans="1:130" x14ac:dyDescent="0.25">
      <c r="A248" s="1">
        <v>40269</v>
      </c>
      <c r="B248" s="33">
        <v>90.2</v>
      </c>
      <c r="C248" s="107">
        <v>0.35</v>
      </c>
      <c r="D248" s="33">
        <v>1</v>
      </c>
      <c r="E248" s="33">
        <v>0.65</v>
      </c>
      <c r="F248" s="33">
        <v>1.75</v>
      </c>
      <c r="G248" s="33">
        <v>2.5</v>
      </c>
      <c r="H248" s="33">
        <v>3.06</v>
      </c>
      <c r="I248" s="33">
        <f t="shared" si="48"/>
        <v>2.71</v>
      </c>
      <c r="J248" s="33">
        <f t="shared" si="49"/>
        <v>2.06</v>
      </c>
      <c r="K248" s="33">
        <f t="shared" si="50"/>
        <v>2.41</v>
      </c>
      <c r="L248" s="33">
        <f t="shared" si="51"/>
        <v>0.65</v>
      </c>
      <c r="M248" s="33">
        <v>99.8</v>
      </c>
      <c r="N248" s="33">
        <v>6235.56</v>
      </c>
      <c r="O248" s="33">
        <v>17.850000000000001</v>
      </c>
      <c r="P248" s="33">
        <v>1072.8</v>
      </c>
      <c r="Q248" s="34">
        <f t="shared" si="43"/>
        <v>12.246575342465754</v>
      </c>
      <c r="R248" s="60">
        <v>1881.8</v>
      </c>
      <c r="S248" s="34">
        <f t="shared" si="44"/>
        <v>2148.1735159817349</v>
      </c>
      <c r="T248" s="60">
        <v>2028</v>
      </c>
      <c r="U248" s="34">
        <f t="shared" si="45"/>
        <v>2315.0684931506853</v>
      </c>
      <c r="V248" s="116">
        <v>310718</v>
      </c>
      <c r="W248" s="116">
        <v>4632696</v>
      </c>
      <c r="X248" s="117">
        <v>8264563</v>
      </c>
      <c r="Y248" s="117">
        <v>1113392</v>
      </c>
      <c r="Z248" s="33">
        <v>89.4</v>
      </c>
      <c r="AA248" s="33">
        <v>79.7</v>
      </c>
      <c r="AB248" s="33">
        <v>77.7</v>
      </c>
      <c r="AC248" s="33">
        <v>74.7</v>
      </c>
      <c r="AD248" s="33">
        <v>41014</v>
      </c>
      <c r="AE248" s="33">
        <v>7.8</v>
      </c>
      <c r="AF248" s="33">
        <v>333</v>
      </c>
      <c r="AG248" s="33">
        <v>88.1</v>
      </c>
      <c r="AH248" s="33">
        <v>87.6</v>
      </c>
      <c r="AI248" s="33">
        <v>90.9</v>
      </c>
      <c r="AJ248" s="33">
        <v>88.5</v>
      </c>
      <c r="AK248" s="33">
        <v>163.86844600000001</v>
      </c>
      <c r="AL248" s="33">
        <v>74</v>
      </c>
      <c r="AM248" s="123">
        <v>76.173130517347374</v>
      </c>
      <c r="AN248" s="123">
        <v>156.40615734774815</v>
      </c>
      <c r="AO248" s="123">
        <v>102.06908908512592</v>
      </c>
      <c r="AP248" s="33">
        <v>63.44</v>
      </c>
      <c r="AQ248" s="33">
        <f t="shared" si="47"/>
        <v>0.69790979097909789</v>
      </c>
      <c r="AR248" s="33">
        <v>96.8</v>
      </c>
      <c r="AS248" s="33">
        <v>104.7</v>
      </c>
      <c r="AT248" s="33">
        <v>89.5</v>
      </c>
      <c r="AU248" s="33">
        <v>97.3</v>
      </c>
      <c r="AV248" s="65">
        <v>108.2</v>
      </c>
      <c r="AW248" s="33">
        <v>87.5</v>
      </c>
      <c r="AX248" s="33">
        <v>0.2</v>
      </c>
      <c r="AY248" s="33">
        <v>12.7</v>
      </c>
      <c r="AZ248" s="33">
        <v>13.3</v>
      </c>
      <c r="BA248" s="33">
        <v>20.399999999999999</v>
      </c>
      <c r="BB248" s="33">
        <v>99.2</v>
      </c>
      <c r="BC248" s="33">
        <v>104</v>
      </c>
      <c r="BD248" s="33">
        <v>94.7</v>
      </c>
      <c r="BE248" s="33">
        <v>-39.200000000000003</v>
      </c>
      <c r="BF248" s="33">
        <v>53</v>
      </c>
      <c r="BG248" s="33">
        <v>22.5</v>
      </c>
      <c r="BH248" s="33">
        <v>143.1</v>
      </c>
      <c r="BI248" s="33">
        <v>37.6</v>
      </c>
      <c r="BJ248" s="34">
        <v>61.569042520000004</v>
      </c>
      <c r="BK248" s="45">
        <v>83.935587285359418</v>
      </c>
      <c r="BL248" s="33">
        <v>0.155</v>
      </c>
      <c r="BM248" s="33">
        <v>101.29689999999999</v>
      </c>
      <c r="BN248" s="33">
        <v>101.1157</v>
      </c>
      <c r="BO248" s="33">
        <v>-23.7</v>
      </c>
      <c r="BP248" s="33">
        <v>-23.4</v>
      </c>
      <c r="BQ248" s="33">
        <v>3.6</v>
      </c>
      <c r="BR248" s="33">
        <v>14.5</v>
      </c>
      <c r="BS248" s="33">
        <v>1.9</v>
      </c>
      <c r="BT248" s="33">
        <v>-7.7</v>
      </c>
      <c r="BU248" s="33">
        <v>-4.3</v>
      </c>
      <c r="BV248" s="33">
        <v>16.399999999999999</v>
      </c>
      <c r="BW248" s="33">
        <v>-5.9</v>
      </c>
      <c r="BX248" s="33">
        <v>-3.7</v>
      </c>
      <c r="BY248" s="33">
        <v>-22.2</v>
      </c>
      <c r="BZ248" s="33">
        <v>103.8</v>
      </c>
      <c r="CA248" s="33">
        <v>-5.9</v>
      </c>
      <c r="CB248" s="33">
        <v>-2</v>
      </c>
      <c r="CC248" s="33">
        <v>4.9000000000000004</v>
      </c>
      <c r="CD248" s="33">
        <v>-43.9</v>
      </c>
      <c r="CE248" s="33">
        <v>-16.2</v>
      </c>
      <c r="CF248" s="33">
        <v>7.4</v>
      </c>
      <c r="CG248" s="33">
        <v>18.2</v>
      </c>
      <c r="CH248" s="33">
        <v>37.4</v>
      </c>
      <c r="CI248" s="33">
        <v>-8.1</v>
      </c>
      <c r="CJ248" s="33">
        <v>-10.5</v>
      </c>
      <c r="CK248" s="33">
        <v>6.5</v>
      </c>
      <c r="CL248" s="33">
        <v>23.6</v>
      </c>
      <c r="CM248" s="33">
        <v>2937.3015</v>
      </c>
      <c r="CN248" s="33">
        <v>10927.07</v>
      </c>
      <c r="CO248" s="33">
        <v>1197.31619</v>
      </c>
      <c r="CP248" s="33">
        <v>3.9249999999999998</v>
      </c>
      <c r="CQ248" s="33">
        <v>3.89</v>
      </c>
      <c r="CR248" s="33">
        <v>66.5</v>
      </c>
      <c r="CS248" s="64">
        <v>43.88</v>
      </c>
      <c r="CT248" s="33">
        <v>99.3</v>
      </c>
      <c r="CU248" s="33">
        <v>91.9</v>
      </c>
      <c r="CV248" s="33">
        <v>102.6</v>
      </c>
      <c r="CW248" s="33">
        <v>97.2</v>
      </c>
      <c r="CX248" s="33">
        <v>93.3</v>
      </c>
      <c r="CY248" s="33">
        <v>5.23</v>
      </c>
      <c r="CZ248" s="33">
        <v>40874.858</v>
      </c>
      <c r="DA248" s="33">
        <v>3.49</v>
      </c>
      <c r="DB248" s="33">
        <v>24.05</v>
      </c>
      <c r="DC248" s="33">
        <v>40.68</v>
      </c>
      <c r="DD248" s="33">
        <v>12.88</v>
      </c>
      <c r="DE248" s="33">
        <v>11210.644</v>
      </c>
      <c r="DF248" s="33">
        <v>1978.9760000000001</v>
      </c>
      <c r="DG248" s="33">
        <v>2004.153</v>
      </c>
      <c r="DH248" s="33">
        <v>992.721</v>
      </c>
      <c r="DI248" s="33">
        <v>4125.8879999999999</v>
      </c>
      <c r="DJ248" s="33">
        <v>101.1921</v>
      </c>
      <c r="DK248" s="33">
        <v>101.53749999999999</v>
      </c>
      <c r="DL248" s="33">
        <v>101.25</v>
      </c>
      <c r="DM248" s="33">
        <v>101.5941</v>
      </c>
      <c r="DN248" s="33">
        <v>101.1157</v>
      </c>
      <c r="DO248" s="33">
        <v>101.29689999999999</v>
      </c>
      <c r="DP248" s="33">
        <v>99.728999999999999</v>
      </c>
      <c r="DQ248" s="33">
        <v>99.701499999999996</v>
      </c>
      <c r="DR248" s="33">
        <v>598520</v>
      </c>
      <c r="DS248" s="73">
        <v>27914</v>
      </c>
      <c r="DT248" s="73">
        <v>97</v>
      </c>
      <c r="DU248">
        <v>152.78446960449219</v>
      </c>
      <c r="DV248">
        <v>153.83554077148438</v>
      </c>
      <c r="DW248">
        <v>2991</v>
      </c>
      <c r="DX248">
        <v>512575</v>
      </c>
      <c r="DY248">
        <v>76.8</v>
      </c>
      <c r="DZ248" t="s">
        <v>312</v>
      </c>
    </row>
    <row r="249" spans="1:130" x14ac:dyDescent="0.25">
      <c r="A249" s="1">
        <v>40299</v>
      </c>
      <c r="B249" s="33">
        <v>92.7</v>
      </c>
      <c r="C249" s="107">
        <v>0.34</v>
      </c>
      <c r="D249" s="33">
        <v>1</v>
      </c>
      <c r="E249" s="33">
        <v>0.66</v>
      </c>
      <c r="F249" s="33">
        <v>1.3</v>
      </c>
      <c r="G249" s="33">
        <v>2.1</v>
      </c>
      <c r="H249" s="33">
        <v>2.73</v>
      </c>
      <c r="I249" s="33">
        <f t="shared" si="48"/>
        <v>2.39</v>
      </c>
      <c r="J249" s="33">
        <f t="shared" si="49"/>
        <v>1.73</v>
      </c>
      <c r="K249" s="33">
        <f t="shared" si="50"/>
        <v>2.0699999999999998</v>
      </c>
      <c r="L249" s="33">
        <f t="shared" si="51"/>
        <v>0.65999999999999992</v>
      </c>
      <c r="M249" s="33">
        <v>98.1</v>
      </c>
      <c r="N249" s="33">
        <v>6166.92</v>
      </c>
      <c r="O249" s="33">
        <v>23.35</v>
      </c>
      <c r="P249" s="33">
        <v>1085.5999999999999</v>
      </c>
      <c r="Q249" s="34">
        <f t="shared" si="43"/>
        <v>12.392694063926941</v>
      </c>
      <c r="R249" s="60">
        <v>1890.7</v>
      </c>
      <c r="S249" s="34">
        <f t="shared" si="44"/>
        <v>2158.3333333333335</v>
      </c>
      <c r="T249" s="60">
        <v>2041</v>
      </c>
      <c r="U249" s="34">
        <f t="shared" si="45"/>
        <v>2329.9086757990867</v>
      </c>
      <c r="V249" s="116">
        <v>309739</v>
      </c>
      <c r="W249" s="116">
        <v>4649309</v>
      </c>
      <c r="X249" s="117">
        <v>8283333</v>
      </c>
      <c r="Y249" s="117">
        <v>1105300</v>
      </c>
      <c r="Z249" s="33">
        <v>91.6</v>
      </c>
      <c r="AA249" s="33">
        <v>80.099999999999994</v>
      </c>
      <c r="AB249" s="33">
        <v>79.900000000000006</v>
      </c>
      <c r="AC249" s="33">
        <v>76.5</v>
      </c>
      <c r="AD249" s="33">
        <v>41058</v>
      </c>
      <c r="AE249" s="33">
        <v>7.7</v>
      </c>
      <c r="AF249" s="33">
        <v>348</v>
      </c>
      <c r="AG249" s="33">
        <v>88.2</v>
      </c>
      <c r="AH249" s="33">
        <v>87.6</v>
      </c>
      <c r="AI249" s="33">
        <v>91.5</v>
      </c>
      <c r="AJ249" s="33">
        <v>89</v>
      </c>
      <c r="AK249" s="33">
        <v>164.64970199999999</v>
      </c>
      <c r="AL249" s="33">
        <v>73.8</v>
      </c>
      <c r="AM249" s="123">
        <v>83.153138493040558</v>
      </c>
      <c r="AN249" s="123">
        <v>155.81032436737578</v>
      </c>
      <c r="AO249" s="123">
        <v>107.59548175382335</v>
      </c>
      <c r="AP249" s="33">
        <v>60.67</v>
      </c>
      <c r="AQ249" s="33">
        <f t="shared" si="47"/>
        <v>0.66306010928961745</v>
      </c>
      <c r="AR249" s="33">
        <v>97.4</v>
      </c>
      <c r="AS249" s="33">
        <v>104.3</v>
      </c>
      <c r="AT249" s="33">
        <v>91</v>
      </c>
      <c r="AU249" s="33">
        <v>98.8</v>
      </c>
      <c r="AV249" s="65">
        <v>107.9</v>
      </c>
      <c r="AW249" s="33">
        <v>90.5</v>
      </c>
      <c r="AX249" s="33">
        <v>6.1</v>
      </c>
      <c r="AY249" s="33">
        <v>24.7</v>
      </c>
      <c r="AZ249" s="33">
        <v>18.3</v>
      </c>
      <c r="BA249" s="33">
        <v>20.2</v>
      </c>
      <c r="BB249" s="33">
        <v>99</v>
      </c>
      <c r="BC249" s="33">
        <v>102.8</v>
      </c>
      <c r="BD249" s="33">
        <v>95.3</v>
      </c>
      <c r="BE249" s="33">
        <v>-21.6</v>
      </c>
      <c r="BF249" s="33">
        <v>45.8</v>
      </c>
      <c r="BG249" s="33">
        <v>3.9</v>
      </c>
      <c r="BH249" s="33">
        <v>142</v>
      </c>
      <c r="BI249" s="33">
        <v>8.6999999999999993</v>
      </c>
      <c r="BJ249" s="34">
        <v>58.426210480000002</v>
      </c>
      <c r="BK249" s="45">
        <v>88.527098401650449</v>
      </c>
      <c r="BL249" s="33">
        <v>0.16800000000000001</v>
      </c>
      <c r="BM249" s="33">
        <v>101.5517</v>
      </c>
      <c r="BN249" s="33">
        <v>101.33459999999999</v>
      </c>
      <c r="BO249" s="33">
        <v>-19.3</v>
      </c>
      <c r="BP249" s="33">
        <v>-19.600000000000001</v>
      </c>
      <c r="BQ249" s="33">
        <v>3.4</v>
      </c>
      <c r="BR249" s="33">
        <v>17.899999999999999</v>
      </c>
      <c r="BS249" s="33">
        <v>7.9</v>
      </c>
      <c r="BT249" s="33">
        <v>-4.5</v>
      </c>
      <c r="BU249" s="33">
        <v>-1.6</v>
      </c>
      <c r="BV249" s="33">
        <v>14.9</v>
      </c>
      <c r="BW249" s="33">
        <v>-8.4</v>
      </c>
      <c r="BX249" s="33">
        <v>-7.5</v>
      </c>
      <c r="BY249" s="33">
        <v>-22.2</v>
      </c>
      <c r="BZ249" s="33">
        <v>103.2</v>
      </c>
      <c r="CA249" s="33">
        <v>-8.4</v>
      </c>
      <c r="CB249" s="33">
        <v>-3.5</v>
      </c>
      <c r="CC249" s="33">
        <v>3.6</v>
      </c>
      <c r="CD249" s="33">
        <v>-43.7</v>
      </c>
      <c r="CE249" s="33">
        <v>-20.100000000000001</v>
      </c>
      <c r="CF249" s="33">
        <v>7.8</v>
      </c>
      <c r="CG249" s="33">
        <v>24.1</v>
      </c>
      <c r="CH249" s="33">
        <v>31.9</v>
      </c>
      <c r="CI249" s="33">
        <v>-8.8000000000000007</v>
      </c>
      <c r="CJ249" s="33">
        <v>-13.5</v>
      </c>
      <c r="CK249" s="33">
        <v>3.2</v>
      </c>
      <c r="CL249" s="33">
        <v>21.9</v>
      </c>
      <c r="CM249" s="33">
        <v>2642.1311430000001</v>
      </c>
      <c r="CN249" s="33">
        <v>11151.83</v>
      </c>
      <c r="CO249" s="33">
        <v>1125.0635</v>
      </c>
      <c r="CP249" s="33">
        <v>3.87</v>
      </c>
      <c r="CQ249" s="33">
        <v>3.72</v>
      </c>
      <c r="CR249" s="33">
        <v>68.8</v>
      </c>
      <c r="CS249" s="64">
        <v>41.98</v>
      </c>
      <c r="CT249" s="33">
        <v>97.4</v>
      </c>
      <c r="CU249" s="33">
        <v>87.1</v>
      </c>
      <c r="CV249" s="33">
        <v>101.4</v>
      </c>
      <c r="CW249" s="33">
        <v>97.9</v>
      </c>
      <c r="CX249" s="33">
        <v>99.1</v>
      </c>
      <c r="CY249" s="33">
        <v>5.7</v>
      </c>
      <c r="CZ249" s="33">
        <v>41810.048999999999</v>
      </c>
      <c r="DA249" s="33">
        <v>3.65</v>
      </c>
      <c r="DB249" s="33">
        <v>25.29</v>
      </c>
      <c r="DC249" s="33">
        <v>42.94</v>
      </c>
      <c r="DD249" s="33">
        <v>12.99</v>
      </c>
      <c r="DE249" s="33">
        <v>11940.699000000001</v>
      </c>
      <c r="DF249" s="33">
        <v>2201.404</v>
      </c>
      <c r="DG249" s="33">
        <v>2000.3050000000001</v>
      </c>
      <c r="DH249" s="33">
        <v>1033.9259999999999</v>
      </c>
      <c r="DI249" s="33">
        <v>4393.2979999999998</v>
      </c>
      <c r="DJ249" s="33">
        <v>101.06019999999999</v>
      </c>
      <c r="DK249" s="33">
        <v>101.36709999999999</v>
      </c>
      <c r="DL249" s="33">
        <v>100.96</v>
      </c>
      <c r="DM249" s="33">
        <v>101.22069999999999</v>
      </c>
      <c r="DN249" s="33">
        <v>101.33459999999999</v>
      </c>
      <c r="DO249" s="33">
        <v>101.5517</v>
      </c>
      <c r="DP249" s="33">
        <v>99.708399999999997</v>
      </c>
      <c r="DQ249" s="33">
        <v>99.678899999999999</v>
      </c>
      <c r="DR249" s="33">
        <v>466785</v>
      </c>
      <c r="DS249" s="73">
        <v>27977</v>
      </c>
      <c r="DT249" s="73">
        <v>97</v>
      </c>
      <c r="DU249">
        <v>203.30525207519531</v>
      </c>
      <c r="DV249">
        <v>156.38095092773438</v>
      </c>
      <c r="DW249">
        <v>3354</v>
      </c>
      <c r="DX249">
        <v>496975</v>
      </c>
      <c r="DY249">
        <v>77.5</v>
      </c>
      <c r="DZ249" t="s">
        <v>312</v>
      </c>
    </row>
    <row r="250" spans="1:130" s="56" customFormat="1" x14ac:dyDescent="0.25">
      <c r="A250" s="1">
        <v>40330</v>
      </c>
      <c r="B250" s="33">
        <v>92</v>
      </c>
      <c r="C250" s="107">
        <v>0.35</v>
      </c>
      <c r="D250" s="33">
        <v>1</v>
      </c>
      <c r="E250" s="33">
        <v>0.69</v>
      </c>
      <c r="F250" s="33">
        <v>1.1200000000000001</v>
      </c>
      <c r="G250" s="33">
        <v>1.91</v>
      </c>
      <c r="H250" s="33">
        <v>2.54</v>
      </c>
      <c r="I250" s="33">
        <f t="shared" si="48"/>
        <v>2.19</v>
      </c>
      <c r="J250" s="33">
        <f t="shared" si="49"/>
        <v>1.54</v>
      </c>
      <c r="K250" s="33">
        <f t="shared" si="50"/>
        <v>1.85</v>
      </c>
      <c r="L250" s="33">
        <f t="shared" si="51"/>
        <v>0.65</v>
      </c>
      <c r="M250" s="33">
        <v>97.2</v>
      </c>
      <c r="N250" s="33">
        <v>5981.27</v>
      </c>
      <c r="O250" s="33">
        <v>28.85</v>
      </c>
      <c r="P250" s="33">
        <v>1089.2</v>
      </c>
      <c r="Q250" s="34">
        <f t="shared" si="43"/>
        <v>12.4337899543379</v>
      </c>
      <c r="R250" s="60">
        <v>1895.1</v>
      </c>
      <c r="S250" s="34">
        <f t="shared" si="44"/>
        <v>2163.3561643835615</v>
      </c>
      <c r="T250" s="60">
        <v>1958.1</v>
      </c>
      <c r="U250" s="34">
        <f t="shared" si="45"/>
        <v>2235.2739726027398</v>
      </c>
      <c r="V250" s="116">
        <v>310576</v>
      </c>
      <c r="W250" s="116">
        <v>4674690</v>
      </c>
      <c r="X250" s="117">
        <v>8314433</v>
      </c>
      <c r="Y250" s="117">
        <v>926462</v>
      </c>
      <c r="Z250" s="33">
        <v>91.3</v>
      </c>
      <c r="AA250" s="33">
        <v>81.900000000000006</v>
      </c>
      <c r="AB250" s="33">
        <v>80.599999999999994</v>
      </c>
      <c r="AC250" s="33">
        <v>79</v>
      </c>
      <c r="AD250" s="33">
        <v>41106</v>
      </c>
      <c r="AE250" s="33">
        <v>7.7</v>
      </c>
      <c r="AF250" s="33">
        <v>357</v>
      </c>
      <c r="AG250" s="33">
        <v>88.2</v>
      </c>
      <c r="AH250" s="33">
        <v>87.6</v>
      </c>
      <c r="AI250" s="33">
        <v>92.6</v>
      </c>
      <c r="AJ250" s="33">
        <v>89.4</v>
      </c>
      <c r="AK250" s="33">
        <v>165.626272</v>
      </c>
      <c r="AL250" s="33">
        <v>73.8</v>
      </c>
      <c r="AM250" s="123">
        <v>80.392194441513823</v>
      </c>
      <c r="AN250" s="123">
        <v>162.35435799080554</v>
      </c>
      <c r="AO250" s="123">
        <v>110.34587750417673</v>
      </c>
      <c r="AP250" s="33">
        <v>61.58</v>
      </c>
      <c r="AQ250" s="33">
        <f t="shared" si="47"/>
        <v>0.66501079913606909</v>
      </c>
      <c r="AR250" s="33">
        <v>98.3</v>
      </c>
      <c r="AS250" s="33">
        <v>103.4</v>
      </c>
      <c r="AT250" s="33">
        <v>93.5</v>
      </c>
      <c r="AU250" s="33">
        <v>100.2</v>
      </c>
      <c r="AV250" s="65">
        <v>107.2</v>
      </c>
      <c r="AW250" s="33">
        <v>93.6</v>
      </c>
      <c r="AX250" s="33">
        <v>10.9</v>
      </c>
      <c r="AY250" s="33">
        <v>27.3</v>
      </c>
      <c r="AZ250" s="33">
        <v>20.8</v>
      </c>
      <c r="BA250" s="33">
        <v>16.600000000000001</v>
      </c>
      <c r="BB250" s="33">
        <v>98.5</v>
      </c>
      <c r="BC250" s="33">
        <v>100</v>
      </c>
      <c r="BD250" s="33">
        <v>97</v>
      </c>
      <c r="BE250" s="33">
        <v>-7.9</v>
      </c>
      <c r="BF250" s="33">
        <v>28.7</v>
      </c>
      <c r="BG250" s="33">
        <v>5.5</v>
      </c>
      <c r="BH250" s="33">
        <v>142.80000000000001</v>
      </c>
      <c r="BI250" s="33">
        <v>9</v>
      </c>
      <c r="BJ250" s="34">
        <v>58.398262299999999</v>
      </c>
      <c r="BK250" s="55">
        <v>80.891624407471525</v>
      </c>
      <c r="BL250" s="33">
        <v>0.34799999999999998</v>
      </c>
      <c r="BM250" s="33">
        <v>101.7924</v>
      </c>
      <c r="BN250" s="33">
        <v>101.5414</v>
      </c>
      <c r="BO250" s="33">
        <v>-13.9</v>
      </c>
      <c r="BP250" s="33">
        <v>-15.5</v>
      </c>
      <c r="BQ250" s="33">
        <v>-0.6</v>
      </c>
      <c r="BR250" s="33">
        <v>17.100000000000001</v>
      </c>
      <c r="BS250" s="33">
        <v>9.9</v>
      </c>
      <c r="BT250" s="33">
        <v>-3.4</v>
      </c>
      <c r="BU250" s="33">
        <v>1.3</v>
      </c>
      <c r="BV250" s="33">
        <v>14.8</v>
      </c>
      <c r="BW250" s="33">
        <v>-7.2</v>
      </c>
      <c r="BX250" s="33">
        <v>-9.4</v>
      </c>
      <c r="BY250" s="33">
        <v>-21.3</v>
      </c>
      <c r="BZ250" s="33">
        <v>104.5</v>
      </c>
      <c r="CA250" s="33">
        <v>-7.2</v>
      </c>
      <c r="CB250" s="33">
        <v>-1.7</v>
      </c>
      <c r="CC250" s="33">
        <v>1.7</v>
      </c>
      <c r="CD250" s="33">
        <v>-43.5</v>
      </c>
      <c r="CE250" s="33">
        <v>-17.899999999999999</v>
      </c>
      <c r="CF250" s="33">
        <v>8</v>
      </c>
      <c r="CG250" s="33">
        <v>29.2</v>
      </c>
      <c r="CH250" s="33">
        <v>26.7</v>
      </c>
      <c r="CI250" s="33">
        <v>-4.5</v>
      </c>
      <c r="CJ250" s="33">
        <v>-11</v>
      </c>
      <c r="CK250" s="33">
        <v>-2.4</v>
      </c>
      <c r="CL250" s="33">
        <v>21.3</v>
      </c>
      <c r="CM250" s="33">
        <v>2641.655409</v>
      </c>
      <c r="CN250" s="33">
        <v>10024.02</v>
      </c>
      <c r="CO250" s="33">
        <v>1083.360909</v>
      </c>
      <c r="CP250" s="33">
        <v>3.5179999999999998</v>
      </c>
      <c r="CQ250" s="33">
        <v>3.29</v>
      </c>
      <c r="CR250" s="33">
        <v>69.8</v>
      </c>
      <c r="CS250" s="64">
        <v>40.82</v>
      </c>
      <c r="CT250" s="33">
        <v>96</v>
      </c>
      <c r="CU250" s="33">
        <v>88.2</v>
      </c>
      <c r="CV250" s="33">
        <v>101.4</v>
      </c>
      <c r="CW250" s="33">
        <v>97.3</v>
      </c>
      <c r="CX250" s="33">
        <v>98.7</v>
      </c>
      <c r="CY250" s="33">
        <v>5.5</v>
      </c>
      <c r="CZ250" s="33">
        <v>46406.438999999998</v>
      </c>
      <c r="DA250" s="33">
        <v>4.0199999999999996</v>
      </c>
      <c r="DB250" s="33">
        <v>25.73</v>
      </c>
      <c r="DC250" s="33">
        <v>43.46</v>
      </c>
      <c r="DD250" s="33">
        <v>13.33</v>
      </c>
      <c r="DE250" s="33">
        <v>13090.69</v>
      </c>
      <c r="DF250" s="33">
        <v>2539.1089999999999</v>
      </c>
      <c r="DG250" s="33">
        <v>2295.7570000000001</v>
      </c>
      <c r="DH250" s="33">
        <v>1113.9960000000001</v>
      </c>
      <c r="DI250" s="33">
        <v>4707.41</v>
      </c>
      <c r="DJ250" s="33">
        <v>100.92570000000001</v>
      </c>
      <c r="DK250" s="33">
        <v>101.1947</v>
      </c>
      <c r="DL250" s="33">
        <v>100.68</v>
      </c>
      <c r="DM250" s="33">
        <v>100.8616</v>
      </c>
      <c r="DN250" s="33">
        <v>101.5414</v>
      </c>
      <c r="DO250" s="33">
        <v>101.7924</v>
      </c>
      <c r="DP250" s="33">
        <v>99.639600000000002</v>
      </c>
      <c r="DQ250" s="33">
        <v>99.603300000000004</v>
      </c>
      <c r="DR250" s="33">
        <v>389648</v>
      </c>
      <c r="DS250" s="73">
        <v>28028</v>
      </c>
      <c r="DT250" s="73">
        <v>96.5</v>
      </c>
      <c r="DU250">
        <v>171.40266418457031</v>
      </c>
      <c r="DV250">
        <v>143.11946105957031</v>
      </c>
      <c r="DW250">
        <v>4074</v>
      </c>
      <c r="DX250">
        <v>475225</v>
      </c>
      <c r="DY250">
        <v>78.2</v>
      </c>
      <c r="DZ250" t="s">
        <v>312</v>
      </c>
    </row>
    <row r="251" spans="1:130" x14ac:dyDescent="0.25">
      <c r="A251" s="1">
        <v>40360</v>
      </c>
      <c r="B251" s="63">
        <v>91.7</v>
      </c>
      <c r="C251" s="108">
        <v>0.48</v>
      </c>
      <c r="D251" s="63">
        <v>1</v>
      </c>
      <c r="E251" s="63">
        <v>0.76</v>
      </c>
      <c r="F251" s="63">
        <v>1.35</v>
      </c>
      <c r="G251" s="63">
        <v>2.1</v>
      </c>
      <c r="H251" s="63">
        <v>2.62</v>
      </c>
      <c r="I251" s="63">
        <f t="shared" si="48"/>
        <v>2.14</v>
      </c>
      <c r="J251" s="63">
        <f t="shared" si="49"/>
        <v>1.62</v>
      </c>
      <c r="K251" s="63">
        <f t="shared" si="50"/>
        <v>1.86</v>
      </c>
      <c r="L251" s="63">
        <f t="shared" si="51"/>
        <v>0.52</v>
      </c>
      <c r="M251" s="63">
        <v>97.8</v>
      </c>
      <c r="N251" s="63">
        <v>5857.43</v>
      </c>
      <c r="O251" s="63">
        <v>28.75</v>
      </c>
      <c r="P251" s="33">
        <v>1094.3</v>
      </c>
      <c r="Q251" s="34">
        <f t="shared" si="43"/>
        <v>12.506285714285713</v>
      </c>
      <c r="R251" s="60">
        <v>1900.4</v>
      </c>
      <c r="S251" s="34">
        <f t="shared" si="44"/>
        <v>2171.8857142857141</v>
      </c>
      <c r="T251" s="60">
        <v>1958.5</v>
      </c>
      <c r="U251" s="34">
        <f t="shared" si="45"/>
        <v>2238.2857142857142</v>
      </c>
      <c r="V251" s="116">
        <v>304593</v>
      </c>
      <c r="W251" s="116">
        <v>4680518</v>
      </c>
      <c r="X251" s="117">
        <v>8331067</v>
      </c>
      <c r="Y251" s="117">
        <v>903344</v>
      </c>
      <c r="Z251" s="63">
        <v>91.6</v>
      </c>
      <c r="AA251" s="63">
        <v>81.2</v>
      </c>
      <c r="AB251" s="63">
        <v>79.3</v>
      </c>
      <c r="AC251" s="63">
        <v>77</v>
      </c>
      <c r="AD251" s="63">
        <v>41122</v>
      </c>
      <c r="AE251" s="63">
        <v>7.6</v>
      </c>
      <c r="AF251" s="63">
        <v>371</v>
      </c>
      <c r="AG251" s="63">
        <v>88</v>
      </c>
      <c r="AH251" s="63">
        <v>87.5</v>
      </c>
      <c r="AI251" s="33">
        <v>92.5</v>
      </c>
      <c r="AJ251" s="33">
        <v>89.4</v>
      </c>
      <c r="AK251" s="33">
        <v>166.21221399999999</v>
      </c>
      <c r="AL251" s="63">
        <v>93.3</v>
      </c>
      <c r="AM251" s="123">
        <v>82.227109007939234</v>
      </c>
      <c r="AN251" s="123">
        <v>162.35435799080554</v>
      </c>
      <c r="AO251" s="123">
        <v>110.45332237029569</v>
      </c>
      <c r="AP251" s="33">
        <v>58.77</v>
      </c>
      <c r="AQ251" s="63">
        <f t="shared" si="47"/>
        <v>0.63535135135135135</v>
      </c>
      <c r="AR251" s="63">
        <v>102</v>
      </c>
      <c r="AS251" s="63">
        <v>106.5</v>
      </c>
      <c r="AT251" s="63">
        <v>97.7</v>
      </c>
      <c r="AU251" s="63">
        <v>103.4</v>
      </c>
      <c r="AV251" s="66">
        <v>109.8</v>
      </c>
      <c r="AW251" s="63">
        <v>97.4</v>
      </c>
      <c r="AX251" s="63">
        <v>19.8</v>
      </c>
      <c r="AY251" s="63">
        <v>30</v>
      </c>
      <c r="AZ251" s="63">
        <v>26.4</v>
      </c>
      <c r="BA251" s="63">
        <v>16.3</v>
      </c>
      <c r="BB251" s="63">
        <v>103.5</v>
      </c>
      <c r="BC251" s="63">
        <v>104.9</v>
      </c>
      <c r="BD251" s="63">
        <v>102</v>
      </c>
      <c r="BE251" s="63">
        <v>14.6</v>
      </c>
      <c r="BF251" s="63">
        <v>21.2</v>
      </c>
      <c r="BG251" s="63">
        <v>36.799999999999997</v>
      </c>
      <c r="BH251" s="63">
        <v>132.4</v>
      </c>
      <c r="BI251" s="63">
        <v>2</v>
      </c>
      <c r="BJ251" s="34">
        <v>61.21908363</v>
      </c>
      <c r="BK251" s="45">
        <v>68.460130286232683</v>
      </c>
      <c r="BL251" s="63">
        <v>0.34799999999999998</v>
      </c>
      <c r="BM251" s="63">
        <v>102.0337</v>
      </c>
      <c r="BN251" s="63">
        <v>101.7487</v>
      </c>
      <c r="BO251" s="63">
        <v>-7</v>
      </c>
      <c r="BP251" s="63">
        <v>-9.5</v>
      </c>
      <c r="BQ251" s="63">
        <v>-1.3</v>
      </c>
      <c r="BR251" s="63">
        <v>19.100000000000001</v>
      </c>
      <c r="BS251" s="63">
        <v>10.3</v>
      </c>
      <c r="BT251" s="63">
        <v>1</v>
      </c>
      <c r="BU251" s="63">
        <v>4.5</v>
      </c>
      <c r="BV251" s="63">
        <v>18.5</v>
      </c>
      <c r="BW251" s="63">
        <v>-4.0999999999999996</v>
      </c>
      <c r="BX251" s="63">
        <v>-2.4</v>
      </c>
      <c r="BY251" s="63">
        <v>-18.8</v>
      </c>
      <c r="BZ251" s="63">
        <v>108.1</v>
      </c>
      <c r="CA251" s="63">
        <v>-4.0999999999999996</v>
      </c>
      <c r="CB251" s="63">
        <v>0</v>
      </c>
      <c r="CC251" s="63">
        <v>4.8</v>
      </c>
      <c r="CD251" s="63">
        <v>-27.7</v>
      </c>
      <c r="CE251" s="63">
        <v>-8.6</v>
      </c>
      <c r="CF251" s="63">
        <v>10.1</v>
      </c>
      <c r="CG251" s="63">
        <v>22.2</v>
      </c>
      <c r="CH251" s="63">
        <v>19.7</v>
      </c>
      <c r="CI251" s="63">
        <v>-5.6</v>
      </c>
      <c r="CJ251" s="63">
        <v>-12.4</v>
      </c>
      <c r="CK251" s="63">
        <v>2.4</v>
      </c>
      <c r="CL251" s="63">
        <v>23.3</v>
      </c>
      <c r="CM251" s="63">
        <v>2669.4977730000001</v>
      </c>
      <c r="CN251" s="63">
        <v>9732.5300000000007</v>
      </c>
      <c r="CO251" s="63">
        <v>1079.8033330000001</v>
      </c>
      <c r="CP251" s="63">
        <v>3.2770000000000001</v>
      </c>
      <c r="CQ251" s="63">
        <v>2.96</v>
      </c>
      <c r="CR251" s="63">
        <v>62.3</v>
      </c>
      <c r="CS251" s="64">
        <v>38.39</v>
      </c>
      <c r="CT251" s="63">
        <v>98.8</v>
      </c>
      <c r="CU251" s="63">
        <v>87.8</v>
      </c>
      <c r="CV251" s="63">
        <v>103.2</v>
      </c>
      <c r="CW251" s="63">
        <v>101.2</v>
      </c>
      <c r="CX251" s="63">
        <v>99.7</v>
      </c>
      <c r="CY251" s="63">
        <v>5.72</v>
      </c>
      <c r="CZ251" s="63">
        <v>42193.487000000001</v>
      </c>
      <c r="DA251" s="63">
        <v>4.04</v>
      </c>
      <c r="DB251" s="63">
        <v>26.12</v>
      </c>
      <c r="DC251" s="63">
        <v>43</v>
      </c>
      <c r="DD251" s="63">
        <v>13.41</v>
      </c>
      <c r="DE251" s="63">
        <v>13310.585999999999</v>
      </c>
      <c r="DF251" s="63">
        <v>2590.0410000000002</v>
      </c>
      <c r="DG251" s="63">
        <v>2369.453</v>
      </c>
      <c r="DH251" s="63">
        <v>1208.8109999999999</v>
      </c>
      <c r="DI251" s="63">
        <v>4767.0060000000003</v>
      </c>
      <c r="DJ251" s="63">
        <v>100.81570000000001</v>
      </c>
      <c r="DK251" s="63">
        <v>101.0547</v>
      </c>
      <c r="DL251" s="63">
        <v>100.46</v>
      </c>
      <c r="DM251" s="63">
        <v>100.5831</v>
      </c>
      <c r="DN251" s="63">
        <v>101.7487</v>
      </c>
      <c r="DO251" s="63">
        <v>102.0337</v>
      </c>
      <c r="DP251" s="63">
        <v>99.581900000000005</v>
      </c>
      <c r="DQ251" s="63">
        <v>99.5398</v>
      </c>
      <c r="DR251" s="63">
        <v>285547</v>
      </c>
      <c r="DS251" s="73">
        <v>28064</v>
      </c>
      <c r="DT251" s="73">
        <v>98.3</v>
      </c>
      <c r="DU251">
        <v>186.55523681640625</v>
      </c>
      <c r="DV251">
        <v>193.89543151855469</v>
      </c>
      <c r="DW251">
        <v>2351</v>
      </c>
      <c r="DX251">
        <v>447300</v>
      </c>
      <c r="DY251">
        <v>78.5</v>
      </c>
      <c r="DZ251" t="s">
        <v>312</v>
      </c>
    </row>
    <row r="252" spans="1:130" x14ac:dyDescent="0.25">
      <c r="A252" s="1">
        <v>40391</v>
      </c>
      <c r="B252" s="33">
        <v>93</v>
      </c>
      <c r="C252" s="107">
        <v>0.43</v>
      </c>
      <c r="D252" s="33">
        <v>1</v>
      </c>
      <c r="E252" s="33">
        <v>0.82</v>
      </c>
      <c r="F252" s="33">
        <v>1.17</v>
      </c>
      <c r="G252" s="33">
        <v>1.86</v>
      </c>
      <c r="H252" s="33">
        <v>2.35</v>
      </c>
      <c r="I252" s="33">
        <f t="shared" si="48"/>
        <v>1.9200000000000002</v>
      </c>
      <c r="J252" s="33">
        <f t="shared" si="49"/>
        <v>1.35</v>
      </c>
      <c r="K252" s="33">
        <f t="shared" si="50"/>
        <v>1.5300000000000002</v>
      </c>
      <c r="L252" s="33">
        <f t="shared" si="51"/>
        <v>0.57000000000000006</v>
      </c>
      <c r="M252" s="33">
        <v>97.6</v>
      </c>
      <c r="N252" s="33">
        <v>6292.13</v>
      </c>
      <c r="O252" s="33">
        <v>21.14</v>
      </c>
      <c r="P252" s="33">
        <v>1096.8</v>
      </c>
      <c r="Q252" s="34">
        <f t="shared" si="43"/>
        <v>12.520547945205479</v>
      </c>
      <c r="R252" s="60">
        <v>1908.1</v>
      </c>
      <c r="S252" s="34">
        <f t="shared" si="44"/>
        <v>2178.1963470319633</v>
      </c>
      <c r="T252" s="60">
        <v>1966.2</v>
      </c>
      <c r="U252" s="34">
        <f t="shared" si="45"/>
        <v>2244.5205479452056</v>
      </c>
      <c r="V252" s="116">
        <v>310846</v>
      </c>
      <c r="W252" s="116">
        <v>4693166</v>
      </c>
      <c r="X252" s="117">
        <v>8367919</v>
      </c>
      <c r="Y252" s="117">
        <v>896792</v>
      </c>
      <c r="Z252" s="33">
        <v>93.1</v>
      </c>
      <c r="AA252" s="33">
        <v>83.4</v>
      </c>
      <c r="AB252" s="33">
        <v>79.2</v>
      </c>
      <c r="AC252" s="33">
        <v>81.400000000000006</v>
      </c>
      <c r="AD252" s="33">
        <v>41168</v>
      </c>
      <c r="AE252" s="33">
        <v>7.6</v>
      </c>
      <c r="AF252" s="33">
        <v>377</v>
      </c>
      <c r="AG252" s="33">
        <v>88.1</v>
      </c>
      <c r="AH252" s="33">
        <v>87.6</v>
      </c>
      <c r="AI252" s="33">
        <v>92.6</v>
      </c>
      <c r="AJ252" s="33">
        <v>89.5</v>
      </c>
      <c r="AK252" s="33">
        <v>166.01689999999999</v>
      </c>
      <c r="AL252" s="33">
        <v>73.2</v>
      </c>
      <c r="AM252" s="123">
        <v>84.415225354088875</v>
      </c>
      <c r="AN252" s="123">
        <v>158.64674645015012</v>
      </c>
      <c r="AO252" s="123">
        <v>114.11292040063682</v>
      </c>
      <c r="AP252" s="33">
        <v>59.59</v>
      </c>
      <c r="AQ252" s="33">
        <f t="shared" si="47"/>
        <v>0.64352051835853141</v>
      </c>
      <c r="AR252" s="33">
        <v>103.2</v>
      </c>
      <c r="AS252" s="33">
        <v>106.9</v>
      </c>
      <c r="AT252" s="33">
        <v>99.6</v>
      </c>
      <c r="AU252" s="33">
        <v>105.2</v>
      </c>
      <c r="AV252" s="65">
        <v>110.3</v>
      </c>
      <c r="AW252" s="33">
        <v>100.3</v>
      </c>
      <c r="AX252" s="33">
        <v>27</v>
      </c>
      <c r="AY252" s="33">
        <v>21.6</v>
      </c>
      <c r="AZ252" s="33">
        <v>31.1</v>
      </c>
      <c r="BA252" s="33">
        <v>16.5</v>
      </c>
      <c r="BB252" s="33">
        <v>104.1</v>
      </c>
      <c r="BC252" s="33">
        <v>106.3</v>
      </c>
      <c r="BD252" s="33">
        <v>102.1</v>
      </c>
      <c r="BE252" s="33">
        <v>44.3</v>
      </c>
      <c r="BF252" s="33">
        <v>14</v>
      </c>
      <c r="BG252" s="33">
        <v>46.6</v>
      </c>
      <c r="BH252" s="33">
        <v>129.69999999999999</v>
      </c>
      <c r="BI252" s="33">
        <v>3.7</v>
      </c>
      <c r="BJ252" s="34">
        <v>58.2</v>
      </c>
      <c r="BK252" s="45">
        <v>68.513156995793551</v>
      </c>
      <c r="BL252" s="33">
        <v>0.27600000000000002</v>
      </c>
      <c r="BM252" s="33">
        <v>102.2625</v>
      </c>
      <c r="BN252" s="33">
        <v>101.9452</v>
      </c>
      <c r="BO252" s="33">
        <v>-2</v>
      </c>
      <c r="BP252" s="33">
        <v>-5.4</v>
      </c>
      <c r="BQ252" s="33">
        <v>-0.8</v>
      </c>
      <c r="BR252" s="33">
        <v>18.5</v>
      </c>
      <c r="BS252" s="33">
        <v>9.6999999999999993</v>
      </c>
      <c r="BT252" s="33">
        <v>3.5</v>
      </c>
      <c r="BU252" s="33">
        <v>5.8</v>
      </c>
      <c r="BV252" s="33">
        <v>19.600000000000001</v>
      </c>
      <c r="BW252" s="33">
        <v>-2.2999999999999998</v>
      </c>
      <c r="BX252" s="33">
        <v>0.3</v>
      </c>
      <c r="BY252" s="33">
        <v>-19.100000000000001</v>
      </c>
      <c r="BZ252" s="33">
        <v>109.3</v>
      </c>
      <c r="CA252" s="33">
        <v>-2.2999999999999998</v>
      </c>
      <c r="CB252" s="33">
        <v>0.1</v>
      </c>
      <c r="CC252" s="33">
        <v>5.9</v>
      </c>
      <c r="CD252" s="33">
        <v>-12.8</v>
      </c>
      <c r="CE252" s="33">
        <v>-4.3</v>
      </c>
      <c r="CF252" s="33">
        <v>6.4</v>
      </c>
      <c r="CG252" s="33">
        <v>22.3</v>
      </c>
      <c r="CH252" s="33">
        <v>12.8</v>
      </c>
      <c r="CI252" s="33">
        <v>-5.7</v>
      </c>
      <c r="CJ252" s="33">
        <v>-10.9</v>
      </c>
      <c r="CK252" s="33">
        <v>6.3</v>
      </c>
      <c r="CL252" s="33">
        <v>24</v>
      </c>
      <c r="CM252" s="33">
        <v>2712.2324549999998</v>
      </c>
      <c r="CN252" s="33">
        <v>10674.38</v>
      </c>
      <c r="CO252" s="33">
        <v>1087.282273</v>
      </c>
      <c r="CP252" s="33">
        <v>3.44</v>
      </c>
      <c r="CQ252" s="33">
        <v>2.99</v>
      </c>
      <c r="CR252" s="33">
        <v>62.9</v>
      </c>
      <c r="CS252" s="64">
        <v>41.91</v>
      </c>
      <c r="CT252" s="33">
        <v>100.9</v>
      </c>
      <c r="CU252" s="33">
        <v>89.2</v>
      </c>
      <c r="CV252" s="33">
        <v>103.2</v>
      </c>
      <c r="CW252" s="33">
        <v>98.2</v>
      </c>
      <c r="CX252" s="33">
        <v>102.4</v>
      </c>
      <c r="CY252" s="33">
        <v>5.3</v>
      </c>
      <c r="CZ252" s="33">
        <v>38451.607000000004</v>
      </c>
      <c r="DA252" s="33">
        <v>4.0199999999999996</v>
      </c>
      <c r="DB252" s="33">
        <v>25.53</v>
      </c>
      <c r="DC252" s="33">
        <v>42.77</v>
      </c>
      <c r="DD252" s="33">
        <v>13.69</v>
      </c>
      <c r="DE252" s="33">
        <v>12056.695</v>
      </c>
      <c r="DF252" s="33">
        <v>2363.4520000000002</v>
      </c>
      <c r="DG252" s="33">
        <v>2436.7640000000001</v>
      </c>
      <c r="DH252" s="33">
        <v>1008.693</v>
      </c>
      <c r="DI252" s="33">
        <v>4229.527</v>
      </c>
      <c r="DJ252" s="33">
        <v>100.7474</v>
      </c>
      <c r="DK252" s="33">
        <v>100.96850000000001</v>
      </c>
      <c r="DL252" s="33">
        <v>100.33</v>
      </c>
      <c r="DM252" s="33">
        <v>100.4263</v>
      </c>
      <c r="DN252" s="33">
        <v>101.9452</v>
      </c>
      <c r="DO252" s="33">
        <v>102.2625</v>
      </c>
      <c r="DP252" s="33">
        <v>99.580600000000004</v>
      </c>
      <c r="DQ252" s="33">
        <v>99.538300000000007</v>
      </c>
      <c r="DR252" s="33">
        <v>218876</v>
      </c>
      <c r="DS252" s="73">
        <v>28124</v>
      </c>
      <c r="DT252" s="73">
        <v>99.7</v>
      </c>
      <c r="DU252">
        <v>172.81605529785156</v>
      </c>
      <c r="DV252">
        <v>146.92626953125</v>
      </c>
      <c r="DW252">
        <v>1977</v>
      </c>
      <c r="DX252">
        <v>414075</v>
      </c>
      <c r="DY252">
        <v>78.400000000000006</v>
      </c>
      <c r="DZ252" t="s">
        <v>312</v>
      </c>
    </row>
    <row r="253" spans="1:130" s="56" customFormat="1" x14ac:dyDescent="0.25">
      <c r="A253" s="1">
        <v>40422</v>
      </c>
      <c r="B253" s="60">
        <v>94.1</v>
      </c>
      <c r="C253" s="109">
        <v>0.45</v>
      </c>
      <c r="D253" s="60">
        <v>1</v>
      </c>
      <c r="E253" s="60">
        <v>0.88</v>
      </c>
      <c r="F253" s="60">
        <v>1.17</v>
      </c>
      <c r="G253" s="60">
        <v>1.81</v>
      </c>
      <c r="H253" s="60">
        <v>2.2999999999999998</v>
      </c>
      <c r="I253" s="60">
        <f t="shared" si="48"/>
        <v>1.8499999999999999</v>
      </c>
      <c r="J253" s="60">
        <f t="shared" si="49"/>
        <v>1.2999999999999998</v>
      </c>
      <c r="K253" s="60">
        <f t="shared" si="50"/>
        <v>1.42</v>
      </c>
      <c r="L253" s="60">
        <f t="shared" si="51"/>
        <v>0.55000000000000004</v>
      </c>
      <c r="M253" s="60">
        <v>97.6</v>
      </c>
      <c r="N253" s="60">
        <v>6083.9</v>
      </c>
      <c r="O253" s="60">
        <v>21.9</v>
      </c>
      <c r="P253" s="33">
        <v>1094.2</v>
      </c>
      <c r="Q253" s="34">
        <f t="shared" si="43"/>
        <v>12.476624857468643</v>
      </c>
      <c r="R253" s="60">
        <v>1913</v>
      </c>
      <c r="S253" s="34">
        <f t="shared" si="44"/>
        <v>2181.2998859749141</v>
      </c>
      <c r="T253" s="60">
        <v>1974.1</v>
      </c>
      <c r="U253" s="34">
        <f t="shared" si="45"/>
        <v>2250.9692132269097</v>
      </c>
      <c r="V253" s="116">
        <v>292290</v>
      </c>
      <c r="W253" s="116">
        <v>4676240</v>
      </c>
      <c r="X253" s="117">
        <v>8367910</v>
      </c>
      <c r="Y253" s="117">
        <v>904792</v>
      </c>
      <c r="Z253" s="60">
        <v>92.9</v>
      </c>
      <c r="AA253" s="60">
        <v>82.2</v>
      </c>
      <c r="AB253" s="60">
        <v>79.5</v>
      </c>
      <c r="AC253" s="60">
        <v>79.099999999999994</v>
      </c>
      <c r="AD253" s="60">
        <v>41217</v>
      </c>
      <c r="AE253" s="60">
        <v>7.5</v>
      </c>
      <c r="AF253" s="60">
        <v>382</v>
      </c>
      <c r="AG253" s="60">
        <v>88.2</v>
      </c>
      <c r="AH253" s="60">
        <v>87.7</v>
      </c>
      <c r="AI253" s="33">
        <v>92.7</v>
      </c>
      <c r="AJ253" s="33">
        <v>89.9</v>
      </c>
      <c r="AK253" s="33">
        <v>166.60284200000001</v>
      </c>
      <c r="AL253" s="60">
        <v>73.2</v>
      </c>
      <c r="AM253" s="123">
        <v>81.857188222146775</v>
      </c>
      <c r="AN253" s="123">
        <v>159.34916721242149</v>
      </c>
      <c r="AO253" s="123">
        <v>116.86395512582094</v>
      </c>
      <c r="AP253" s="33">
        <v>59.54</v>
      </c>
      <c r="AQ253" s="60">
        <f t="shared" si="47"/>
        <v>0.64228694714131607</v>
      </c>
      <c r="AR253" s="60">
        <v>103.5</v>
      </c>
      <c r="AS253" s="60">
        <v>106.7</v>
      </c>
      <c r="AT253" s="60">
        <v>100.4</v>
      </c>
      <c r="AU253" s="60">
        <v>105</v>
      </c>
      <c r="AV253" s="67">
        <v>109.4</v>
      </c>
      <c r="AW253" s="60">
        <v>100.8</v>
      </c>
      <c r="AX253" s="60">
        <v>28.5</v>
      </c>
      <c r="AY253" s="60">
        <v>32.5</v>
      </c>
      <c r="AZ253" s="60">
        <v>32.799999999999997</v>
      </c>
      <c r="BA253" s="60">
        <v>18.8</v>
      </c>
      <c r="BB253" s="60">
        <v>104.6</v>
      </c>
      <c r="BC253" s="60">
        <v>105.6</v>
      </c>
      <c r="BD253" s="60">
        <v>103.5</v>
      </c>
      <c r="BE253" s="60">
        <v>59.9</v>
      </c>
      <c r="BF253" s="60">
        <v>-4.3</v>
      </c>
      <c r="BG253" s="60">
        <v>53.5</v>
      </c>
      <c r="BH253" s="60">
        <v>133.6</v>
      </c>
      <c r="BI253" s="60">
        <v>10.8</v>
      </c>
      <c r="BJ253" s="34">
        <v>55.1</v>
      </c>
      <c r="BK253" s="55">
        <v>68.189748494784013</v>
      </c>
      <c r="BL253" s="60">
        <v>0.28899999999999998</v>
      </c>
      <c r="BM253" s="60">
        <v>102.4649</v>
      </c>
      <c r="BN253" s="60">
        <v>102.11920000000001</v>
      </c>
      <c r="BO253" s="60">
        <v>-0.3</v>
      </c>
      <c r="BP253" s="60">
        <v>-3.4</v>
      </c>
      <c r="BQ253" s="60">
        <v>-0.2</v>
      </c>
      <c r="BR253" s="60">
        <v>20.3</v>
      </c>
      <c r="BS253" s="60">
        <v>11.5</v>
      </c>
      <c r="BT253" s="60">
        <v>3.5</v>
      </c>
      <c r="BU253" s="60">
        <v>6.7</v>
      </c>
      <c r="BV253" s="60">
        <v>21.6</v>
      </c>
      <c r="BW253" s="60">
        <v>-0.4</v>
      </c>
      <c r="BX253" s="60">
        <v>3</v>
      </c>
      <c r="BY253" s="60">
        <v>-16.8</v>
      </c>
      <c r="BZ253" s="60">
        <v>111</v>
      </c>
      <c r="CA253" s="60">
        <v>-0.4</v>
      </c>
      <c r="CB253" s="60">
        <v>2.2000000000000002</v>
      </c>
      <c r="CC253" s="60">
        <v>7.4</v>
      </c>
      <c r="CD253" s="60">
        <v>-8.4</v>
      </c>
      <c r="CE253" s="60">
        <v>-1.8</v>
      </c>
      <c r="CF253" s="60">
        <v>7.3</v>
      </c>
      <c r="CG253" s="60">
        <v>24.1</v>
      </c>
      <c r="CH253" s="60">
        <v>7</v>
      </c>
      <c r="CI253" s="60">
        <v>-3.4</v>
      </c>
      <c r="CJ253" s="60">
        <v>-9.5</v>
      </c>
      <c r="CK253" s="60">
        <v>6.7</v>
      </c>
      <c r="CL253" s="60">
        <v>24.6</v>
      </c>
      <c r="CM253" s="60">
        <v>2766.0879089999999</v>
      </c>
      <c r="CN253" s="60">
        <v>10269.469999999999</v>
      </c>
      <c r="CO253" s="60">
        <v>1122.081905</v>
      </c>
      <c r="CP253" s="60">
        <v>3.0259999999999998</v>
      </c>
      <c r="CQ253" s="60">
        <v>2.58</v>
      </c>
      <c r="CR253" s="60">
        <v>60.9</v>
      </c>
      <c r="CS253" s="64">
        <v>41.04</v>
      </c>
      <c r="CT253" s="60">
        <v>101.3</v>
      </c>
      <c r="CU253" s="60">
        <v>89.9</v>
      </c>
      <c r="CV253" s="60">
        <v>102.6</v>
      </c>
      <c r="CW253" s="60">
        <v>97</v>
      </c>
      <c r="CX253" s="60">
        <v>99.8</v>
      </c>
      <c r="CY253" s="60">
        <v>5.58</v>
      </c>
      <c r="CZ253" s="60">
        <v>45767.341</v>
      </c>
      <c r="DA253" s="60">
        <v>3.95</v>
      </c>
      <c r="DB253" s="60">
        <v>25.13</v>
      </c>
      <c r="DC253" s="60">
        <v>42.81</v>
      </c>
      <c r="DD253" s="60">
        <v>14.02</v>
      </c>
      <c r="DE253" s="60">
        <v>13656.781000000001</v>
      </c>
      <c r="DF253" s="60">
        <v>2977.5140000000001</v>
      </c>
      <c r="DG253" s="60">
        <v>2570.692</v>
      </c>
      <c r="DH253" s="60">
        <v>1198.394</v>
      </c>
      <c r="DI253" s="60">
        <v>4814.7960000000003</v>
      </c>
      <c r="DJ253" s="60">
        <v>100.7244</v>
      </c>
      <c r="DK253" s="60">
        <v>100.9406</v>
      </c>
      <c r="DL253" s="60">
        <v>100.31</v>
      </c>
      <c r="DM253" s="60">
        <v>100.39919999999999</v>
      </c>
      <c r="DN253" s="60">
        <v>102.11920000000001</v>
      </c>
      <c r="DO253" s="60">
        <v>102.4649</v>
      </c>
      <c r="DP253" s="60">
        <v>99.646100000000004</v>
      </c>
      <c r="DQ253" s="60">
        <v>99.610399999999998</v>
      </c>
      <c r="DR253" s="60">
        <v>213838</v>
      </c>
      <c r="DS253" s="73">
        <v>28162</v>
      </c>
      <c r="DT253" s="73">
        <v>99.3</v>
      </c>
      <c r="DU253">
        <v>161.69013977050781</v>
      </c>
      <c r="DV253">
        <v>111.59324645996094</v>
      </c>
      <c r="DW253">
        <v>2741</v>
      </c>
      <c r="DX253">
        <v>399475</v>
      </c>
      <c r="DY253">
        <v>78.8</v>
      </c>
      <c r="DZ253" t="s">
        <v>312</v>
      </c>
    </row>
    <row r="254" spans="1:130" x14ac:dyDescent="0.25">
      <c r="A254" s="1">
        <v>40452</v>
      </c>
      <c r="B254" s="63">
        <v>95.7</v>
      </c>
      <c r="C254" s="108">
        <v>0.7</v>
      </c>
      <c r="D254" s="63">
        <v>1</v>
      </c>
      <c r="E254" s="63">
        <v>0.93</v>
      </c>
      <c r="F254" s="63">
        <v>1.31</v>
      </c>
      <c r="G254" s="63">
        <v>1.87</v>
      </c>
      <c r="H254" s="63">
        <v>2.35</v>
      </c>
      <c r="I254" s="63">
        <f t="shared" si="48"/>
        <v>1.6500000000000001</v>
      </c>
      <c r="J254" s="63">
        <f t="shared" si="49"/>
        <v>1.35</v>
      </c>
      <c r="K254" s="63">
        <f t="shared" si="50"/>
        <v>1.42</v>
      </c>
      <c r="L254" s="63">
        <f t="shared" si="51"/>
        <v>0.30000000000000004</v>
      </c>
      <c r="M254" s="63">
        <v>99.1</v>
      </c>
      <c r="N254" s="63">
        <v>6211.34</v>
      </c>
      <c r="O254" s="63">
        <v>21.67</v>
      </c>
      <c r="P254" s="33">
        <v>1094</v>
      </c>
      <c r="Q254" s="34">
        <f t="shared" si="43"/>
        <v>12.460136674259681</v>
      </c>
      <c r="R254" s="60">
        <v>1917.4</v>
      </c>
      <c r="S254" s="34">
        <f t="shared" si="44"/>
        <v>2183.8268792710705</v>
      </c>
      <c r="T254" s="60">
        <v>1973.7</v>
      </c>
      <c r="U254" s="34">
        <f t="shared" si="45"/>
        <v>2247.9498861047837</v>
      </c>
      <c r="V254" s="116">
        <v>291958</v>
      </c>
      <c r="W254" s="116">
        <v>4678750</v>
      </c>
      <c r="X254" s="117">
        <v>8387527</v>
      </c>
      <c r="Y254" s="117">
        <v>881133</v>
      </c>
      <c r="Z254" s="63">
        <v>94.4</v>
      </c>
      <c r="AA254" s="63">
        <v>82.6</v>
      </c>
      <c r="AB254" s="63">
        <v>80.5</v>
      </c>
      <c r="AC254" s="63">
        <v>79.2</v>
      </c>
      <c r="AD254" s="63">
        <v>41228</v>
      </c>
      <c r="AE254" s="63">
        <v>7.4</v>
      </c>
      <c r="AF254" s="63">
        <v>392</v>
      </c>
      <c r="AG254" s="63">
        <v>88.4</v>
      </c>
      <c r="AH254" s="63">
        <v>87.8</v>
      </c>
      <c r="AI254" s="33">
        <v>92.5</v>
      </c>
      <c r="AJ254" s="33">
        <v>89.9</v>
      </c>
      <c r="AK254" s="33">
        <v>167.188784</v>
      </c>
      <c r="AL254" s="63">
        <v>73.3</v>
      </c>
      <c r="AM254" s="123">
        <v>83.519554089403258</v>
      </c>
      <c r="AN254" s="123">
        <v>161.16799093456709</v>
      </c>
      <c r="AO254" s="123">
        <v>114.64902456838209</v>
      </c>
      <c r="AP254" s="33">
        <v>59.96</v>
      </c>
      <c r="AQ254" s="63">
        <f t="shared" si="47"/>
        <v>0.64821621621621628</v>
      </c>
      <c r="AR254" s="63">
        <v>105.1</v>
      </c>
      <c r="AS254" s="63">
        <v>108.3</v>
      </c>
      <c r="AT254" s="63">
        <v>101.9</v>
      </c>
      <c r="AU254" s="63">
        <v>106.5</v>
      </c>
      <c r="AV254" s="66">
        <v>110.8</v>
      </c>
      <c r="AW254" s="63">
        <v>102.5</v>
      </c>
      <c r="AX254" s="63">
        <v>28.9</v>
      </c>
      <c r="AY254" s="63">
        <v>22.8</v>
      </c>
      <c r="AZ254" s="63">
        <v>34.1</v>
      </c>
      <c r="BA254" s="63">
        <v>22.4</v>
      </c>
      <c r="BB254" s="63">
        <v>107.3</v>
      </c>
      <c r="BC254" s="63">
        <v>108</v>
      </c>
      <c r="BD254" s="63">
        <v>106.6</v>
      </c>
      <c r="BE254" s="63">
        <v>72.599999999999994</v>
      </c>
      <c r="BF254" s="63">
        <v>-7.2</v>
      </c>
      <c r="BG254" s="63">
        <v>56</v>
      </c>
      <c r="BH254" s="63">
        <v>132.6</v>
      </c>
      <c r="BI254" s="63">
        <v>7.8</v>
      </c>
      <c r="BJ254" s="34">
        <v>56.6</v>
      </c>
      <c r="BK254" s="45">
        <v>68.67637867674172</v>
      </c>
      <c r="BL254" s="63">
        <v>0.27700000000000002</v>
      </c>
      <c r="BM254" s="63">
        <v>102.63330000000001</v>
      </c>
      <c r="BN254" s="63">
        <v>102.2638</v>
      </c>
      <c r="BO254" s="63">
        <v>2.9</v>
      </c>
      <c r="BP254" s="63">
        <v>-3.2</v>
      </c>
      <c r="BQ254" s="63">
        <v>0.2</v>
      </c>
      <c r="BR254" s="63">
        <v>20.399999999999999</v>
      </c>
      <c r="BS254" s="63">
        <v>10.6</v>
      </c>
      <c r="BT254" s="63">
        <v>9.8000000000000007</v>
      </c>
      <c r="BU254" s="63">
        <v>7.7</v>
      </c>
      <c r="BV254" s="63">
        <v>23.4</v>
      </c>
      <c r="BW254" s="63">
        <v>-0.6</v>
      </c>
      <c r="BX254" s="63">
        <v>2.7</v>
      </c>
      <c r="BY254" s="63">
        <v>-15</v>
      </c>
      <c r="BZ254" s="63">
        <v>111.7</v>
      </c>
      <c r="CA254" s="63">
        <v>-0.6</v>
      </c>
      <c r="CB254" s="63">
        <v>1.9</v>
      </c>
      <c r="CC254" s="63">
        <v>5.6</v>
      </c>
      <c r="CD254" s="63">
        <v>-1.6</v>
      </c>
      <c r="CE254" s="63">
        <v>-0.6</v>
      </c>
      <c r="CF254" s="63">
        <v>8.3000000000000007</v>
      </c>
      <c r="CG254" s="63">
        <v>20.9</v>
      </c>
      <c r="CH254" s="63">
        <v>2.2999999999999998</v>
      </c>
      <c r="CI254" s="63">
        <v>-6.5</v>
      </c>
      <c r="CJ254" s="63">
        <v>-9.6</v>
      </c>
      <c r="CK254" s="63">
        <v>5.9</v>
      </c>
      <c r="CL254" s="63">
        <v>24.9</v>
      </c>
      <c r="CM254" s="63">
        <v>2817.7092859999998</v>
      </c>
      <c r="CN254" s="63">
        <v>10829.68</v>
      </c>
      <c r="CO254" s="63">
        <v>1171.5838100000001</v>
      </c>
      <c r="CP254" s="63">
        <v>3.08</v>
      </c>
      <c r="CQ254" s="63">
        <v>2.54</v>
      </c>
      <c r="CR254" s="63">
        <v>61.9</v>
      </c>
      <c r="CS254" s="64">
        <v>39.01</v>
      </c>
      <c r="CT254" s="63">
        <v>103.8</v>
      </c>
      <c r="CU254" s="63">
        <v>88.8</v>
      </c>
      <c r="CV254" s="63">
        <v>103</v>
      </c>
      <c r="CW254" s="63">
        <v>96.1</v>
      </c>
      <c r="CX254" s="63">
        <v>100</v>
      </c>
      <c r="CY254" s="63">
        <v>5.58</v>
      </c>
      <c r="CZ254" s="63">
        <v>46853.883999999998</v>
      </c>
      <c r="DA254" s="63">
        <v>3.84</v>
      </c>
      <c r="DB254" s="63">
        <v>25.81</v>
      </c>
      <c r="DC254" s="63">
        <v>44.2</v>
      </c>
      <c r="DD254" s="63">
        <v>14.68</v>
      </c>
      <c r="DE254" s="63">
        <v>12701.576999999999</v>
      </c>
      <c r="DF254" s="63">
        <v>2165.306</v>
      </c>
      <c r="DG254" s="63">
        <v>2654.4879999999998</v>
      </c>
      <c r="DH254" s="63">
        <v>1209.992</v>
      </c>
      <c r="DI254" s="63">
        <v>4736.9160000000002</v>
      </c>
      <c r="DJ254" s="63">
        <v>100.7439</v>
      </c>
      <c r="DK254" s="63">
        <v>100.9663</v>
      </c>
      <c r="DL254" s="63">
        <v>100.38</v>
      </c>
      <c r="DM254" s="63">
        <v>100.48260000000001</v>
      </c>
      <c r="DN254" s="63">
        <v>102.2638</v>
      </c>
      <c r="DO254" s="63">
        <v>102.63330000000001</v>
      </c>
      <c r="DP254" s="63">
        <v>99.765699999999995</v>
      </c>
      <c r="DQ254" s="63">
        <v>99.742000000000004</v>
      </c>
      <c r="DR254" s="63">
        <v>209288</v>
      </c>
      <c r="DS254" s="73">
        <v>28194</v>
      </c>
      <c r="DT254" s="73">
        <v>100.6</v>
      </c>
      <c r="DU254">
        <v>186.14111328125</v>
      </c>
      <c r="DV254">
        <v>116.37974548339844</v>
      </c>
      <c r="DW254">
        <v>2452</v>
      </c>
      <c r="DX254">
        <v>374450</v>
      </c>
      <c r="DY254">
        <v>79</v>
      </c>
      <c r="DZ254" t="s">
        <v>312</v>
      </c>
    </row>
    <row r="255" spans="1:130" x14ac:dyDescent="0.25">
      <c r="A255" s="1">
        <v>40483</v>
      </c>
      <c r="B255" s="33">
        <v>95.1</v>
      </c>
      <c r="C255" s="107">
        <v>0.59</v>
      </c>
      <c r="D255" s="33">
        <v>1</v>
      </c>
      <c r="E255" s="33">
        <v>0.97</v>
      </c>
      <c r="F255" s="33">
        <v>1.43</v>
      </c>
      <c r="G255" s="33">
        <v>2.0299999999999998</v>
      </c>
      <c r="H255" s="33">
        <v>2.5299999999999998</v>
      </c>
      <c r="I255" s="33">
        <f t="shared" si="48"/>
        <v>1.94</v>
      </c>
      <c r="J255" s="33">
        <f t="shared" si="49"/>
        <v>1.5299999999999998</v>
      </c>
      <c r="K255" s="33">
        <f t="shared" si="50"/>
        <v>1.5599999999999998</v>
      </c>
      <c r="L255" s="33">
        <f t="shared" si="51"/>
        <v>0.41000000000000003</v>
      </c>
      <c r="M255" s="33">
        <v>98.7</v>
      </c>
      <c r="N255" s="33">
        <v>6604.86</v>
      </c>
      <c r="O255" s="33">
        <v>21.13</v>
      </c>
      <c r="P255" s="33">
        <v>1099.5</v>
      </c>
      <c r="Q255" s="34">
        <f t="shared" si="43"/>
        <v>12.522779043280183</v>
      </c>
      <c r="R255" s="60">
        <v>1923.6</v>
      </c>
      <c r="S255" s="34">
        <f t="shared" si="44"/>
        <v>2190.8883826879273</v>
      </c>
      <c r="T255" s="60">
        <v>1980.8</v>
      </c>
      <c r="U255" s="34">
        <f t="shared" si="45"/>
        <v>2256.0364464692484</v>
      </c>
      <c r="V255" s="116">
        <v>309979</v>
      </c>
      <c r="W255" s="116">
        <v>4687979</v>
      </c>
      <c r="X255" s="117">
        <v>8404159</v>
      </c>
      <c r="Y255" s="117">
        <v>883025</v>
      </c>
      <c r="Z255" s="33">
        <v>94.3</v>
      </c>
      <c r="AA255" s="33">
        <v>87</v>
      </c>
      <c r="AB255" s="33">
        <v>80.599999999999994</v>
      </c>
      <c r="AC255" s="33">
        <v>86.6</v>
      </c>
      <c r="AD255" s="33">
        <v>41271</v>
      </c>
      <c r="AE255" s="33">
        <v>7.4</v>
      </c>
      <c r="AF255" s="33">
        <v>399</v>
      </c>
      <c r="AG255" s="33">
        <v>88.5</v>
      </c>
      <c r="AH255" s="33">
        <v>87.8</v>
      </c>
      <c r="AI255" s="33">
        <v>93.4</v>
      </c>
      <c r="AJ255" s="33">
        <v>90.2</v>
      </c>
      <c r="AK255" s="33">
        <v>167.38409799999999</v>
      </c>
      <c r="AL255" s="33">
        <v>111.6</v>
      </c>
      <c r="AM255" s="123">
        <v>84.601266105557784</v>
      </c>
      <c r="AN255" s="123">
        <v>169.91109109637694</v>
      </c>
      <c r="AO255" s="123">
        <v>118.31157811219295</v>
      </c>
      <c r="AP255" s="33">
        <v>62.91</v>
      </c>
      <c r="AQ255" s="33">
        <f t="shared" si="47"/>
        <v>0.67355460385438959</v>
      </c>
      <c r="AR255" s="33">
        <v>105.9</v>
      </c>
      <c r="AS255" s="33">
        <v>108.8</v>
      </c>
      <c r="AT255" s="33">
        <v>103.1</v>
      </c>
      <c r="AU255" s="33">
        <v>107.6</v>
      </c>
      <c r="AV255" s="65">
        <v>111.5</v>
      </c>
      <c r="AW255" s="33">
        <v>103.8</v>
      </c>
      <c r="AX255" s="33">
        <v>33.200000000000003</v>
      </c>
      <c r="AY255" s="33">
        <v>27.4</v>
      </c>
      <c r="AZ255" s="33">
        <v>34.299999999999997</v>
      </c>
      <c r="BA255" s="33">
        <v>20.7</v>
      </c>
      <c r="BB255" s="33">
        <v>107.2</v>
      </c>
      <c r="BC255" s="33">
        <v>108.7</v>
      </c>
      <c r="BD255" s="33">
        <v>105.8</v>
      </c>
      <c r="BE255" s="33">
        <v>81.5</v>
      </c>
      <c r="BF255" s="33">
        <v>1.8</v>
      </c>
      <c r="BG255" s="33">
        <v>65.8</v>
      </c>
      <c r="BH255" s="33">
        <v>130</v>
      </c>
      <c r="BI255" s="33">
        <v>7.5</v>
      </c>
      <c r="BJ255" s="34">
        <v>58.1</v>
      </c>
      <c r="BK255" s="45">
        <v>68.09126967631957</v>
      </c>
      <c r="BL255" s="33">
        <v>0.33700000000000002</v>
      </c>
      <c r="BM255" s="33">
        <v>102.75660000000001</v>
      </c>
      <c r="BN255" s="33">
        <v>102.36969999999999</v>
      </c>
      <c r="BO255" s="33">
        <v>2.2000000000000002</v>
      </c>
      <c r="BP255" s="33">
        <v>-1</v>
      </c>
      <c r="BQ255" s="33">
        <v>-0.5</v>
      </c>
      <c r="BR255" s="33">
        <v>21.4</v>
      </c>
      <c r="BS255" s="33">
        <v>13.4</v>
      </c>
      <c r="BT255" s="33">
        <v>9.4</v>
      </c>
      <c r="BU255" s="33">
        <v>8</v>
      </c>
      <c r="BV255" s="33">
        <v>24.2</v>
      </c>
      <c r="BW255" s="33">
        <v>1.2</v>
      </c>
      <c r="BX255" s="33">
        <v>5.8</v>
      </c>
      <c r="BY255" s="33">
        <v>-14.5</v>
      </c>
      <c r="BZ255" s="33">
        <v>112.8</v>
      </c>
      <c r="CA255" s="33">
        <v>1.2</v>
      </c>
      <c r="CB255" s="33">
        <v>3.5</v>
      </c>
      <c r="CC255" s="33">
        <v>6.9</v>
      </c>
      <c r="CD255" s="33">
        <v>8.6</v>
      </c>
      <c r="CE255" s="33">
        <v>3</v>
      </c>
      <c r="CF255" s="33">
        <v>8.5</v>
      </c>
      <c r="CG255" s="33">
        <v>23.2</v>
      </c>
      <c r="CH255" s="33">
        <v>-0.8</v>
      </c>
      <c r="CI255" s="33">
        <v>0.5</v>
      </c>
      <c r="CJ255" s="33">
        <v>-8.8000000000000007</v>
      </c>
      <c r="CK255" s="33">
        <v>8</v>
      </c>
      <c r="CL255" s="33">
        <v>25.2</v>
      </c>
      <c r="CM255" s="33">
        <v>2809.645591</v>
      </c>
      <c r="CN255" s="33">
        <v>11124.62</v>
      </c>
      <c r="CO255" s="33">
        <v>1198.888571</v>
      </c>
      <c r="CP255" s="33">
        <v>3.16</v>
      </c>
      <c r="CQ255" s="33">
        <v>2.66</v>
      </c>
      <c r="CR255" s="33">
        <v>64.8</v>
      </c>
      <c r="CS255" s="64">
        <v>38.26</v>
      </c>
      <c r="CT255" s="33">
        <v>103.2</v>
      </c>
      <c r="CU255" s="33">
        <v>89.4</v>
      </c>
      <c r="CV255" s="33">
        <v>101.6</v>
      </c>
      <c r="CW255" s="33">
        <v>98.5</v>
      </c>
      <c r="CX255" s="33">
        <v>102.1</v>
      </c>
      <c r="CY255" s="33">
        <v>5.97</v>
      </c>
      <c r="CZ255" s="33">
        <v>46671.752</v>
      </c>
      <c r="DA255" s="33">
        <v>4.05</v>
      </c>
      <c r="DB255" s="33">
        <v>26.44</v>
      </c>
      <c r="DC255" s="33">
        <v>44.83</v>
      </c>
      <c r="DD255" s="33">
        <v>14.32</v>
      </c>
      <c r="DE255" s="33">
        <v>13950.956</v>
      </c>
      <c r="DF255" s="33">
        <v>2725.5970000000002</v>
      </c>
      <c r="DG255" s="33">
        <v>2681.1390000000001</v>
      </c>
      <c r="DH255" s="33">
        <v>1135.0050000000001</v>
      </c>
      <c r="DI255" s="33">
        <v>5179.8389999999999</v>
      </c>
      <c r="DJ255" s="33">
        <v>100.7915</v>
      </c>
      <c r="DK255" s="33">
        <v>101.0266</v>
      </c>
      <c r="DL255" s="33">
        <v>100.49</v>
      </c>
      <c r="DM255" s="33">
        <v>100.6318</v>
      </c>
      <c r="DN255" s="33">
        <v>102.36969999999999</v>
      </c>
      <c r="DO255" s="33">
        <v>102.75660000000001</v>
      </c>
      <c r="DP255" s="33">
        <v>99.928600000000003</v>
      </c>
      <c r="DQ255" s="33">
        <v>99.921099999999996</v>
      </c>
      <c r="DR255" s="33">
        <v>193725</v>
      </c>
      <c r="DS255" s="73">
        <v>28251</v>
      </c>
      <c r="DT255" s="73">
        <v>101.2</v>
      </c>
      <c r="DU255">
        <v>172.68817138671875</v>
      </c>
      <c r="DV255">
        <v>137.21382141113281</v>
      </c>
      <c r="DW255">
        <v>2648</v>
      </c>
      <c r="DX255">
        <v>366950</v>
      </c>
      <c r="DY255">
        <v>79.099999999999994</v>
      </c>
      <c r="DZ255" t="s">
        <v>312</v>
      </c>
    </row>
    <row r="256" spans="1:130" s="56" customFormat="1" x14ac:dyDescent="0.25">
      <c r="A256" s="1">
        <v>40513</v>
      </c>
      <c r="B256" s="60">
        <v>95.8</v>
      </c>
      <c r="C256" s="109">
        <v>0.5</v>
      </c>
      <c r="D256" s="60">
        <v>1</v>
      </c>
      <c r="E256" s="60">
        <v>1.02</v>
      </c>
      <c r="F256" s="60">
        <v>1.58</v>
      </c>
      <c r="G256" s="60">
        <v>2.34</v>
      </c>
      <c r="H256" s="60">
        <v>2.91</v>
      </c>
      <c r="I256" s="60">
        <f t="shared" si="48"/>
        <v>2.41</v>
      </c>
      <c r="J256" s="60">
        <f t="shared" si="49"/>
        <v>1.9100000000000001</v>
      </c>
      <c r="K256" s="60">
        <f t="shared" si="50"/>
        <v>1.8900000000000001</v>
      </c>
      <c r="L256" s="60">
        <f t="shared" si="51"/>
        <v>0.5</v>
      </c>
      <c r="M256" s="60">
        <v>97.6</v>
      </c>
      <c r="N256" s="60">
        <v>6866.63</v>
      </c>
      <c r="O256" s="60">
        <v>22.74</v>
      </c>
      <c r="P256" s="33">
        <v>1105.8</v>
      </c>
      <c r="Q256" s="34">
        <f t="shared" si="43"/>
        <v>12.580204778156995</v>
      </c>
      <c r="R256" s="60">
        <v>1931.9</v>
      </c>
      <c r="S256" s="34">
        <f t="shared" si="44"/>
        <v>2197.8384527872581</v>
      </c>
      <c r="T256" s="60">
        <v>1986.6</v>
      </c>
      <c r="U256" s="34">
        <f t="shared" si="45"/>
        <v>2260.0682593856654</v>
      </c>
      <c r="V256" s="116">
        <v>296858</v>
      </c>
      <c r="W256" s="116">
        <v>4710694</v>
      </c>
      <c r="X256" s="117">
        <v>8423299</v>
      </c>
      <c r="Y256" s="117">
        <v>875509</v>
      </c>
      <c r="Z256" s="60">
        <v>93.4</v>
      </c>
      <c r="AA256" s="60">
        <v>84.2</v>
      </c>
      <c r="AB256" s="60">
        <v>79.400000000000006</v>
      </c>
      <c r="AC256" s="60">
        <v>81.5</v>
      </c>
      <c r="AD256" s="60">
        <v>41307</v>
      </c>
      <c r="AE256" s="60">
        <v>7.4</v>
      </c>
      <c r="AF256" s="60">
        <v>409</v>
      </c>
      <c r="AG256" s="60">
        <v>88.8</v>
      </c>
      <c r="AH256" s="60">
        <v>87.9</v>
      </c>
      <c r="AI256" s="33">
        <v>95.2</v>
      </c>
      <c r="AJ256" s="33">
        <v>90.8</v>
      </c>
      <c r="AK256" s="33">
        <v>168.555982</v>
      </c>
      <c r="AL256" s="60">
        <v>75</v>
      </c>
      <c r="AM256" s="123">
        <v>95.589268385033378</v>
      </c>
      <c r="AN256" s="123">
        <v>195.76712669799952</v>
      </c>
      <c r="AO256" s="123">
        <v>127.35007281616068</v>
      </c>
      <c r="AP256" s="33">
        <v>69.599999999999994</v>
      </c>
      <c r="AQ256" s="60">
        <f t="shared" si="47"/>
        <v>0.73109243697478987</v>
      </c>
      <c r="AR256" s="60">
        <v>105.8</v>
      </c>
      <c r="AS256" s="60">
        <v>108.2</v>
      </c>
      <c r="AT256" s="60">
        <v>103.4</v>
      </c>
      <c r="AU256" s="60">
        <v>107.1</v>
      </c>
      <c r="AV256" s="67">
        <v>109.8</v>
      </c>
      <c r="AW256" s="60">
        <v>104.6</v>
      </c>
      <c r="AX256" s="60">
        <v>31.3</v>
      </c>
      <c r="AY256" s="60">
        <v>26.5</v>
      </c>
      <c r="AZ256" s="60">
        <v>34.299999999999997</v>
      </c>
      <c r="BA256" s="60">
        <v>24.6</v>
      </c>
      <c r="BB256" s="60">
        <v>108.4</v>
      </c>
      <c r="BC256" s="60">
        <v>109.7</v>
      </c>
      <c r="BD256" s="60">
        <v>107</v>
      </c>
      <c r="BE256" s="60">
        <v>82.6</v>
      </c>
      <c r="BF256" s="60">
        <v>4.3</v>
      </c>
      <c r="BG256" s="60">
        <v>58.8</v>
      </c>
      <c r="BH256" s="60">
        <v>128.6</v>
      </c>
      <c r="BI256" s="60">
        <v>46.8</v>
      </c>
      <c r="BJ256" s="34">
        <v>60.7</v>
      </c>
      <c r="BK256" s="55">
        <v>70.875956395657738</v>
      </c>
      <c r="BL256" s="60">
        <v>0.437</v>
      </c>
      <c r="BM256" s="60">
        <v>102.8224</v>
      </c>
      <c r="BN256" s="60">
        <v>102.4263</v>
      </c>
      <c r="BO256" s="60">
        <v>5.2</v>
      </c>
      <c r="BP256" s="60">
        <v>0.2</v>
      </c>
      <c r="BQ256" s="60">
        <v>-0.9</v>
      </c>
      <c r="BR256" s="60">
        <v>22.2</v>
      </c>
      <c r="BS256" s="60">
        <v>15.4</v>
      </c>
      <c r="BT256" s="60">
        <v>10.5</v>
      </c>
      <c r="BU256" s="60">
        <v>9.4</v>
      </c>
      <c r="BV256" s="60">
        <v>23</v>
      </c>
      <c r="BW256" s="60">
        <v>0.7</v>
      </c>
      <c r="BX256" s="60">
        <v>10.4</v>
      </c>
      <c r="BY256" s="60">
        <v>-15.5</v>
      </c>
      <c r="BZ256" s="60">
        <v>113</v>
      </c>
      <c r="CA256" s="60">
        <v>0.7</v>
      </c>
      <c r="CB256" s="60">
        <v>3.8</v>
      </c>
      <c r="CC256" s="60">
        <v>6</v>
      </c>
      <c r="CD256" s="60">
        <v>8.3000000000000007</v>
      </c>
      <c r="CE256" s="60">
        <v>1.3</v>
      </c>
      <c r="CF256" s="60">
        <v>15.1</v>
      </c>
      <c r="CG256" s="60">
        <v>26.7</v>
      </c>
      <c r="CH256" s="60">
        <v>-1.7</v>
      </c>
      <c r="CI256" s="60">
        <v>-0.5</v>
      </c>
      <c r="CJ256" s="60">
        <v>-8.4</v>
      </c>
      <c r="CK256" s="60">
        <v>8.1999999999999993</v>
      </c>
      <c r="CL256" s="60">
        <v>25</v>
      </c>
      <c r="CM256" s="60">
        <v>2825.5793480000002</v>
      </c>
      <c r="CN256" s="60">
        <v>11255.78</v>
      </c>
      <c r="CO256" s="60">
        <v>1241.525455</v>
      </c>
      <c r="CP256" s="60">
        <v>3.4740000000000002</v>
      </c>
      <c r="CQ256" s="60">
        <v>2.97</v>
      </c>
      <c r="CR256" s="60">
        <v>67.5</v>
      </c>
      <c r="CS256" s="64">
        <v>37.96</v>
      </c>
      <c r="CT256" s="60">
        <v>104.8</v>
      </c>
      <c r="CU256" s="60">
        <v>88.4</v>
      </c>
      <c r="CV256" s="60">
        <v>103.5</v>
      </c>
      <c r="CW256" s="60">
        <v>100.8</v>
      </c>
      <c r="CX256" s="60">
        <v>100</v>
      </c>
      <c r="CY256" s="60">
        <v>5.51</v>
      </c>
      <c r="CZ256" s="60">
        <v>43753.033000000003</v>
      </c>
      <c r="DA256" s="60">
        <v>3.87</v>
      </c>
      <c r="DB256" s="60">
        <v>27.31</v>
      </c>
      <c r="DC256" s="60">
        <v>46.74</v>
      </c>
      <c r="DD256" s="60">
        <v>13.9</v>
      </c>
      <c r="DE256" s="60">
        <v>13575.735000000001</v>
      </c>
      <c r="DF256" s="60">
        <v>2498.3020000000001</v>
      </c>
      <c r="DG256" s="60">
        <v>2196.2959999999998</v>
      </c>
      <c r="DH256" s="60">
        <v>1098.6610000000001</v>
      </c>
      <c r="DI256" s="60">
        <v>5060.6400000000003</v>
      </c>
      <c r="DJ256" s="60">
        <v>100.84739999999999</v>
      </c>
      <c r="DK256" s="60">
        <v>101.09650000000001</v>
      </c>
      <c r="DL256" s="60">
        <v>100.63</v>
      </c>
      <c r="DM256" s="60">
        <v>100.80459999999999</v>
      </c>
      <c r="DN256" s="60">
        <v>102.4263</v>
      </c>
      <c r="DO256" s="60">
        <v>102.8224</v>
      </c>
      <c r="DP256" s="60">
        <v>100.10080000000001</v>
      </c>
      <c r="DQ256" s="60">
        <v>100.1105</v>
      </c>
      <c r="DR256" s="60">
        <v>162128</v>
      </c>
      <c r="DS256" s="73">
        <v>28299</v>
      </c>
      <c r="DT256" s="73">
        <v>101.3</v>
      </c>
      <c r="DU256">
        <v>183.07598876953125</v>
      </c>
      <c r="DV256">
        <v>179.414306640625</v>
      </c>
      <c r="DW256">
        <v>2096</v>
      </c>
      <c r="DX256">
        <v>352425</v>
      </c>
      <c r="DY256">
        <v>78.2</v>
      </c>
      <c r="DZ256" t="s">
        <v>312</v>
      </c>
    </row>
    <row r="257" spans="1:130" x14ac:dyDescent="0.25">
      <c r="A257" s="1">
        <v>40544</v>
      </c>
      <c r="B257" s="63">
        <v>96.6</v>
      </c>
      <c r="C257" s="108">
        <v>0.66</v>
      </c>
      <c r="D257" s="63">
        <v>1</v>
      </c>
      <c r="E257" s="63">
        <v>1.03</v>
      </c>
      <c r="F257" s="63">
        <v>1.81</v>
      </c>
      <c r="G257" s="63">
        <v>2.56</v>
      </c>
      <c r="H257" s="63">
        <v>3.02</v>
      </c>
      <c r="I257" s="63">
        <f t="shared" si="48"/>
        <v>2.36</v>
      </c>
      <c r="J257" s="63">
        <f t="shared" si="49"/>
        <v>2.02</v>
      </c>
      <c r="K257" s="63">
        <f t="shared" si="50"/>
        <v>1.99</v>
      </c>
      <c r="L257" s="63">
        <f t="shared" si="51"/>
        <v>0.33999999999999997</v>
      </c>
      <c r="M257" s="63">
        <v>97.7</v>
      </c>
      <c r="N257" s="63">
        <v>6989.74</v>
      </c>
      <c r="O257" s="63">
        <v>20.329999999999998</v>
      </c>
      <c r="P257" s="33">
        <v>1122.4000000000001</v>
      </c>
      <c r="Q257" s="34">
        <f t="shared" si="43"/>
        <v>12.74006810442679</v>
      </c>
      <c r="R257" s="60">
        <v>1952.7</v>
      </c>
      <c r="S257" s="34">
        <f t="shared" si="44"/>
        <v>2216.4585698070377</v>
      </c>
      <c r="T257" s="60">
        <v>2003.9</v>
      </c>
      <c r="U257" s="34">
        <f t="shared" si="45"/>
        <v>2274.5743473325765</v>
      </c>
      <c r="V257" s="116">
        <v>291438</v>
      </c>
      <c r="W257" s="116">
        <v>4715716</v>
      </c>
      <c r="X257" s="117">
        <v>8436054</v>
      </c>
      <c r="Y257" s="117">
        <v>882744</v>
      </c>
      <c r="Z257" s="63">
        <v>96.1</v>
      </c>
      <c r="AA257" s="63">
        <v>88</v>
      </c>
      <c r="AB257" s="63">
        <v>80.400000000000006</v>
      </c>
      <c r="AC257" s="63">
        <v>85.3</v>
      </c>
      <c r="AD257" s="63">
        <v>41330</v>
      </c>
      <c r="AE257" s="63">
        <v>7.4</v>
      </c>
      <c r="AF257" s="63">
        <v>420</v>
      </c>
      <c r="AG257" s="63">
        <v>89.1</v>
      </c>
      <c r="AH257" s="63">
        <v>88.1</v>
      </c>
      <c r="AI257" s="33">
        <v>96.1</v>
      </c>
      <c r="AJ257" s="33">
        <v>91.3</v>
      </c>
      <c r="AK257" s="33">
        <v>170.31380799999999</v>
      </c>
      <c r="AL257" s="63">
        <v>74.5</v>
      </c>
      <c r="AM257" s="123">
        <v>103.68377010348156</v>
      </c>
      <c r="AN257" s="123">
        <v>202.40866088323054</v>
      </c>
      <c r="AO257" s="123">
        <v>136.76189389107768</v>
      </c>
      <c r="AP257" s="33">
        <v>72.540000000000006</v>
      </c>
      <c r="AQ257" s="63">
        <f t="shared" si="47"/>
        <v>0.75483870967741951</v>
      </c>
      <c r="AR257" s="63">
        <v>104.9</v>
      </c>
      <c r="AS257" s="63">
        <v>107.1</v>
      </c>
      <c r="AT257" s="63">
        <v>102.7</v>
      </c>
      <c r="AU257" s="63">
        <v>106.7</v>
      </c>
      <c r="AV257" s="66">
        <v>108.8</v>
      </c>
      <c r="AW257" s="63">
        <v>104.7</v>
      </c>
      <c r="AX257" s="63">
        <v>31.6</v>
      </c>
      <c r="AY257" s="63">
        <v>20.7</v>
      </c>
      <c r="AZ257" s="63">
        <v>33</v>
      </c>
      <c r="BA257" s="63">
        <v>24.4</v>
      </c>
      <c r="BB257" s="63">
        <v>105.4</v>
      </c>
      <c r="BC257" s="63">
        <v>108.3</v>
      </c>
      <c r="BD257" s="63">
        <v>102.6</v>
      </c>
      <c r="BE257" s="63">
        <v>82.8</v>
      </c>
      <c r="BF257" s="63">
        <v>15.4</v>
      </c>
      <c r="BG257" s="63">
        <v>58.8</v>
      </c>
      <c r="BH257" s="63">
        <v>125.6</v>
      </c>
      <c r="BI257" s="63">
        <v>80.400000000000006</v>
      </c>
      <c r="BJ257" s="34">
        <v>60.5</v>
      </c>
      <c r="BK257" s="45">
        <v>70.75801521784949</v>
      </c>
      <c r="BL257" s="63">
        <v>0.504</v>
      </c>
      <c r="BM257" s="63">
        <v>102.8214</v>
      </c>
      <c r="BN257" s="63">
        <v>102.4254</v>
      </c>
      <c r="BO257" s="63">
        <v>6</v>
      </c>
      <c r="BP257" s="63">
        <v>3.5</v>
      </c>
      <c r="BQ257" s="63">
        <v>-0.8</v>
      </c>
      <c r="BR257" s="63">
        <v>18.5</v>
      </c>
      <c r="BS257" s="63">
        <v>17.7</v>
      </c>
      <c r="BT257" s="63">
        <v>11.3</v>
      </c>
      <c r="BU257" s="63">
        <v>8.4</v>
      </c>
      <c r="BV257" s="63">
        <v>19.899999999999999</v>
      </c>
      <c r="BW257" s="63">
        <v>0.4</v>
      </c>
      <c r="BX257" s="63">
        <v>3.9</v>
      </c>
      <c r="BY257" s="63">
        <v>-13.8</v>
      </c>
      <c r="BZ257" s="63">
        <v>111.3</v>
      </c>
      <c r="CA257" s="63">
        <v>0.4</v>
      </c>
      <c r="CB257" s="63">
        <v>2.6</v>
      </c>
      <c r="CC257" s="63">
        <v>6</v>
      </c>
      <c r="CD257" s="63">
        <v>8.4</v>
      </c>
      <c r="CE257" s="63">
        <v>1.4</v>
      </c>
      <c r="CF257" s="63">
        <v>20</v>
      </c>
      <c r="CG257" s="63">
        <v>35.1</v>
      </c>
      <c r="CH257" s="63">
        <v>-1.6</v>
      </c>
      <c r="CI257" s="63">
        <v>-1</v>
      </c>
      <c r="CJ257" s="63">
        <v>-8.1999999999999993</v>
      </c>
      <c r="CK257" s="63">
        <v>5.9</v>
      </c>
      <c r="CL257" s="63">
        <v>24.7</v>
      </c>
      <c r="CM257" s="63">
        <v>2900.6929519999999</v>
      </c>
      <c r="CN257" s="63">
        <v>11670.75</v>
      </c>
      <c r="CO257" s="63">
        <v>1282.6185</v>
      </c>
      <c r="CP257" s="63">
        <v>3.5059999999999998</v>
      </c>
      <c r="CQ257" s="63">
        <v>3.36</v>
      </c>
      <c r="CR257" s="63">
        <v>69.3</v>
      </c>
      <c r="CS257" s="64">
        <v>38.700000000000003</v>
      </c>
      <c r="CT257" s="63">
        <v>107.7</v>
      </c>
      <c r="CU257" s="63">
        <v>88</v>
      </c>
      <c r="CV257" s="63">
        <v>100.5</v>
      </c>
      <c r="CW257" s="63">
        <v>100.3</v>
      </c>
      <c r="CX257" s="63">
        <v>101.3</v>
      </c>
      <c r="CY257" s="63">
        <v>5.96</v>
      </c>
      <c r="CZ257" s="63">
        <v>44007.142</v>
      </c>
      <c r="DA257" s="63">
        <v>4.1399999999999997</v>
      </c>
      <c r="DB257" s="63">
        <v>27.11</v>
      </c>
      <c r="DC257" s="63">
        <v>46</v>
      </c>
      <c r="DD257" s="63">
        <v>14.63</v>
      </c>
      <c r="DE257" s="63">
        <v>11830.751</v>
      </c>
      <c r="DF257" s="63">
        <v>1918.518</v>
      </c>
      <c r="DG257" s="63">
        <v>1924.19</v>
      </c>
      <c r="DH257" s="63">
        <v>1172.116</v>
      </c>
      <c r="DI257" s="63">
        <v>4625.79</v>
      </c>
      <c r="DJ257" s="63">
        <v>100.8948</v>
      </c>
      <c r="DK257" s="63">
        <v>101.1554</v>
      </c>
      <c r="DL257" s="63">
        <v>100.76</v>
      </c>
      <c r="DM257" s="63">
        <v>100.973</v>
      </c>
      <c r="DN257" s="63">
        <v>102.4254</v>
      </c>
      <c r="DO257" s="63">
        <v>102.8214</v>
      </c>
      <c r="DP257" s="63">
        <v>100.2462</v>
      </c>
      <c r="DQ257" s="63">
        <v>100.2705</v>
      </c>
      <c r="DR257" s="63">
        <v>176845</v>
      </c>
      <c r="DS257" s="73">
        <v>28348</v>
      </c>
      <c r="DT257" s="73">
        <v>101.4</v>
      </c>
      <c r="DU257">
        <v>143.03173828125</v>
      </c>
      <c r="DV257">
        <v>140.94584655761719</v>
      </c>
      <c r="DW257">
        <v>1773</v>
      </c>
      <c r="DX257">
        <v>377675</v>
      </c>
      <c r="DY257">
        <v>79.3</v>
      </c>
      <c r="DZ257" t="s">
        <v>312</v>
      </c>
    </row>
    <row r="258" spans="1:130" x14ac:dyDescent="0.25">
      <c r="A258" s="1">
        <v>40575</v>
      </c>
      <c r="B258" s="33">
        <v>97.5</v>
      </c>
      <c r="C258" s="107">
        <v>0.71</v>
      </c>
      <c r="D258" s="33">
        <v>1</v>
      </c>
      <c r="E258" s="33">
        <v>1.04</v>
      </c>
      <c r="F258" s="33">
        <v>2.1</v>
      </c>
      <c r="G258" s="33">
        <v>2.77</v>
      </c>
      <c r="H258" s="33">
        <v>3.2</v>
      </c>
      <c r="I258" s="33">
        <f t="shared" si="48"/>
        <v>2.4900000000000002</v>
      </c>
      <c r="J258" s="33">
        <f t="shared" si="49"/>
        <v>2.2000000000000002</v>
      </c>
      <c r="K258" s="33">
        <f t="shared" si="50"/>
        <v>2.16</v>
      </c>
      <c r="L258" s="33">
        <f t="shared" si="51"/>
        <v>0.29000000000000004</v>
      </c>
      <c r="M258" s="33">
        <v>98</v>
      </c>
      <c r="N258" s="33">
        <v>7184.27</v>
      </c>
      <c r="O258" s="33">
        <v>17.02</v>
      </c>
      <c r="P258" s="33">
        <v>1109.5</v>
      </c>
      <c r="Q258" s="34">
        <f t="shared" si="43"/>
        <v>12.593643586833146</v>
      </c>
      <c r="R258" s="60">
        <v>1946.8</v>
      </c>
      <c r="S258" s="34">
        <f t="shared" si="44"/>
        <v>2209.7616345062429</v>
      </c>
      <c r="T258" s="60">
        <v>1996.5</v>
      </c>
      <c r="U258" s="34">
        <f t="shared" si="45"/>
        <v>2266.1748013620886</v>
      </c>
      <c r="V258" s="116">
        <v>307762</v>
      </c>
      <c r="W258" s="116">
        <v>4718429</v>
      </c>
      <c r="X258" s="117">
        <v>8444617</v>
      </c>
      <c r="Y258" s="117">
        <v>882436</v>
      </c>
      <c r="Z258" s="33">
        <v>96.7</v>
      </c>
      <c r="AA258" s="33">
        <v>89.1</v>
      </c>
      <c r="AB258" s="33">
        <v>83.2</v>
      </c>
      <c r="AC258" s="33">
        <v>87.8</v>
      </c>
      <c r="AD258" s="33">
        <v>41382</v>
      </c>
      <c r="AE258" s="33">
        <v>7.3</v>
      </c>
      <c r="AF258" s="33">
        <v>435</v>
      </c>
      <c r="AG258" s="33">
        <v>89.2</v>
      </c>
      <c r="AH258" s="33">
        <v>88.1</v>
      </c>
      <c r="AI258" s="33">
        <v>96.7</v>
      </c>
      <c r="AJ258" s="33">
        <v>91.5</v>
      </c>
      <c r="AK258" s="33">
        <v>171.485692</v>
      </c>
      <c r="AL258" s="33">
        <v>73.5</v>
      </c>
      <c r="AM258" s="123">
        <v>102.32620846546544</v>
      </c>
      <c r="AN258" s="123">
        <v>207.00174034628475</v>
      </c>
      <c r="AO258" s="123">
        <v>138.97129443859106</v>
      </c>
      <c r="AP258" s="33">
        <v>76.34</v>
      </c>
      <c r="AQ258" s="33">
        <f t="shared" si="47"/>
        <v>0.78945191313340224</v>
      </c>
      <c r="AR258" s="33">
        <v>106</v>
      </c>
      <c r="AS258" s="33">
        <v>106.9</v>
      </c>
      <c r="AT258" s="33">
        <v>105.1</v>
      </c>
      <c r="AU258" s="33">
        <v>107.3</v>
      </c>
      <c r="AV258" s="65">
        <v>108</v>
      </c>
      <c r="AW258" s="33">
        <v>106.6</v>
      </c>
      <c r="AX258" s="33">
        <v>34.700000000000003</v>
      </c>
      <c r="AY258" s="33">
        <v>26</v>
      </c>
      <c r="AZ258" s="33">
        <v>31.9</v>
      </c>
      <c r="BA258" s="33">
        <v>24.2</v>
      </c>
      <c r="BB258" s="33">
        <v>107.5</v>
      </c>
      <c r="BC258" s="33">
        <v>107.4</v>
      </c>
      <c r="BD258" s="33">
        <v>107.6</v>
      </c>
      <c r="BE258" s="33">
        <v>85.2</v>
      </c>
      <c r="BF258" s="33">
        <v>15.7</v>
      </c>
      <c r="BG258" s="33">
        <v>57.1</v>
      </c>
      <c r="BH258" s="33">
        <v>122.5</v>
      </c>
      <c r="BI258" s="33">
        <v>71</v>
      </c>
      <c r="BJ258" s="34">
        <v>62.7</v>
      </c>
      <c r="BK258" s="45">
        <v>61.417223149709585</v>
      </c>
      <c r="BL258" s="33">
        <v>0.58199999999999996</v>
      </c>
      <c r="BM258" s="33">
        <v>102.7414</v>
      </c>
      <c r="BN258" s="33">
        <v>102.3567</v>
      </c>
      <c r="BO258" s="33">
        <v>9.6999999999999993</v>
      </c>
      <c r="BP258" s="33">
        <v>3.3</v>
      </c>
      <c r="BQ258" s="33">
        <v>-1</v>
      </c>
      <c r="BR258" s="33">
        <v>20.8</v>
      </c>
      <c r="BS258" s="33">
        <v>23.1</v>
      </c>
      <c r="BT258" s="33">
        <v>12.7</v>
      </c>
      <c r="BU258" s="33">
        <v>10.5</v>
      </c>
      <c r="BV258" s="33">
        <v>21.5</v>
      </c>
      <c r="BW258" s="33">
        <v>0.9</v>
      </c>
      <c r="BX258" s="33">
        <v>6.2</v>
      </c>
      <c r="BY258" s="33">
        <v>-11.1</v>
      </c>
      <c r="BZ258" s="33">
        <v>112.9</v>
      </c>
      <c r="CA258" s="33">
        <v>0.9</v>
      </c>
      <c r="CB258" s="33">
        <v>2.8</v>
      </c>
      <c r="CC258" s="33">
        <v>7</v>
      </c>
      <c r="CD258" s="33">
        <v>9.5</v>
      </c>
      <c r="CE258" s="33">
        <v>0.7</v>
      </c>
      <c r="CF258" s="33">
        <v>26</v>
      </c>
      <c r="CG258" s="33">
        <v>37.5</v>
      </c>
      <c r="CH258" s="33">
        <v>-1.4</v>
      </c>
      <c r="CI258" s="33">
        <v>-2</v>
      </c>
      <c r="CJ258" s="33">
        <v>-7</v>
      </c>
      <c r="CK258" s="33">
        <v>6.8</v>
      </c>
      <c r="CL258" s="33">
        <v>25.4</v>
      </c>
      <c r="CM258" s="33">
        <v>3015.7334500000002</v>
      </c>
      <c r="CN258" s="33">
        <v>12040.16</v>
      </c>
      <c r="CO258" s="33">
        <v>1321.1178950000001</v>
      </c>
      <c r="CP258" s="33">
        <v>3.81</v>
      </c>
      <c r="CQ258" s="33">
        <v>3.48</v>
      </c>
      <c r="CR258" s="33">
        <v>71.599999999999994</v>
      </c>
      <c r="CS258" s="64">
        <v>35.78</v>
      </c>
      <c r="CT258" s="33">
        <v>106.5</v>
      </c>
      <c r="CU258" s="33">
        <v>88.3</v>
      </c>
      <c r="CV258" s="33">
        <v>102.1</v>
      </c>
      <c r="CW258" s="33">
        <v>95.9</v>
      </c>
      <c r="CX258" s="33">
        <v>102.2</v>
      </c>
      <c r="CY258" s="33">
        <v>6.02</v>
      </c>
      <c r="CZ258" s="33">
        <v>45805.137999999999</v>
      </c>
      <c r="DA258" s="33">
        <v>4.03</v>
      </c>
      <c r="DB258" s="33">
        <v>27.9</v>
      </c>
      <c r="DC258" s="33">
        <v>46.29</v>
      </c>
      <c r="DD258" s="33">
        <v>14.81</v>
      </c>
      <c r="DE258" s="33">
        <v>12990.688</v>
      </c>
      <c r="DF258" s="33">
        <v>2175.6840000000002</v>
      </c>
      <c r="DG258" s="33">
        <v>2419.3040000000001</v>
      </c>
      <c r="DH258" s="33">
        <v>1207.807</v>
      </c>
      <c r="DI258" s="33">
        <v>5066.9589999999998</v>
      </c>
      <c r="DJ258" s="33">
        <v>100.91889999999999</v>
      </c>
      <c r="DK258" s="33">
        <v>101.18559999999999</v>
      </c>
      <c r="DL258" s="33">
        <v>100.87</v>
      </c>
      <c r="DM258" s="33">
        <v>101.11579999999999</v>
      </c>
      <c r="DN258" s="33">
        <v>102.3567</v>
      </c>
      <c r="DO258" s="33">
        <v>102.7414</v>
      </c>
      <c r="DP258" s="33">
        <v>100.3329</v>
      </c>
      <c r="DQ258" s="33">
        <v>100.3659</v>
      </c>
      <c r="DR258" s="33">
        <v>155266</v>
      </c>
      <c r="DS258" s="73">
        <v>28432</v>
      </c>
      <c r="DT258" s="73">
        <v>101.9</v>
      </c>
      <c r="DU258">
        <v>122.44578552246094</v>
      </c>
      <c r="DV258">
        <v>93.2711181640625</v>
      </c>
      <c r="DW258">
        <v>1084</v>
      </c>
      <c r="DX258">
        <v>393775</v>
      </c>
      <c r="DY258">
        <v>80.099999999999994</v>
      </c>
      <c r="DZ258" t="s">
        <v>312</v>
      </c>
    </row>
    <row r="259" spans="1:130" s="56" customFormat="1" x14ac:dyDescent="0.25">
      <c r="A259" s="1">
        <v>40603</v>
      </c>
      <c r="B259" s="60">
        <v>97.8</v>
      </c>
      <c r="C259" s="109">
        <v>0.66</v>
      </c>
      <c r="D259" s="60">
        <v>1</v>
      </c>
      <c r="E259" s="60">
        <v>1.0900000000000001</v>
      </c>
      <c r="F259" s="60">
        <v>2.23</v>
      </c>
      <c r="G259" s="60">
        <v>2.83</v>
      </c>
      <c r="H259" s="60">
        <v>3.21</v>
      </c>
      <c r="I259" s="60">
        <f t="shared" si="48"/>
        <v>2.5499999999999998</v>
      </c>
      <c r="J259" s="60">
        <f t="shared" si="49"/>
        <v>2.21</v>
      </c>
      <c r="K259" s="60">
        <f t="shared" si="50"/>
        <v>2.12</v>
      </c>
      <c r="L259" s="60">
        <f t="shared" si="51"/>
        <v>0.33999999999999997</v>
      </c>
      <c r="M259" s="60">
        <v>98.7</v>
      </c>
      <c r="N259" s="60">
        <v>7223.3</v>
      </c>
      <c r="O259" s="60">
        <v>20.45</v>
      </c>
      <c r="P259" s="33">
        <v>1115.2</v>
      </c>
      <c r="Q259" s="34">
        <f t="shared" si="43"/>
        <v>12.643990929705215</v>
      </c>
      <c r="R259" s="60">
        <v>1958.8</v>
      </c>
      <c r="S259" s="34">
        <f t="shared" si="44"/>
        <v>2220.861678004535</v>
      </c>
      <c r="T259" s="60">
        <v>2006.9</v>
      </c>
      <c r="U259" s="34">
        <f t="shared" si="45"/>
        <v>2275.3968253968251</v>
      </c>
      <c r="V259" s="116">
        <v>291140</v>
      </c>
      <c r="W259" s="116">
        <v>4727336</v>
      </c>
      <c r="X259" s="117">
        <v>8458122</v>
      </c>
      <c r="Y259" s="117">
        <v>887189</v>
      </c>
      <c r="Z259" s="60">
        <v>97.1</v>
      </c>
      <c r="AA259" s="60">
        <v>86.1</v>
      </c>
      <c r="AB259" s="60">
        <v>81.099999999999994</v>
      </c>
      <c r="AC259" s="60">
        <v>82.4</v>
      </c>
      <c r="AD259" s="60">
        <v>41421</v>
      </c>
      <c r="AE259" s="60">
        <v>7.2</v>
      </c>
      <c r="AF259" s="60">
        <v>444</v>
      </c>
      <c r="AG259" s="60">
        <v>89.6</v>
      </c>
      <c r="AH259" s="60">
        <v>88.2</v>
      </c>
      <c r="AI259" s="33">
        <v>97.8</v>
      </c>
      <c r="AJ259" s="33">
        <v>91.7</v>
      </c>
      <c r="AK259" s="33">
        <v>172.46226200000001</v>
      </c>
      <c r="AL259" s="60">
        <v>74</v>
      </c>
      <c r="AM259" s="123">
        <v>111.57744783803044</v>
      </c>
      <c r="AN259" s="123">
        <v>222.47748021310667</v>
      </c>
      <c r="AO259" s="123">
        <v>139.95690645588601</v>
      </c>
      <c r="AP259" s="33">
        <v>81.97</v>
      </c>
      <c r="AQ259" s="60">
        <f t="shared" si="47"/>
        <v>0.83813905930470345</v>
      </c>
      <c r="AR259" s="60">
        <v>105.9</v>
      </c>
      <c r="AS259" s="60">
        <v>105.6</v>
      </c>
      <c r="AT259" s="60">
        <v>106.1</v>
      </c>
      <c r="AU259" s="60">
        <v>107</v>
      </c>
      <c r="AV259" s="67">
        <v>106.4</v>
      </c>
      <c r="AW259" s="60">
        <v>107.7</v>
      </c>
      <c r="AX259" s="60">
        <v>34.9</v>
      </c>
      <c r="AY259" s="60">
        <v>21.6</v>
      </c>
      <c r="AZ259" s="60">
        <v>31.8</v>
      </c>
      <c r="BA259" s="60">
        <v>19.5</v>
      </c>
      <c r="BB259" s="60">
        <v>109.5</v>
      </c>
      <c r="BC259" s="60">
        <v>108.8</v>
      </c>
      <c r="BD259" s="60">
        <v>110.2</v>
      </c>
      <c r="BE259" s="60">
        <v>85.4</v>
      </c>
      <c r="BF259" s="60">
        <v>14.1</v>
      </c>
      <c r="BG259" s="60">
        <v>49.5</v>
      </c>
      <c r="BH259" s="60">
        <v>123.1</v>
      </c>
      <c r="BI259" s="60">
        <v>53.2</v>
      </c>
      <c r="BJ259" s="34">
        <v>60.93</v>
      </c>
      <c r="BK259" s="55">
        <v>47.809369689847806</v>
      </c>
      <c r="BL259" s="60">
        <v>0.63</v>
      </c>
      <c r="BM259" s="60">
        <v>102.5783</v>
      </c>
      <c r="BN259" s="60">
        <v>102.2165</v>
      </c>
      <c r="BO259" s="60">
        <v>10.5</v>
      </c>
      <c r="BP259" s="60">
        <v>5.8</v>
      </c>
      <c r="BQ259" s="60">
        <v>-3.3</v>
      </c>
      <c r="BR259" s="60">
        <v>17.899999999999999</v>
      </c>
      <c r="BS259" s="60">
        <v>23</v>
      </c>
      <c r="BT259" s="60">
        <v>14.4</v>
      </c>
      <c r="BU259" s="60">
        <v>10.6</v>
      </c>
      <c r="BV259" s="60">
        <v>20.8</v>
      </c>
      <c r="BW259" s="60">
        <v>0.1</v>
      </c>
      <c r="BX259" s="60">
        <v>6.1</v>
      </c>
      <c r="BY259" s="60">
        <v>-11.4</v>
      </c>
      <c r="BZ259" s="60">
        <v>112.5</v>
      </c>
      <c r="CA259" s="60">
        <v>0.1</v>
      </c>
      <c r="CB259" s="60">
        <v>4.8</v>
      </c>
      <c r="CC259" s="60">
        <v>6.2</v>
      </c>
      <c r="CD259" s="60">
        <v>7.6</v>
      </c>
      <c r="CE259" s="60">
        <v>-1.5</v>
      </c>
      <c r="CF259" s="60">
        <v>35.200000000000003</v>
      </c>
      <c r="CG259" s="60">
        <v>38.700000000000003</v>
      </c>
      <c r="CH259" s="60">
        <v>-1.4</v>
      </c>
      <c r="CI259" s="60">
        <v>-3.1</v>
      </c>
      <c r="CJ259" s="60">
        <v>-9.1</v>
      </c>
      <c r="CK259" s="60">
        <v>8.1999999999999993</v>
      </c>
      <c r="CL259" s="60">
        <v>25.9</v>
      </c>
      <c r="CM259" s="60">
        <v>2890.3620000000001</v>
      </c>
      <c r="CN259" s="60">
        <v>12058.02</v>
      </c>
      <c r="CO259" s="60">
        <v>1304.486087</v>
      </c>
      <c r="CP259" s="60">
        <v>3.7090000000000001</v>
      </c>
      <c r="CQ259" s="60">
        <v>3.41</v>
      </c>
      <c r="CR259" s="60">
        <v>57.9</v>
      </c>
      <c r="CS259" s="64">
        <v>34.590000000000003</v>
      </c>
      <c r="CT259" s="60">
        <v>107.3</v>
      </c>
      <c r="CU259" s="60">
        <v>87.2</v>
      </c>
      <c r="CV259" s="60">
        <v>99</v>
      </c>
      <c r="CW259" s="60">
        <v>95.8</v>
      </c>
      <c r="CX259" s="60">
        <v>96</v>
      </c>
      <c r="CY259" s="60">
        <v>5.72</v>
      </c>
      <c r="CZ259" s="60">
        <v>53021.32</v>
      </c>
      <c r="DA259" s="60">
        <v>3.72</v>
      </c>
      <c r="DB259" s="60">
        <v>28.6</v>
      </c>
      <c r="DC259" s="60">
        <v>47.69</v>
      </c>
      <c r="DD259" s="60">
        <v>15.8</v>
      </c>
      <c r="DE259" s="60">
        <v>15307.308999999999</v>
      </c>
      <c r="DF259" s="60">
        <v>2411.6219999999998</v>
      </c>
      <c r="DG259" s="60">
        <v>3029.4</v>
      </c>
      <c r="DH259" s="60">
        <v>1265.4000000000001</v>
      </c>
      <c r="DI259" s="60">
        <v>6102.5230000000001</v>
      </c>
      <c r="DJ259" s="60">
        <v>100.9127</v>
      </c>
      <c r="DK259" s="60">
        <v>101.1782</v>
      </c>
      <c r="DL259" s="60">
        <v>100.95</v>
      </c>
      <c r="DM259" s="60">
        <v>101.2135</v>
      </c>
      <c r="DN259" s="60">
        <v>102.2165</v>
      </c>
      <c r="DO259" s="60">
        <v>102.5783</v>
      </c>
      <c r="DP259" s="60">
        <v>100.32859999999999</v>
      </c>
      <c r="DQ259" s="60">
        <v>100.36109999999999</v>
      </c>
      <c r="DR259" s="60">
        <v>143033</v>
      </c>
      <c r="DS259" s="73">
        <v>28508</v>
      </c>
      <c r="DT259" s="73">
        <v>102.9</v>
      </c>
      <c r="DU259">
        <v>154.40151977539063</v>
      </c>
      <c r="DV259">
        <v>123.78568267822266</v>
      </c>
      <c r="DW259">
        <v>1262</v>
      </c>
      <c r="DX259">
        <v>423550</v>
      </c>
      <c r="DY259">
        <v>80.900000000000006</v>
      </c>
      <c r="DZ259" t="s">
        <v>312</v>
      </c>
    </row>
    <row r="260" spans="1:130" x14ac:dyDescent="0.25">
      <c r="A260" s="1">
        <v>40634</v>
      </c>
      <c r="B260" s="63">
        <v>97.9</v>
      </c>
      <c r="C260" s="108">
        <v>0.97</v>
      </c>
      <c r="D260" s="63">
        <v>1.25</v>
      </c>
      <c r="E260" s="63">
        <v>1.2</v>
      </c>
      <c r="F260" s="63">
        <v>2.4500000000000002</v>
      </c>
      <c r="G260" s="63">
        <v>2.98</v>
      </c>
      <c r="H260" s="63">
        <v>3.34</v>
      </c>
      <c r="I260" s="63">
        <f t="shared" si="48"/>
        <v>2.37</v>
      </c>
      <c r="J260" s="63">
        <f t="shared" si="49"/>
        <v>2.09</v>
      </c>
      <c r="K260" s="63">
        <f t="shared" si="50"/>
        <v>2.1399999999999997</v>
      </c>
      <c r="L260" s="63">
        <f t="shared" si="51"/>
        <v>0.28000000000000003</v>
      </c>
      <c r="M260" s="63">
        <v>99.7</v>
      </c>
      <c r="N260" s="63">
        <v>7179.81</v>
      </c>
      <c r="O260" s="63">
        <v>18.07</v>
      </c>
      <c r="P260" s="33">
        <v>1117.0999999999999</v>
      </c>
      <c r="Q260" s="34">
        <f t="shared" si="43"/>
        <v>12.636877828054297</v>
      </c>
      <c r="R260" s="60">
        <v>1972.3</v>
      </c>
      <c r="S260" s="34">
        <f t="shared" si="44"/>
        <v>2231.1085972850678</v>
      </c>
      <c r="T260" s="60">
        <v>2020.3</v>
      </c>
      <c r="U260" s="34">
        <f t="shared" si="45"/>
        <v>2285.4072398190046</v>
      </c>
      <c r="V260" s="116">
        <v>292173</v>
      </c>
      <c r="W260" s="116">
        <v>4712016</v>
      </c>
      <c r="X260" s="117">
        <v>8456009</v>
      </c>
      <c r="Y260" s="117">
        <v>894471</v>
      </c>
      <c r="Z260" s="63">
        <v>97.9</v>
      </c>
      <c r="AA260" s="63">
        <v>87.4</v>
      </c>
      <c r="AB260" s="63">
        <v>82.4</v>
      </c>
      <c r="AC260" s="63">
        <v>85.1</v>
      </c>
      <c r="AD260" s="63">
        <v>41466</v>
      </c>
      <c r="AE260" s="63">
        <v>7.1</v>
      </c>
      <c r="AF260" s="63">
        <v>455</v>
      </c>
      <c r="AG260" s="63">
        <v>89.9</v>
      </c>
      <c r="AH260" s="63">
        <v>88.4</v>
      </c>
      <c r="AI260" s="33">
        <v>97.8</v>
      </c>
      <c r="AJ260" s="33">
        <v>91.9</v>
      </c>
      <c r="AK260" s="33">
        <v>174.02477400000001</v>
      </c>
      <c r="AL260" s="63">
        <v>75.400000000000006</v>
      </c>
      <c r="AM260" s="123">
        <v>114.54020534833397</v>
      </c>
      <c r="AN260" s="123">
        <v>231.66723203747131</v>
      </c>
      <c r="AO260" s="123">
        <v>133.82209406294598</v>
      </c>
      <c r="AP260" s="33">
        <v>85.29</v>
      </c>
      <c r="AQ260" s="63">
        <f t="shared" si="47"/>
        <v>0.87208588957055222</v>
      </c>
      <c r="AR260" s="63">
        <v>105</v>
      </c>
      <c r="AS260" s="63">
        <v>104.2</v>
      </c>
      <c r="AT260" s="63">
        <v>105.8</v>
      </c>
      <c r="AU260" s="63">
        <v>106.5</v>
      </c>
      <c r="AV260" s="66">
        <v>105.2</v>
      </c>
      <c r="AW260" s="63">
        <v>107.8</v>
      </c>
      <c r="AX260" s="63">
        <v>33.6</v>
      </c>
      <c r="AY260" s="63">
        <v>22.5</v>
      </c>
      <c r="AZ260" s="63">
        <v>28.9</v>
      </c>
      <c r="BA260" s="63">
        <v>16.5</v>
      </c>
      <c r="BB260" s="63">
        <v>107.7</v>
      </c>
      <c r="BC260" s="63">
        <v>106.9</v>
      </c>
      <c r="BD260" s="63">
        <v>108.5</v>
      </c>
      <c r="BE260" s="63">
        <v>87.1</v>
      </c>
      <c r="BF260" s="63">
        <v>7.6</v>
      </c>
      <c r="BG260" s="63">
        <v>47.3</v>
      </c>
      <c r="BH260" s="63">
        <v>121.6</v>
      </c>
      <c r="BI260" s="63">
        <v>11.1</v>
      </c>
      <c r="BJ260" s="34">
        <v>61.96</v>
      </c>
      <c r="BK260" s="45">
        <v>34.49162161085065</v>
      </c>
      <c r="BL260" s="63">
        <v>0.59499999999999997</v>
      </c>
      <c r="BM260" s="63">
        <v>102.3348</v>
      </c>
      <c r="BN260" s="63">
        <v>102.0073</v>
      </c>
      <c r="BO260" s="63">
        <v>11.8</v>
      </c>
      <c r="BP260" s="63">
        <v>7</v>
      </c>
      <c r="BQ260" s="63">
        <v>-3.1</v>
      </c>
      <c r="BR260" s="63">
        <v>17.7</v>
      </c>
      <c r="BS260" s="63">
        <v>24.8</v>
      </c>
      <c r="BT260" s="63">
        <v>13.9</v>
      </c>
      <c r="BU260" s="63">
        <v>10.9</v>
      </c>
      <c r="BV260" s="63">
        <v>20.399999999999999</v>
      </c>
      <c r="BW260" s="63">
        <v>-1</v>
      </c>
      <c r="BX260" s="63">
        <v>4.8</v>
      </c>
      <c r="BY260" s="63">
        <v>-8.6999999999999993</v>
      </c>
      <c r="BZ260" s="63">
        <v>112</v>
      </c>
      <c r="CA260" s="63">
        <v>-1</v>
      </c>
      <c r="CB260" s="63">
        <v>3.1</v>
      </c>
      <c r="CC260" s="63">
        <v>5.4</v>
      </c>
      <c r="CD260" s="63">
        <v>7.8</v>
      </c>
      <c r="CE260" s="63">
        <v>-2.7</v>
      </c>
      <c r="CF260" s="63">
        <v>35.6</v>
      </c>
      <c r="CG260" s="63">
        <v>42.2</v>
      </c>
      <c r="CH260" s="63">
        <v>-1.9</v>
      </c>
      <c r="CI260" s="63">
        <v>-3</v>
      </c>
      <c r="CJ260" s="63">
        <v>-9.6999999999999993</v>
      </c>
      <c r="CK260" s="63">
        <v>7.6</v>
      </c>
      <c r="CL260" s="63">
        <v>26.5</v>
      </c>
      <c r="CM260" s="63">
        <v>2947.1596840000002</v>
      </c>
      <c r="CN260" s="63">
        <v>12376.72</v>
      </c>
      <c r="CO260" s="63">
        <v>1331.5050000000001</v>
      </c>
      <c r="CP260" s="63">
        <v>3.7250000000000001</v>
      </c>
      <c r="CQ260" s="63">
        <v>3.46</v>
      </c>
      <c r="CR260" s="63">
        <v>61.6</v>
      </c>
      <c r="CS260" s="64">
        <v>36.799999999999997</v>
      </c>
      <c r="CT260" s="63">
        <v>106.7</v>
      </c>
      <c r="CU260" s="63">
        <v>86.9</v>
      </c>
      <c r="CV260" s="63">
        <v>99.2</v>
      </c>
      <c r="CW260" s="63">
        <v>97.9</v>
      </c>
      <c r="CX260" s="63">
        <v>99</v>
      </c>
      <c r="CY260" s="63">
        <v>5.8</v>
      </c>
      <c r="CZ260" s="63">
        <v>46254.025000000001</v>
      </c>
      <c r="DA260" s="63">
        <v>4.0199999999999996</v>
      </c>
      <c r="DB260" s="63">
        <v>28.67</v>
      </c>
      <c r="DC260" s="63">
        <v>47.31</v>
      </c>
      <c r="DD260" s="63">
        <v>15.33</v>
      </c>
      <c r="DE260" s="63">
        <v>12692.83</v>
      </c>
      <c r="DF260" s="63">
        <v>2078.5189999999998</v>
      </c>
      <c r="DG260" s="63">
        <v>2714.884</v>
      </c>
      <c r="DH260" s="63">
        <v>1072.316</v>
      </c>
      <c r="DI260" s="63">
        <v>4893.8249999999998</v>
      </c>
      <c r="DJ260" s="63">
        <v>100.87430000000001</v>
      </c>
      <c r="DK260" s="63">
        <v>101.13079999999999</v>
      </c>
      <c r="DL260" s="63">
        <v>100.98</v>
      </c>
      <c r="DM260" s="63">
        <v>101.24850000000001</v>
      </c>
      <c r="DN260" s="63">
        <v>102.0073</v>
      </c>
      <c r="DO260" s="63">
        <v>102.3348</v>
      </c>
      <c r="DP260" s="63">
        <v>100.2304</v>
      </c>
      <c r="DQ260" s="63">
        <v>100.2531</v>
      </c>
      <c r="DR260" s="63">
        <v>116915</v>
      </c>
      <c r="DS260" s="73">
        <v>28560</v>
      </c>
      <c r="DT260" s="73">
        <v>103.2</v>
      </c>
      <c r="DU260">
        <v>145.50860595703125</v>
      </c>
      <c r="DV260">
        <v>80.169265747070313</v>
      </c>
      <c r="DW260">
        <v>1520</v>
      </c>
      <c r="DX260">
        <v>437900</v>
      </c>
      <c r="DY260">
        <v>80.900000000000006</v>
      </c>
      <c r="DZ260" t="s">
        <v>312</v>
      </c>
    </row>
    <row r="261" spans="1:130" s="24" customFormat="1" x14ac:dyDescent="0.25">
      <c r="A261" s="1">
        <v>40664</v>
      </c>
      <c r="B261" s="33">
        <v>98.8</v>
      </c>
      <c r="C261" s="107">
        <v>1.03</v>
      </c>
      <c r="D261" s="33">
        <v>1.25</v>
      </c>
      <c r="E261" s="33">
        <v>1.31</v>
      </c>
      <c r="F261" s="33">
        <v>2.2400000000000002</v>
      </c>
      <c r="G261" s="33">
        <v>2.71</v>
      </c>
      <c r="H261" s="33">
        <v>3.06</v>
      </c>
      <c r="I261" s="33">
        <f t="shared" si="48"/>
        <v>2.0300000000000002</v>
      </c>
      <c r="J261" s="33">
        <f t="shared" si="49"/>
        <v>1.81</v>
      </c>
      <c r="K261" s="33">
        <f t="shared" si="50"/>
        <v>1.75</v>
      </c>
      <c r="L261" s="33">
        <f t="shared" si="51"/>
        <v>0.21999999999999997</v>
      </c>
      <c r="M261" s="33">
        <v>99.1</v>
      </c>
      <c r="N261" s="33">
        <v>7527.64</v>
      </c>
      <c r="O261" s="33">
        <v>17.600000000000001</v>
      </c>
      <c r="P261" s="33">
        <v>1118.3</v>
      </c>
      <c r="Q261" s="34">
        <f t="shared" si="43"/>
        <v>12.621896162528216</v>
      </c>
      <c r="R261" s="60">
        <v>1981.1</v>
      </c>
      <c r="S261" s="34">
        <f t="shared" si="44"/>
        <v>2236.0045146726861</v>
      </c>
      <c r="T261" s="60">
        <v>2025.9</v>
      </c>
      <c r="U261" s="34">
        <f t="shared" si="45"/>
        <v>2286.5688487584653</v>
      </c>
      <c r="V261" s="116">
        <v>298925</v>
      </c>
      <c r="W261" s="116">
        <v>4710610</v>
      </c>
      <c r="X261" s="117">
        <v>8480338</v>
      </c>
      <c r="Y261" s="117">
        <v>888779</v>
      </c>
      <c r="Z261" s="33">
        <v>97.9</v>
      </c>
      <c r="AA261" s="33">
        <v>90.2</v>
      </c>
      <c r="AB261" s="33">
        <v>81.7</v>
      </c>
      <c r="AC261" s="33">
        <v>89.8</v>
      </c>
      <c r="AD261" s="33">
        <v>41512</v>
      </c>
      <c r="AE261" s="33">
        <v>7.1</v>
      </c>
      <c r="AF261" s="33">
        <v>460</v>
      </c>
      <c r="AG261" s="33">
        <v>90</v>
      </c>
      <c r="AH261" s="33">
        <v>88.6</v>
      </c>
      <c r="AI261" s="33">
        <v>97.3</v>
      </c>
      <c r="AJ261" s="33">
        <v>91.9</v>
      </c>
      <c r="AK261" s="33">
        <v>174.02477400000001</v>
      </c>
      <c r="AL261" s="33">
        <v>74.8</v>
      </c>
      <c r="AM261" s="123">
        <v>113.28340509014774</v>
      </c>
      <c r="AN261" s="123">
        <v>218.11944069025074</v>
      </c>
      <c r="AO261" s="123">
        <v>132.63400444656793</v>
      </c>
      <c r="AP261" s="33">
        <v>80.17</v>
      </c>
      <c r="AQ261" s="33">
        <f t="shared" si="47"/>
        <v>0.82394655704008224</v>
      </c>
      <c r="AR261" s="33">
        <v>105.3</v>
      </c>
      <c r="AS261" s="33">
        <v>103.4</v>
      </c>
      <c r="AT261" s="33">
        <v>107.2</v>
      </c>
      <c r="AU261" s="33">
        <v>106.6</v>
      </c>
      <c r="AV261" s="65">
        <v>104</v>
      </c>
      <c r="AW261" s="33">
        <v>109.3</v>
      </c>
      <c r="AX261" s="33">
        <v>33.5</v>
      </c>
      <c r="AY261" s="33">
        <v>21.3</v>
      </c>
      <c r="AZ261" s="33">
        <v>28.7</v>
      </c>
      <c r="BA261" s="33">
        <v>16.100000000000001</v>
      </c>
      <c r="BB261" s="33">
        <v>107.5</v>
      </c>
      <c r="BC261" s="33">
        <v>107.2</v>
      </c>
      <c r="BD261" s="33">
        <v>107.8</v>
      </c>
      <c r="BE261" s="33">
        <v>91.5</v>
      </c>
      <c r="BF261" s="33">
        <v>3.1</v>
      </c>
      <c r="BG261" s="33">
        <v>46.1</v>
      </c>
      <c r="BH261" s="33">
        <v>124</v>
      </c>
      <c r="BI261" s="33">
        <v>0.5</v>
      </c>
      <c r="BJ261" s="34">
        <v>57.730000000000004</v>
      </c>
      <c r="BK261" s="45">
        <v>4.9198666894963594</v>
      </c>
      <c r="BL261" s="33">
        <v>0.52700000000000002</v>
      </c>
      <c r="BM261" s="33">
        <v>102.0204</v>
      </c>
      <c r="BN261" s="33">
        <v>101.7373</v>
      </c>
      <c r="BO261" s="33">
        <v>11.8</v>
      </c>
      <c r="BP261" s="33">
        <v>5.7</v>
      </c>
      <c r="BQ261" s="33">
        <v>-4.3</v>
      </c>
      <c r="BR261" s="33">
        <v>16</v>
      </c>
      <c r="BS261" s="33">
        <v>20.6</v>
      </c>
      <c r="BT261" s="33">
        <v>14</v>
      </c>
      <c r="BU261" s="33">
        <v>10.7</v>
      </c>
      <c r="BV261" s="33">
        <v>19.100000000000001</v>
      </c>
      <c r="BW261" s="33">
        <v>-1.4</v>
      </c>
      <c r="BX261" s="33">
        <v>5</v>
      </c>
      <c r="BY261" s="33">
        <v>-7.6</v>
      </c>
      <c r="BZ261" s="33">
        <v>111.5</v>
      </c>
      <c r="CA261" s="33">
        <v>-1.4</v>
      </c>
      <c r="CB261" s="33">
        <v>3.8</v>
      </c>
      <c r="CC261" s="33">
        <v>4.5</v>
      </c>
      <c r="CD261" s="33">
        <v>9.1999999999999993</v>
      </c>
      <c r="CE261" s="33">
        <v>-3.6</v>
      </c>
      <c r="CF261" s="33">
        <v>44.1</v>
      </c>
      <c r="CG261" s="33">
        <v>43.3</v>
      </c>
      <c r="CH261" s="33">
        <v>-1.9</v>
      </c>
      <c r="CI261" s="33">
        <v>-3.6</v>
      </c>
      <c r="CJ261" s="33">
        <v>-10.4</v>
      </c>
      <c r="CK261" s="33">
        <v>8.9</v>
      </c>
      <c r="CL261" s="33">
        <v>26.4</v>
      </c>
      <c r="CM261" s="33">
        <v>2885.7684089999998</v>
      </c>
      <c r="CN261" s="33">
        <v>12807.36</v>
      </c>
      <c r="CO261" s="33">
        <v>1338.3104760000001</v>
      </c>
      <c r="CP261" s="33">
        <v>3.4809999999999999</v>
      </c>
      <c r="CQ261" s="33">
        <v>3.31</v>
      </c>
      <c r="CR261" s="33">
        <v>69.5</v>
      </c>
      <c r="CS261" s="64">
        <v>38.28</v>
      </c>
      <c r="CT261" s="33">
        <v>105</v>
      </c>
      <c r="CU261" s="33">
        <v>90.6</v>
      </c>
      <c r="CV261" s="33">
        <v>101.2</v>
      </c>
      <c r="CW261" s="33">
        <v>96.1</v>
      </c>
      <c r="CX261" s="33">
        <v>95.4</v>
      </c>
      <c r="CY261" s="33">
        <v>6.03</v>
      </c>
      <c r="CZ261" s="33">
        <v>49273.796999999999</v>
      </c>
      <c r="DA261" s="33">
        <v>4.33</v>
      </c>
      <c r="DB261" s="33">
        <v>27.97</v>
      </c>
      <c r="DC261" s="33">
        <v>46.44</v>
      </c>
      <c r="DD261" s="33">
        <v>15.36</v>
      </c>
      <c r="DE261" s="33">
        <v>14417.868</v>
      </c>
      <c r="DF261" s="33">
        <v>2244.768</v>
      </c>
      <c r="DG261" s="33">
        <v>2997.5340000000001</v>
      </c>
      <c r="DH261" s="33">
        <v>1130.431</v>
      </c>
      <c r="DI261" s="33">
        <v>5844.6629999999996</v>
      </c>
      <c r="DJ261" s="33">
        <v>100.8038</v>
      </c>
      <c r="DK261" s="33">
        <v>101.0432</v>
      </c>
      <c r="DL261" s="33">
        <v>100.95</v>
      </c>
      <c r="DM261" s="33">
        <v>101.21420000000001</v>
      </c>
      <c r="DN261" s="33">
        <v>101.7373</v>
      </c>
      <c r="DO261" s="33">
        <v>102.0204</v>
      </c>
      <c r="DP261" s="33">
        <v>100.0489</v>
      </c>
      <c r="DQ261" s="33">
        <v>100.0534</v>
      </c>
      <c r="DR261" s="33">
        <v>106721</v>
      </c>
      <c r="DS261" s="73">
        <v>28646</v>
      </c>
      <c r="DT261" s="73">
        <v>102.2</v>
      </c>
      <c r="DU261">
        <v>134.21507263183594</v>
      </c>
      <c r="DV261">
        <v>93.211036682128906</v>
      </c>
      <c r="DW261">
        <v>1269</v>
      </c>
      <c r="DX261">
        <v>463800</v>
      </c>
      <c r="DY261">
        <v>80.099999999999994</v>
      </c>
      <c r="DZ261" t="s">
        <v>312</v>
      </c>
    </row>
    <row r="262" spans="1:130" s="56" customFormat="1" x14ac:dyDescent="0.25">
      <c r="A262" s="1">
        <v>40695</v>
      </c>
      <c r="B262" s="60">
        <v>97.4</v>
      </c>
      <c r="C262" s="109">
        <v>1.1200000000000001</v>
      </c>
      <c r="D262" s="60">
        <v>1.25</v>
      </c>
      <c r="E262" s="60">
        <v>1.41</v>
      </c>
      <c r="F262" s="60">
        <v>1.98</v>
      </c>
      <c r="G262" s="60">
        <v>2.4700000000000002</v>
      </c>
      <c r="H262" s="60">
        <v>2.89</v>
      </c>
      <c r="I262" s="60">
        <f t="shared" si="48"/>
        <v>1.77</v>
      </c>
      <c r="J262" s="60">
        <f t="shared" si="49"/>
        <v>1.6400000000000001</v>
      </c>
      <c r="K262" s="60">
        <f t="shared" si="50"/>
        <v>1.4800000000000002</v>
      </c>
      <c r="L262" s="60">
        <f t="shared" si="51"/>
        <v>0.12999999999999989</v>
      </c>
      <c r="M262" s="60">
        <v>98.9</v>
      </c>
      <c r="N262" s="60">
        <v>7217.43</v>
      </c>
      <c r="O262" s="60">
        <v>19.09</v>
      </c>
      <c r="P262" s="33">
        <v>1126.9000000000001</v>
      </c>
      <c r="Q262" s="34">
        <f t="shared" si="43"/>
        <v>12.733333333333334</v>
      </c>
      <c r="R262" s="60">
        <v>1990.4</v>
      </c>
      <c r="S262" s="34">
        <f t="shared" si="44"/>
        <v>2249.0395480225989</v>
      </c>
      <c r="T262" s="60">
        <v>2036.9</v>
      </c>
      <c r="U262" s="34">
        <f t="shared" si="45"/>
        <v>2301.5819209039551</v>
      </c>
      <c r="V262" s="116">
        <v>295101</v>
      </c>
      <c r="W262" s="116">
        <v>4728150</v>
      </c>
      <c r="X262" s="117">
        <v>8495988</v>
      </c>
      <c r="Y262" s="117">
        <v>890886</v>
      </c>
      <c r="Z262" s="60">
        <v>97.5</v>
      </c>
      <c r="AA262" s="60">
        <v>89.7</v>
      </c>
      <c r="AB262" s="60">
        <v>80.099999999999994</v>
      </c>
      <c r="AC262" s="60">
        <v>90.6</v>
      </c>
      <c r="AD262" s="60">
        <v>41567</v>
      </c>
      <c r="AE262" s="60">
        <v>7</v>
      </c>
      <c r="AF262" s="60">
        <v>465</v>
      </c>
      <c r="AG262" s="60">
        <v>89.9</v>
      </c>
      <c r="AH262" s="60">
        <v>88.5</v>
      </c>
      <c r="AI262" s="33">
        <v>97</v>
      </c>
      <c r="AJ262" s="33">
        <v>92</v>
      </c>
      <c r="AK262" s="33">
        <v>174.220088</v>
      </c>
      <c r="AL262" s="60">
        <v>74.400000000000006</v>
      </c>
      <c r="AM262" s="123">
        <v>109.86585429365961</v>
      </c>
      <c r="AN262" s="123">
        <v>215.9740035687073</v>
      </c>
      <c r="AO262" s="123">
        <v>132.63400444656793</v>
      </c>
      <c r="AP262" s="33">
        <v>79.430000000000007</v>
      </c>
      <c r="AQ262" s="60">
        <f t="shared" si="47"/>
        <v>0.81886597938144334</v>
      </c>
      <c r="AR262" s="60">
        <v>105.3</v>
      </c>
      <c r="AS262" s="60">
        <v>103.4</v>
      </c>
      <c r="AT262" s="60">
        <v>107.1</v>
      </c>
      <c r="AU262" s="60">
        <v>106.3</v>
      </c>
      <c r="AV262" s="67">
        <v>103.3</v>
      </c>
      <c r="AW262" s="60">
        <v>109.3</v>
      </c>
      <c r="AX262" s="60">
        <v>36.299999999999997</v>
      </c>
      <c r="AY262" s="60">
        <v>18.3</v>
      </c>
      <c r="AZ262" s="60">
        <v>28.1</v>
      </c>
      <c r="BA262" s="60">
        <v>14.6</v>
      </c>
      <c r="BB262" s="60">
        <v>107.7</v>
      </c>
      <c r="BC262" s="60">
        <v>106.3</v>
      </c>
      <c r="BD262" s="60">
        <v>109.1</v>
      </c>
      <c r="BE262" s="60">
        <v>87.6</v>
      </c>
      <c r="BF262" s="60">
        <v>-9</v>
      </c>
      <c r="BG262" s="60">
        <v>50.3</v>
      </c>
      <c r="BH262" s="60">
        <v>124.4</v>
      </c>
      <c r="BI262" s="60">
        <v>1.2</v>
      </c>
      <c r="BJ262" s="34">
        <v>54.6</v>
      </c>
      <c r="BK262" s="55">
        <v>-0.92742373283789803</v>
      </c>
      <c r="BL262" s="60">
        <v>0.38600000000000001</v>
      </c>
      <c r="BM262" s="60">
        <v>101.642</v>
      </c>
      <c r="BN262" s="60">
        <v>101.4122</v>
      </c>
      <c r="BO262" s="60">
        <v>12.3</v>
      </c>
      <c r="BP262" s="60">
        <v>5.2</v>
      </c>
      <c r="BQ262" s="60">
        <v>-3.1</v>
      </c>
      <c r="BR262" s="60">
        <v>13.1</v>
      </c>
      <c r="BS262" s="60">
        <v>18.2</v>
      </c>
      <c r="BT262" s="60">
        <v>12.2</v>
      </c>
      <c r="BU262" s="60">
        <v>9.5</v>
      </c>
      <c r="BV262" s="60">
        <v>19.399999999999999</v>
      </c>
      <c r="BW262" s="60">
        <v>-0.5</v>
      </c>
      <c r="BX262" s="60">
        <v>1.7</v>
      </c>
      <c r="BY262" s="60">
        <v>-6.7</v>
      </c>
      <c r="BZ262" s="60">
        <v>111.2</v>
      </c>
      <c r="CA262" s="60">
        <v>-0.5</v>
      </c>
      <c r="CB262" s="60">
        <v>3.3</v>
      </c>
      <c r="CC262" s="60">
        <v>7.5</v>
      </c>
      <c r="CD262" s="60">
        <v>7.8</v>
      </c>
      <c r="CE262" s="60">
        <v>-4.2</v>
      </c>
      <c r="CF262" s="60">
        <v>42.4</v>
      </c>
      <c r="CG262" s="60">
        <v>41.1</v>
      </c>
      <c r="CH262" s="60">
        <v>-1.1000000000000001</v>
      </c>
      <c r="CI262" s="60">
        <v>-2.5</v>
      </c>
      <c r="CJ262" s="60">
        <v>-8.6999999999999993</v>
      </c>
      <c r="CK262" s="60">
        <v>9.1999999999999993</v>
      </c>
      <c r="CL262" s="60">
        <v>26.2</v>
      </c>
      <c r="CM262" s="60">
        <v>2766.606045</v>
      </c>
      <c r="CN262" s="60">
        <v>12290.14</v>
      </c>
      <c r="CO262" s="60">
        <v>1287.288636</v>
      </c>
      <c r="CP262" s="60">
        <v>3.2610000000000001</v>
      </c>
      <c r="CQ262" s="60">
        <v>2.96</v>
      </c>
      <c r="CR262" s="60">
        <v>64.7</v>
      </c>
      <c r="CS262" s="64">
        <v>38.42</v>
      </c>
      <c r="CT262" s="60">
        <v>105.8</v>
      </c>
      <c r="CU262" s="60">
        <v>92.5</v>
      </c>
      <c r="CV262" s="60">
        <v>100.7</v>
      </c>
      <c r="CW262" s="60">
        <v>95.2</v>
      </c>
      <c r="CX262" s="60">
        <v>95.8</v>
      </c>
      <c r="CY262" s="60">
        <v>6.1</v>
      </c>
      <c r="CZ262" s="60">
        <v>48660.684999999998</v>
      </c>
      <c r="DA262" s="60">
        <v>3.86</v>
      </c>
      <c r="DB262" s="60">
        <v>30.16</v>
      </c>
      <c r="DC262" s="60">
        <v>48.29</v>
      </c>
      <c r="DD262" s="60">
        <v>15.29</v>
      </c>
      <c r="DE262" s="60">
        <v>12871.98</v>
      </c>
      <c r="DF262" s="60">
        <v>2014.528</v>
      </c>
      <c r="DG262" s="60">
        <v>2796.8270000000002</v>
      </c>
      <c r="DH262" s="60">
        <v>1129.643</v>
      </c>
      <c r="DI262" s="60">
        <v>5153.9189999999999</v>
      </c>
      <c r="DJ262" s="60">
        <v>100.7047</v>
      </c>
      <c r="DK262" s="60">
        <v>100.91889999999999</v>
      </c>
      <c r="DL262" s="60">
        <v>100.87</v>
      </c>
      <c r="DM262" s="60">
        <v>101.1056</v>
      </c>
      <c r="DN262" s="60">
        <v>101.4122</v>
      </c>
      <c r="DO262" s="60">
        <v>101.642</v>
      </c>
      <c r="DP262" s="60">
        <v>99.805000000000007</v>
      </c>
      <c r="DQ262" s="60">
        <v>99.7851</v>
      </c>
      <c r="DR262" s="60">
        <v>96213</v>
      </c>
      <c r="DS262" s="73">
        <v>28704</v>
      </c>
      <c r="DT262" s="73">
        <v>101.9</v>
      </c>
      <c r="DU262">
        <v>168.29588317871094</v>
      </c>
      <c r="DV262">
        <v>172.59469604492188</v>
      </c>
      <c r="DW262">
        <v>1485</v>
      </c>
      <c r="DX262">
        <v>473500</v>
      </c>
      <c r="DY262">
        <v>80.400000000000006</v>
      </c>
      <c r="DZ262" t="s">
        <v>312</v>
      </c>
    </row>
    <row r="263" spans="1:130" x14ac:dyDescent="0.25">
      <c r="A263" s="1">
        <v>40725</v>
      </c>
      <c r="B263" s="63">
        <v>100.3</v>
      </c>
      <c r="C263" s="108">
        <v>1.01</v>
      </c>
      <c r="D263" s="63">
        <v>1.5</v>
      </c>
      <c r="E263" s="63">
        <v>1.5</v>
      </c>
      <c r="F263" s="63">
        <v>1.84</v>
      </c>
      <c r="G263" s="63">
        <v>2.36</v>
      </c>
      <c r="H263" s="63">
        <v>2.74</v>
      </c>
      <c r="I263" s="63">
        <f t="shared" si="48"/>
        <v>1.7300000000000002</v>
      </c>
      <c r="J263" s="63">
        <f t="shared" si="49"/>
        <v>1.2400000000000002</v>
      </c>
      <c r="K263" s="63">
        <f t="shared" si="50"/>
        <v>1.2400000000000002</v>
      </c>
      <c r="L263" s="63">
        <f t="shared" si="51"/>
        <v>0.49</v>
      </c>
      <c r="M263" s="63">
        <v>98.6</v>
      </c>
      <c r="N263" s="63">
        <v>7419.44</v>
      </c>
      <c r="O263" s="63">
        <v>16.850000000000001</v>
      </c>
      <c r="P263" s="33">
        <v>1129.3</v>
      </c>
      <c r="Q263" s="34">
        <f t="shared" si="43"/>
        <v>12.74604966139955</v>
      </c>
      <c r="R263" s="60">
        <v>2003.6</v>
      </c>
      <c r="S263" s="34">
        <f t="shared" si="44"/>
        <v>2261.3995485327314</v>
      </c>
      <c r="T263" s="60">
        <v>2050.1</v>
      </c>
      <c r="U263" s="34">
        <f t="shared" si="45"/>
        <v>2313.8826185101584</v>
      </c>
      <c r="V263" s="116">
        <v>296532</v>
      </c>
      <c r="W263" s="116">
        <v>4730745</v>
      </c>
      <c r="X263" s="117">
        <v>8509521</v>
      </c>
      <c r="Y263" s="117">
        <v>881216</v>
      </c>
      <c r="Z263" s="63">
        <v>99.2</v>
      </c>
      <c r="AA263" s="63">
        <v>87.7</v>
      </c>
      <c r="AB263" s="63">
        <v>84.8</v>
      </c>
      <c r="AC263" s="63">
        <v>84.9</v>
      </c>
      <c r="AD263" s="63">
        <v>41573</v>
      </c>
      <c r="AE263" s="63">
        <v>7</v>
      </c>
      <c r="AF263" s="63">
        <v>470</v>
      </c>
      <c r="AG263" s="63">
        <v>90</v>
      </c>
      <c r="AH263" s="63">
        <v>88.6</v>
      </c>
      <c r="AI263" s="33">
        <v>97.7</v>
      </c>
      <c r="AJ263" s="33">
        <v>92.2</v>
      </c>
      <c r="AK263" s="33">
        <v>175.00134399999999</v>
      </c>
      <c r="AL263" s="63">
        <v>94.8</v>
      </c>
      <c r="AM263" s="123">
        <v>104.00853171796376</v>
      </c>
      <c r="AN263" s="123">
        <v>220.5041899850265</v>
      </c>
      <c r="AO263" s="123">
        <v>127.09888457596311</v>
      </c>
      <c r="AP263" s="33">
        <v>82.3</v>
      </c>
      <c r="AQ263" s="63">
        <f t="shared" si="47"/>
        <v>0.84237461617195486</v>
      </c>
      <c r="AR263" s="63">
        <v>104.6</v>
      </c>
      <c r="AS263" s="63">
        <v>102.2</v>
      </c>
      <c r="AT263" s="63">
        <v>107</v>
      </c>
      <c r="AU263" s="63">
        <v>105</v>
      </c>
      <c r="AV263" s="66">
        <v>101.1</v>
      </c>
      <c r="AW263" s="63">
        <v>109</v>
      </c>
      <c r="AX263" s="63">
        <v>32.299999999999997</v>
      </c>
      <c r="AY263" s="63">
        <v>14.2</v>
      </c>
      <c r="AZ263" s="63">
        <v>26</v>
      </c>
      <c r="BA263" s="63">
        <v>10.6</v>
      </c>
      <c r="BB263" s="63">
        <v>105.9</v>
      </c>
      <c r="BC263" s="63">
        <v>104</v>
      </c>
      <c r="BD263" s="63">
        <v>107.8</v>
      </c>
      <c r="BE263" s="63">
        <v>90.6</v>
      </c>
      <c r="BF263" s="63">
        <v>-15.1</v>
      </c>
      <c r="BG263" s="63">
        <v>44.6</v>
      </c>
      <c r="BH263" s="63">
        <v>131.69999999999999</v>
      </c>
      <c r="BI263" s="63">
        <v>2.1</v>
      </c>
      <c r="BJ263" s="34">
        <v>51.99</v>
      </c>
      <c r="BK263" s="45">
        <v>-6.5911389506251155</v>
      </c>
      <c r="BL263" s="63">
        <v>0.23300000000000001</v>
      </c>
      <c r="BM263" s="63">
        <v>101.21639999999999</v>
      </c>
      <c r="BN263" s="63">
        <v>101.04649999999999</v>
      </c>
      <c r="BO263" s="63">
        <v>10.5</v>
      </c>
      <c r="BP263" s="63">
        <v>4.5999999999999996</v>
      </c>
      <c r="BQ263" s="63">
        <v>-2.2000000000000002</v>
      </c>
      <c r="BR263" s="63">
        <v>11.2</v>
      </c>
      <c r="BS263" s="63">
        <v>15</v>
      </c>
      <c r="BT263" s="63">
        <v>11.9</v>
      </c>
      <c r="BU263" s="63">
        <v>8</v>
      </c>
      <c r="BV263" s="63">
        <v>19.2</v>
      </c>
      <c r="BW263" s="63">
        <v>-0.9</v>
      </c>
      <c r="BX263" s="63">
        <v>-1.4</v>
      </c>
      <c r="BY263" s="63">
        <v>-7.1</v>
      </c>
      <c r="BZ263" s="63">
        <v>110.4</v>
      </c>
      <c r="CA263" s="63">
        <v>-0.9</v>
      </c>
      <c r="CB263" s="63">
        <v>4</v>
      </c>
      <c r="CC263" s="63">
        <v>5.8</v>
      </c>
      <c r="CD263" s="63">
        <v>10</v>
      </c>
      <c r="CE263" s="63">
        <v>-5.9</v>
      </c>
      <c r="CF263" s="63">
        <v>39.9</v>
      </c>
      <c r="CG263" s="63">
        <v>40.200000000000003</v>
      </c>
      <c r="CH263" s="63">
        <v>1.9</v>
      </c>
      <c r="CI263" s="63">
        <v>-2.4</v>
      </c>
      <c r="CJ263" s="63">
        <v>-7.3</v>
      </c>
      <c r="CK263" s="63">
        <v>9.4</v>
      </c>
      <c r="CL263" s="63">
        <v>26.4</v>
      </c>
      <c r="CM263" s="63">
        <v>2743.4609519999999</v>
      </c>
      <c r="CN263" s="63">
        <v>12582.77</v>
      </c>
      <c r="CO263" s="63">
        <v>1325.1845000000001</v>
      </c>
      <c r="CP263" s="63">
        <v>3.395</v>
      </c>
      <c r="CQ263" s="63">
        <v>3.22</v>
      </c>
      <c r="CR263" s="63">
        <v>55.9</v>
      </c>
      <c r="CS263" s="64">
        <v>38.58</v>
      </c>
      <c r="CT263" s="63">
        <v>103</v>
      </c>
      <c r="CU263" s="63">
        <v>90.1</v>
      </c>
      <c r="CV263" s="63">
        <v>101.4</v>
      </c>
      <c r="CW263" s="63">
        <v>97.9</v>
      </c>
      <c r="CX263" s="63">
        <v>93.3</v>
      </c>
      <c r="CY263" s="63">
        <v>6.15</v>
      </c>
      <c r="CZ263" s="63">
        <v>44204.559000000001</v>
      </c>
      <c r="DA263" s="63">
        <v>3.79</v>
      </c>
      <c r="DB263" s="63">
        <v>28.07</v>
      </c>
      <c r="DC263" s="63">
        <v>46.35</v>
      </c>
      <c r="DD263" s="63">
        <v>15.64</v>
      </c>
      <c r="DE263" s="63">
        <v>13882.593999999999</v>
      </c>
      <c r="DF263" s="63">
        <v>2211.306</v>
      </c>
      <c r="DG263" s="63">
        <v>2837.9580000000001</v>
      </c>
      <c r="DH263" s="63">
        <v>1288.261</v>
      </c>
      <c r="DI263" s="63">
        <v>5410.03</v>
      </c>
      <c r="DJ263" s="63">
        <v>100.5805</v>
      </c>
      <c r="DK263" s="63">
        <v>100.7623</v>
      </c>
      <c r="DL263" s="63">
        <v>100.73</v>
      </c>
      <c r="DM263" s="63">
        <v>100.9324</v>
      </c>
      <c r="DN263" s="63">
        <v>101.04649999999999</v>
      </c>
      <c r="DO263" s="63">
        <v>101.21639999999999</v>
      </c>
      <c r="DP263" s="63">
        <v>99.544899999999998</v>
      </c>
      <c r="DQ263" s="63">
        <v>99.498999999999995</v>
      </c>
      <c r="DR263" s="63">
        <v>67917</v>
      </c>
      <c r="DS263" s="73">
        <v>28739</v>
      </c>
      <c r="DT263" s="73">
        <v>101.8</v>
      </c>
      <c r="DU263">
        <v>183.40234375</v>
      </c>
      <c r="DV263">
        <v>184.01229858398438</v>
      </c>
      <c r="DW263">
        <v>1422</v>
      </c>
      <c r="DX263">
        <v>462725</v>
      </c>
      <c r="DY263">
        <v>81.099999999999994</v>
      </c>
      <c r="DZ263" t="s">
        <v>312</v>
      </c>
    </row>
    <row r="264" spans="1:130" x14ac:dyDescent="0.25">
      <c r="A264" s="1">
        <v>40756</v>
      </c>
      <c r="B264" s="33">
        <v>99.7</v>
      </c>
      <c r="C264" s="107">
        <v>0.91</v>
      </c>
      <c r="D264" s="33">
        <v>1.5</v>
      </c>
      <c r="E264" s="33">
        <v>1.55</v>
      </c>
      <c r="F264" s="33">
        <v>1.22</v>
      </c>
      <c r="G264" s="33">
        <v>1.78</v>
      </c>
      <c r="H264" s="33">
        <v>2.21</v>
      </c>
      <c r="I264" s="33">
        <f t="shared" si="48"/>
        <v>1.2999999999999998</v>
      </c>
      <c r="J264" s="33">
        <f t="shared" si="49"/>
        <v>0.71</v>
      </c>
      <c r="K264" s="33">
        <f t="shared" si="50"/>
        <v>0.65999999999999992</v>
      </c>
      <c r="L264" s="33">
        <f t="shared" si="51"/>
        <v>0.59</v>
      </c>
      <c r="M264" s="33">
        <v>98</v>
      </c>
      <c r="N264" s="33">
        <v>6953.98</v>
      </c>
      <c r="O264" s="33">
        <v>24.37</v>
      </c>
      <c r="P264" s="33">
        <v>1141.4000000000001</v>
      </c>
      <c r="Q264" s="34">
        <f t="shared" si="43"/>
        <v>12.853603603603606</v>
      </c>
      <c r="R264" s="60">
        <v>2019.8</v>
      </c>
      <c r="S264" s="34">
        <f t="shared" si="44"/>
        <v>2274.5495495495497</v>
      </c>
      <c r="T264" s="60">
        <v>2069.3000000000002</v>
      </c>
      <c r="U264" s="34">
        <f t="shared" si="45"/>
        <v>2330.2927927927931</v>
      </c>
      <c r="V264" s="116">
        <v>329951</v>
      </c>
      <c r="W264" s="116">
        <v>4764855</v>
      </c>
      <c r="X264" s="117">
        <v>8558299</v>
      </c>
      <c r="Y264" s="117">
        <v>903309</v>
      </c>
      <c r="Z264" s="33">
        <v>99.2</v>
      </c>
      <c r="AA264" s="33">
        <v>87.4</v>
      </c>
      <c r="AB264" s="33">
        <v>80.8</v>
      </c>
      <c r="AC264" s="33">
        <v>85.1</v>
      </c>
      <c r="AD264" s="33">
        <v>41645</v>
      </c>
      <c r="AE264" s="33">
        <v>7</v>
      </c>
      <c r="AF264" s="33">
        <v>476</v>
      </c>
      <c r="AG264" s="33">
        <v>90.1</v>
      </c>
      <c r="AH264" s="33">
        <v>88.8</v>
      </c>
      <c r="AI264" s="33">
        <v>97.1</v>
      </c>
      <c r="AJ264" s="33">
        <v>92</v>
      </c>
      <c r="AK264" s="33">
        <v>174.610716</v>
      </c>
      <c r="AL264" s="33">
        <v>74.8</v>
      </c>
      <c r="AM264" s="123">
        <v>107.67164975191052</v>
      </c>
      <c r="AN264" s="123">
        <v>208.59032320992762</v>
      </c>
      <c r="AO264" s="123">
        <v>130.69178590673238</v>
      </c>
      <c r="AP264" s="33">
        <v>77.05</v>
      </c>
      <c r="AQ264" s="33">
        <f t="shared" si="47"/>
        <v>0.7935118434603502</v>
      </c>
      <c r="AR264" s="33">
        <v>101.4</v>
      </c>
      <c r="AS264" s="33">
        <v>97.7</v>
      </c>
      <c r="AT264" s="33">
        <v>105.2</v>
      </c>
      <c r="AU264" s="33">
        <v>102</v>
      </c>
      <c r="AV264" s="65">
        <v>96.9</v>
      </c>
      <c r="AW264" s="33">
        <v>107.4</v>
      </c>
      <c r="AX264" s="33">
        <v>24.4</v>
      </c>
      <c r="AY264" s="33">
        <v>14.3</v>
      </c>
      <c r="AZ264" s="33">
        <v>20.100000000000001</v>
      </c>
      <c r="BA264" s="33">
        <v>1.1000000000000001</v>
      </c>
      <c r="BB264" s="33">
        <v>101.6</v>
      </c>
      <c r="BC264" s="33">
        <v>99</v>
      </c>
      <c r="BD264" s="33">
        <v>104.3</v>
      </c>
      <c r="BE264" s="33">
        <v>53.5</v>
      </c>
      <c r="BF264" s="33">
        <v>-37.6</v>
      </c>
      <c r="BG264" s="33">
        <v>13.4</v>
      </c>
      <c r="BH264" s="33">
        <v>138</v>
      </c>
      <c r="BI264" s="33">
        <v>5.0999999999999996</v>
      </c>
      <c r="BJ264" s="34">
        <v>50.86</v>
      </c>
      <c r="BK264" s="45">
        <v>-7.5637693070554555</v>
      </c>
      <c r="BL264" s="33">
        <v>-1.9E-2</v>
      </c>
      <c r="BM264" s="33">
        <v>100.7856</v>
      </c>
      <c r="BN264" s="33">
        <v>100.6764</v>
      </c>
      <c r="BO264" s="33">
        <v>7.8</v>
      </c>
      <c r="BP264" s="33">
        <v>1.6</v>
      </c>
      <c r="BQ264" s="33">
        <v>0.5</v>
      </c>
      <c r="BR264" s="33">
        <v>7</v>
      </c>
      <c r="BS264" s="33">
        <v>11.5</v>
      </c>
      <c r="BT264" s="33">
        <v>6.4</v>
      </c>
      <c r="BU264" s="33">
        <v>4.8</v>
      </c>
      <c r="BV264" s="33">
        <v>15.1</v>
      </c>
      <c r="BW264" s="33">
        <v>-3.8</v>
      </c>
      <c r="BX264" s="33">
        <v>-5</v>
      </c>
      <c r="BY264" s="33">
        <v>-6.3</v>
      </c>
      <c r="BZ264" s="33">
        <v>106.7</v>
      </c>
      <c r="CA264" s="33">
        <v>-3.8</v>
      </c>
      <c r="CB264" s="33">
        <v>2.7</v>
      </c>
      <c r="CC264" s="33">
        <v>4.7</v>
      </c>
      <c r="CD264" s="33">
        <v>1.7</v>
      </c>
      <c r="CE264" s="33">
        <v>-13.6</v>
      </c>
      <c r="CF264" s="33">
        <v>39.1</v>
      </c>
      <c r="CG264" s="33">
        <v>40</v>
      </c>
      <c r="CH264" s="33">
        <v>7.1</v>
      </c>
      <c r="CI264" s="33">
        <v>-2</v>
      </c>
      <c r="CJ264" s="33">
        <v>-9</v>
      </c>
      <c r="CK264" s="33">
        <v>8.1</v>
      </c>
      <c r="CL264" s="33">
        <v>25.8</v>
      </c>
      <c r="CM264" s="33">
        <v>2297.2124349999999</v>
      </c>
      <c r="CN264" s="33">
        <v>12132.49</v>
      </c>
      <c r="CO264" s="33">
        <v>1185.305652</v>
      </c>
      <c r="CP264" s="33">
        <v>3.01</v>
      </c>
      <c r="CQ264" s="33">
        <v>2.77</v>
      </c>
      <c r="CR264" s="33">
        <v>47.6</v>
      </c>
      <c r="CS264" s="64">
        <v>36.6</v>
      </c>
      <c r="CT264" s="33">
        <v>96.8</v>
      </c>
      <c r="CU264" s="33">
        <v>91.4</v>
      </c>
      <c r="CV264" s="33">
        <v>98.1</v>
      </c>
      <c r="CW264" s="33">
        <v>95.5</v>
      </c>
      <c r="CX264" s="33">
        <v>92.2</v>
      </c>
      <c r="CY264" s="33">
        <v>6.15</v>
      </c>
      <c r="CZ264" s="33">
        <v>43498.069000000003</v>
      </c>
      <c r="DA264" s="33">
        <v>4.01</v>
      </c>
      <c r="DB264" s="33">
        <v>28.47</v>
      </c>
      <c r="DC264" s="33">
        <v>47.36</v>
      </c>
      <c r="DD264" s="33">
        <v>16.13</v>
      </c>
      <c r="DE264" s="33">
        <v>13951.619000000001</v>
      </c>
      <c r="DF264" s="33">
        <v>2263.6439999999998</v>
      </c>
      <c r="DG264" s="33">
        <v>3280.6030000000001</v>
      </c>
      <c r="DH264" s="33">
        <v>1250.873</v>
      </c>
      <c r="DI264" s="33">
        <v>5466.6260000000002</v>
      </c>
      <c r="DJ264" s="33">
        <v>100.43389999999999</v>
      </c>
      <c r="DK264" s="33">
        <v>100.5771</v>
      </c>
      <c r="DL264" s="33">
        <v>100.56</v>
      </c>
      <c r="DM264" s="33">
        <v>100.7093</v>
      </c>
      <c r="DN264" s="33">
        <v>100.6764</v>
      </c>
      <c r="DO264" s="33">
        <v>100.7856</v>
      </c>
      <c r="DP264" s="33">
        <v>99.328199999999995</v>
      </c>
      <c r="DQ264" s="33">
        <v>99.2607</v>
      </c>
      <c r="DR264" s="33">
        <v>59269</v>
      </c>
      <c r="DS264" s="73">
        <v>28818</v>
      </c>
      <c r="DT264" s="73">
        <v>100</v>
      </c>
      <c r="DU264">
        <v>230.29893493652344</v>
      </c>
      <c r="DV264">
        <v>280.61474609375</v>
      </c>
      <c r="DW264">
        <v>1256</v>
      </c>
      <c r="DX264">
        <v>465625</v>
      </c>
      <c r="DY264">
        <v>81.2</v>
      </c>
      <c r="DZ264" t="s">
        <v>312</v>
      </c>
    </row>
    <row r="265" spans="1:130" s="56" customFormat="1" x14ac:dyDescent="0.25">
      <c r="A265" s="1">
        <v>40787</v>
      </c>
      <c r="B265" s="60">
        <v>98.1</v>
      </c>
      <c r="C265" s="109">
        <v>1.01</v>
      </c>
      <c r="D265" s="60">
        <v>1.5</v>
      </c>
      <c r="E265" s="60">
        <v>1.56</v>
      </c>
      <c r="F265" s="60">
        <v>0.87</v>
      </c>
      <c r="G265" s="60">
        <v>1.38</v>
      </c>
      <c r="H265" s="60">
        <v>1.83</v>
      </c>
      <c r="I265" s="60">
        <f t="shared" si="48"/>
        <v>0.82000000000000006</v>
      </c>
      <c r="J265" s="60">
        <f t="shared" si="49"/>
        <v>0.33000000000000007</v>
      </c>
      <c r="K265" s="60">
        <f t="shared" si="50"/>
        <v>0.27</v>
      </c>
      <c r="L265" s="60">
        <f t="shared" si="51"/>
        <v>0.49</v>
      </c>
      <c r="M265" s="60">
        <v>97.7</v>
      </c>
      <c r="N265" s="60">
        <v>5730.63</v>
      </c>
      <c r="O265" s="60">
        <v>36.200000000000003</v>
      </c>
      <c r="P265" s="33">
        <v>1148</v>
      </c>
      <c r="Q265" s="34">
        <f t="shared" si="43"/>
        <v>12.898876404494382</v>
      </c>
      <c r="R265" s="60">
        <v>2040.9</v>
      </c>
      <c r="S265" s="34">
        <f t="shared" si="44"/>
        <v>2293.1460674157302</v>
      </c>
      <c r="T265" s="60">
        <v>2086.1999999999998</v>
      </c>
      <c r="U265" s="34">
        <f t="shared" si="45"/>
        <v>2344.0449438202245</v>
      </c>
      <c r="V265" s="116">
        <v>333984</v>
      </c>
      <c r="W265" s="116">
        <v>4774497</v>
      </c>
      <c r="X265" s="117">
        <v>8593759</v>
      </c>
      <c r="Y265" s="117">
        <v>900714</v>
      </c>
      <c r="Z265" s="60">
        <v>97.3</v>
      </c>
      <c r="AA265" s="60">
        <v>84.2</v>
      </c>
      <c r="AB265" s="60">
        <v>82.2</v>
      </c>
      <c r="AC265" s="60">
        <v>81.5</v>
      </c>
      <c r="AD265" s="60">
        <v>41684</v>
      </c>
      <c r="AE265" s="60">
        <v>6.9</v>
      </c>
      <c r="AF265" s="60">
        <v>483</v>
      </c>
      <c r="AG265" s="60">
        <v>90.4</v>
      </c>
      <c r="AH265" s="60">
        <v>89</v>
      </c>
      <c r="AI265" s="33">
        <v>97.5</v>
      </c>
      <c r="AJ265" s="33">
        <v>92.2</v>
      </c>
      <c r="AK265" s="33">
        <v>175.00134399999999</v>
      </c>
      <c r="AL265" s="60">
        <v>74.7</v>
      </c>
      <c r="AM265" s="123">
        <v>114.725999218415</v>
      </c>
      <c r="AN265" s="123">
        <v>232.61401491959813</v>
      </c>
      <c r="AO265" s="123">
        <v>132.46387791902706</v>
      </c>
      <c r="AP265" s="33">
        <v>81.37</v>
      </c>
      <c r="AQ265" s="60">
        <f t="shared" si="47"/>
        <v>0.83456410256410263</v>
      </c>
      <c r="AR265" s="60">
        <v>99.7</v>
      </c>
      <c r="AS265" s="60">
        <v>96</v>
      </c>
      <c r="AT265" s="60">
        <v>103.6</v>
      </c>
      <c r="AU265" s="60">
        <v>99.8</v>
      </c>
      <c r="AV265" s="67">
        <v>94.9</v>
      </c>
      <c r="AW265" s="60">
        <v>105</v>
      </c>
      <c r="AX265" s="60">
        <v>16.5</v>
      </c>
      <c r="AY265" s="60">
        <v>4.5999999999999996</v>
      </c>
      <c r="AZ265" s="60">
        <v>17.2</v>
      </c>
      <c r="BA265" s="60">
        <v>3.8</v>
      </c>
      <c r="BB265" s="60">
        <v>102.2</v>
      </c>
      <c r="BC265" s="60">
        <v>99.8</v>
      </c>
      <c r="BD265" s="60">
        <v>104.7</v>
      </c>
      <c r="BE265" s="60">
        <v>43.6</v>
      </c>
      <c r="BF265" s="60">
        <v>-43.3</v>
      </c>
      <c r="BG265" s="60">
        <v>4.8</v>
      </c>
      <c r="BH265" s="60">
        <v>144.5</v>
      </c>
      <c r="BI265" s="60">
        <v>4.3</v>
      </c>
      <c r="BJ265" s="34">
        <v>50.34</v>
      </c>
      <c r="BK265" s="55">
        <v>-3.8083407798010676</v>
      </c>
      <c r="BL265" s="60">
        <v>-0.30099999999999999</v>
      </c>
      <c r="BM265" s="60">
        <v>100.4109</v>
      </c>
      <c r="BN265" s="60">
        <v>100.3545</v>
      </c>
      <c r="BO265" s="60">
        <v>5.2</v>
      </c>
      <c r="BP265" s="60">
        <v>-0.8</v>
      </c>
      <c r="BQ265" s="60">
        <v>3.1</v>
      </c>
      <c r="BR265" s="60">
        <v>4.8</v>
      </c>
      <c r="BS265" s="60">
        <v>9.5</v>
      </c>
      <c r="BT265" s="60">
        <v>8.1</v>
      </c>
      <c r="BU265" s="60">
        <v>2.2999999999999998</v>
      </c>
      <c r="BV265" s="60">
        <v>12.1</v>
      </c>
      <c r="BW265" s="60">
        <v>-3</v>
      </c>
      <c r="BX265" s="60">
        <v>-6.8</v>
      </c>
      <c r="BY265" s="60">
        <v>-7.4</v>
      </c>
      <c r="BZ265" s="60">
        <v>104.9</v>
      </c>
      <c r="CA265" s="60">
        <v>-3</v>
      </c>
      <c r="CB265" s="60">
        <v>4.8</v>
      </c>
      <c r="CC265" s="60">
        <v>5.2</v>
      </c>
      <c r="CD265" s="60">
        <v>-1.9</v>
      </c>
      <c r="CE265" s="60">
        <v>-15.5</v>
      </c>
      <c r="CF265" s="60">
        <v>37.799999999999997</v>
      </c>
      <c r="CG265" s="60">
        <v>39.5</v>
      </c>
      <c r="CH265" s="60">
        <v>11.2</v>
      </c>
      <c r="CI265" s="60">
        <v>-4</v>
      </c>
      <c r="CJ265" s="60">
        <v>-6.5</v>
      </c>
      <c r="CK265" s="60">
        <v>8.1999999999999993</v>
      </c>
      <c r="CL265" s="60">
        <v>25.7</v>
      </c>
      <c r="CM265" s="60">
        <v>2124.313318</v>
      </c>
      <c r="CN265" s="60">
        <v>11493.57</v>
      </c>
      <c r="CO265" s="60">
        <v>1173.879048</v>
      </c>
      <c r="CP265" s="60">
        <v>2.7490000000000001</v>
      </c>
      <c r="CQ265" s="60">
        <v>2.15</v>
      </c>
      <c r="CR265" s="60">
        <v>49.4</v>
      </c>
      <c r="CS265" s="64">
        <v>39.729999999999997</v>
      </c>
      <c r="CT265" s="60">
        <v>94.3</v>
      </c>
      <c r="CU265" s="60">
        <v>87.7</v>
      </c>
      <c r="CV265" s="60">
        <v>97.9</v>
      </c>
      <c r="CW265" s="60">
        <v>91.3</v>
      </c>
      <c r="CX265" s="60">
        <v>91.1</v>
      </c>
      <c r="CY265" s="60">
        <v>6</v>
      </c>
      <c r="CZ265" s="60">
        <v>50838.588000000003</v>
      </c>
      <c r="DA265" s="60">
        <v>3.81</v>
      </c>
      <c r="DB265" s="60">
        <v>28.61</v>
      </c>
      <c r="DC265" s="60">
        <v>47.59</v>
      </c>
      <c r="DD265" s="60">
        <v>16.13</v>
      </c>
      <c r="DE265" s="60">
        <v>14591.523999999999</v>
      </c>
      <c r="DF265" s="60">
        <v>2363.1950000000002</v>
      </c>
      <c r="DG265" s="60">
        <v>3327.2730000000001</v>
      </c>
      <c r="DH265" s="60">
        <v>1497.579</v>
      </c>
      <c r="DI265" s="60">
        <v>5590.2479999999996</v>
      </c>
      <c r="DJ265" s="60">
        <v>100.2817</v>
      </c>
      <c r="DK265" s="60">
        <v>100.3848</v>
      </c>
      <c r="DL265" s="60">
        <v>100.37</v>
      </c>
      <c r="DM265" s="60">
        <v>100.46810000000001</v>
      </c>
      <c r="DN265" s="60">
        <v>100.3545</v>
      </c>
      <c r="DO265" s="60">
        <v>100.4109</v>
      </c>
      <c r="DP265" s="60">
        <v>99.215800000000002</v>
      </c>
      <c r="DQ265" s="60">
        <v>99.137</v>
      </c>
      <c r="DR265" s="60">
        <v>64629</v>
      </c>
      <c r="DS265" s="73">
        <v>28873</v>
      </c>
      <c r="DT265" s="73">
        <v>100.2</v>
      </c>
      <c r="DU265">
        <v>280.05813598632813</v>
      </c>
      <c r="DV265">
        <v>377.84378051757813</v>
      </c>
      <c r="DW265">
        <v>1682</v>
      </c>
      <c r="DX265">
        <v>466075</v>
      </c>
      <c r="DY265">
        <v>80.400000000000006</v>
      </c>
      <c r="DZ265" t="s">
        <v>312</v>
      </c>
    </row>
    <row r="266" spans="1:130" x14ac:dyDescent="0.25">
      <c r="A266" s="1">
        <v>40817</v>
      </c>
      <c r="B266" s="63">
        <v>99.4</v>
      </c>
      <c r="C266" s="108">
        <v>0.96</v>
      </c>
      <c r="D266" s="63">
        <v>1.5</v>
      </c>
      <c r="E266" s="63">
        <v>1.56</v>
      </c>
      <c r="F266" s="63">
        <v>1.01</v>
      </c>
      <c r="G266" s="63">
        <v>1.54</v>
      </c>
      <c r="H266" s="63">
        <v>2</v>
      </c>
      <c r="I266" s="63">
        <f t="shared" si="48"/>
        <v>1.04</v>
      </c>
      <c r="J266" s="63">
        <f t="shared" si="49"/>
        <v>0.5</v>
      </c>
      <c r="K266" s="63">
        <f t="shared" si="50"/>
        <v>0.43999999999999995</v>
      </c>
      <c r="L266" s="63">
        <f t="shared" si="51"/>
        <v>0.54</v>
      </c>
      <c r="M266" s="63">
        <v>97.8</v>
      </c>
      <c r="N266" s="63">
        <v>5376.7</v>
      </c>
      <c r="O266" s="63">
        <v>49.14</v>
      </c>
      <c r="P266" s="33">
        <v>1153</v>
      </c>
      <c r="Q266" s="34">
        <f t="shared" si="43"/>
        <v>12.955056179775282</v>
      </c>
      <c r="R266" s="60">
        <v>2044.7</v>
      </c>
      <c r="S266" s="34">
        <f t="shared" si="44"/>
        <v>2297.4157303370789</v>
      </c>
      <c r="T266" s="60">
        <v>2083.6</v>
      </c>
      <c r="U266" s="34">
        <f t="shared" si="45"/>
        <v>2341.1235955056177</v>
      </c>
      <c r="V266" s="116">
        <v>355024</v>
      </c>
      <c r="W266" s="116">
        <v>4779936</v>
      </c>
      <c r="X266" s="117">
        <v>8572193</v>
      </c>
      <c r="Y266" s="117">
        <v>882244</v>
      </c>
      <c r="Z266" s="63">
        <v>97.7</v>
      </c>
      <c r="AA266" s="63">
        <v>85.6</v>
      </c>
      <c r="AB266" s="63">
        <v>81.5</v>
      </c>
      <c r="AC266" s="63">
        <v>84.2</v>
      </c>
      <c r="AD266" s="63">
        <v>41708</v>
      </c>
      <c r="AE266" s="63">
        <v>6.9</v>
      </c>
      <c r="AF266" s="63">
        <v>490</v>
      </c>
      <c r="AG266" s="63">
        <v>90.5</v>
      </c>
      <c r="AH266" s="63">
        <v>89</v>
      </c>
      <c r="AI266" s="33">
        <v>97.6</v>
      </c>
      <c r="AJ266" s="33">
        <v>92.3</v>
      </c>
      <c r="AK266" s="33">
        <v>175.39197200000001</v>
      </c>
      <c r="AL266" s="63">
        <v>74.7</v>
      </c>
      <c r="AM266" s="123">
        <v>110.24451487394566</v>
      </c>
      <c r="AN266" s="123">
        <v>228.1979431131775</v>
      </c>
      <c r="AO266" s="123">
        <v>122.74175843873148</v>
      </c>
      <c r="AP266" s="33">
        <v>80.47</v>
      </c>
      <c r="AQ266" s="63">
        <f t="shared" si="47"/>
        <v>0.8244877049180328</v>
      </c>
      <c r="AR266" s="63">
        <v>98.9</v>
      </c>
      <c r="AS266" s="63">
        <v>95.1</v>
      </c>
      <c r="AT266" s="63">
        <v>102.9</v>
      </c>
      <c r="AU266" s="63">
        <v>99.4</v>
      </c>
      <c r="AV266" s="66">
        <v>94.3</v>
      </c>
      <c r="AW266" s="63">
        <v>104.7</v>
      </c>
      <c r="AX266" s="63">
        <v>19</v>
      </c>
      <c r="AY266" s="63">
        <v>3.1</v>
      </c>
      <c r="AZ266" s="63">
        <v>14.5</v>
      </c>
      <c r="BA266" s="63">
        <v>2.7</v>
      </c>
      <c r="BB266" s="63">
        <v>100</v>
      </c>
      <c r="BC266" s="63">
        <v>96.8</v>
      </c>
      <c r="BD266" s="63">
        <v>103.4</v>
      </c>
      <c r="BE266" s="63">
        <v>38.4</v>
      </c>
      <c r="BF266" s="63">
        <v>-48.3</v>
      </c>
      <c r="BG266" s="63">
        <v>-6.2</v>
      </c>
      <c r="BH266" s="63">
        <v>149.4</v>
      </c>
      <c r="BI266" s="63">
        <v>3.1</v>
      </c>
      <c r="BJ266" s="34">
        <v>49.15</v>
      </c>
      <c r="BK266" s="45">
        <v>0.12008504229046224</v>
      </c>
      <c r="BL266" s="63">
        <v>-0.432</v>
      </c>
      <c r="BM266" s="63">
        <v>100.134</v>
      </c>
      <c r="BN266" s="63">
        <v>100.11660000000001</v>
      </c>
      <c r="BO266" s="63">
        <v>3.7</v>
      </c>
      <c r="BP266" s="63">
        <v>-0.5</v>
      </c>
      <c r="BQ266" s="63">
        <v>4.5</v>
      </c>
      <c r="BR266" s="63">
        <v>2.6</v>
      </c>
      <c r="BS266" s="63">
        <v>7.7</v>
      </c>
      <c r="BT266" s="63">
        <v>7.2</v>
      </c>
      <c r="BU266" s="63">
        <v>0.6</v>
      </c>
      <c r="BV266" s="63">
        <v>13.6</v>
      </c>
      <c r="BW266" s="63">
        <v>-5.0999999999999996</v>
      </c>
      <c r="BX266" s="63">
        <v>-10.6</v>
      </c>
      <c r="BY266" s="63">
        <v>-9.8000000000000007</v>
      </c>
      <c r="BZ266" s="63">
        <v>103.6</v>
      </c>
      <c r="CA266" s="63">
        <v>-5.0999999999999996</v>
      </c>
      <c r="CB266" s="63">
        <v>3.9</v>
      </c>
      <c r="CC266" s="63">
        <v>5.6</v>
      </c>
      <c r="CD266" s="63">
        <v>-6.5</v>
      </c>
      <c r="CE266" s="63">
        <v>-19.5</v>
      </c>
      <c r="CF266" s="63">
        <v>40.1</v>
      </c>
      <c r="CG266" s="63">
        <v>40.700000000000003</v>
      </c>
      <c r="CH266" s="63">
        <v>13</v>
      </c>
      <c r="CI266" s="63">
        <v>-2</v>
      </c>
      <c r="CJ266" s="63">
        <v>-10.4</v>
      </c>
      <c r="CK266" s="63">
        <v>5.9</v>
      </c>
      <c r="CL266" s="63">
        <v>24.7</v>
      </c>
      <c r="CM266" s="63">
        <v>2312.2991430000002</v>
      </c>
      <c r="CN266" s="63">
        <v>10655.3</v>
      </c>
      <c r="CO266" s="63">
        <v>1207.2161900000001</v>
      </c>
      <c r="CP266" s="63">
        <v>2.3490000000000002</v>
      </c>
      <c r="CQ266" s="63">
        <v>1.8</v>
      </c>
      <c r="CR266" s="63">
        <v>51.7</v>
      </c>
      <c r="CS266" s="64">
        <v>37.21</v>
      </c>
      <c r="CT266" s="63">
        <v>93.3</v>
      </c>
      <c r="CU266" s="63">
        <v>87.5</v>
      </c>
      <c r="CV266" s="63">
        <v>97.3</v>
      </c>
      <c r="CW266" s="63">
        <v>96.7</v>
      </c>
      <c r="CX266" s="63">
        <v>87</v>
      </c>
      <c r="CY266" s="63">
        <v>6.5</v>
      </c>
      <c r="CZ266" s="63">
        <v>46869.417999999998</v>
      </c>
      <c r="DA266" s="63">
        <v>4.43</v>
      </c>
      <c r="DB266" s="63">
        <v>28.17</v>
      </c>
      <c r="DC266" s="63">
        <v>45.71</v>
      </c>
      <c r="DD266" s="63">
        <v>16.23</v>
      </c>
      <c r="DE266" s="63">
        <v>14196.048000000001</v>
      </c>
      <c r="DF266" s="63">
        <v>2611.5160000000001</v>
      </c>
      <c r="DG266" s="63">
        <v>3031.6280000000002</v>
      </c>
      <c r="DH266" s="63">
        <v>1446.2460000000001</v>
      </c>
      <c r="DI266" s="63">
        <v>5413.1909999999998</v>
      </c>
      <c r="DJ266" s="63">
        <v>100.13930000000001</v>
      </c>
      <c r="DK266" s="63">
        <v>100.20359999999999</v>
      </c>
      <c r="DL266" s="63">
        <v>100.18</v>
      </c>
      <c r="DM266" s="63">
        <v>100.2315</v>
      </c>
      <c r="DN266" s="63">
        <v>100.11660000000001</v>
      </c>
      <c r="DO266" s="63">
        <v>100.134</v>
      </c>
      <c r="DP266" s="63">
        <v>99.2346</v>
      </c>
      <c r="DQ266" s="63">
        <v>99.157700000000006</v>
      </c>
      <c r="DR266" s="63">
        <v>70106</v>
      </c>
      <c r="DS266" s="73">
        <v>28942</v>
      </c>
      <c r="DT266" s="73">
        <v>100.2</v>
      </c>
      <c r="DU266">
        <v>241.75184631347656</v>
      </c>
      <c r="DV266">
        <v>217.81927490234375</v>
      </c>
      <c r="DW266">
        <v>1886</v>
      </c>
      <c r="DX266">
        <v>475025</v>
      </c>
      <c r="DY266">
        <v>81.5</v>
      </c>
      <c r="DZ266" t="s">
        <v>312</v>
      </c>
    </row>
    <row r="267" spans="1:130" x14ac:dyDescent="0.25">
      <c r="A267" s="1">
        <v>40848</v>
      </c>
      <c r="B267" s="33">
        <v>99</v>
      </c>
      <c r="C267" s="107">
        <v>0.79</v>
      </c>
      <c r="D267" s="33">
        <v>1.25</v>
      </c>
      <c r="E267" s="33">
        <v>1.53</v>
      </c>
      <c r="F267" s="33">
        <v>0.79</v>
      </c>
      <c r="G267" s="33">
        <v>1.36</v>
      </c>
      <c r="H267" s="33">
        <v>1.87</v>
      </c>
      <c r="I267" s="33">
        <f t="shared" si="48"/>
        <v>1.08</v>
      </c>
      <c r="J267" s="33">
        <f t="shared" si="49"/>
        <v>0.62000000000000011</v>
      </c>
      <c r="K267" s="33">
        <f t="shared" si="50"/>
        <v>0.34000000000000008</v>
      </c>
      <c r="L267" s="33">
        <f t="shared" si="51"/>
        <v>0.45999999999999996</v>
      </c>
      <c r="M267" s="33">
        <v>97.4</v>
      </c>
      <c r="N267" s="33">
        <v>5834.51</v>
      </c>
      <c r="O267" s="33">
        <v>42.07</v>
      </c>
      <c r="P267" s="33">
        <v>1155</v>
      </c>
      <c r="Q267" s="34">
        <f t="shared" si="43"/>
        <v>12.97752808988764</v>
      </c>
      <c r="R267" s="60">
        <v>2051.5</v>
      </c>
      <c r="S267" s="34">
        <f t="shared" si="44"/>
        <v>2305.0561797752812</v>
      </c>
      <c r="T267" s="60">
        <v>2094.4</v>
      </c>
      <c r="U267" s="34">
        <f t="shared" si="45"/>
        <v>2353.2584269662925</v>
      </c>
      <c r="V267" s="116">
        <v>348407</v>
      </c>
      <c r="W267" s="116">
        <v>4790210</v>
      </c>
      <c r="X267" s="117">
        <v>8588089</v>
      </c>
      <c r="Y267" s="117">
        <v>883770</v>
      </c>
      <c r="Z267" s="33">
        <v>97</v>
      </c>
      <c r="AA267" s="33">
        <v>82.7</v>
      </c>
      <c r="AB267" s="33">
        <v>81.2</v>
      </c>
      <c r="AC267" s="33">
        <v>80.900000000000006</v>
      </c>
      <c r="AD267" s="33">
        <v>41760</v>
      </c>
      <c r="AE267" s="33">
        <v>6.8</v>
      </c>
      <c r="AF267" s="33">
        <v>497</v>
      </c>
      <c r="AG267" s="33">
        <v>90.6</v>
      </c>
      <c r="AH267" s="33">
        <v>89</v>
      </c>
      <c r="AI267" s="33">
        <v>98.2</v>
      </c>
      <c r="AJ267" s="33">
        <v>92.5</v>
      </c>
      <c r="AK267" s="33">
        <v>175.19665800000001</v>
      </c>
      <c r="AL267" s="33">
        <v>113.8</v>
      </c>
      <c r="AM267" s="123">
        <v>110.24451487394566</v>
      </c>
      <c r="AN267" s="123">
        <v>231.49130262738072</v>
      </c>
      <c r="AO267" s="123">
        <v>118.5972315304107</v>
      </c>
      <c r="AP267" s="33">
        <v>82</v>
      </c>
      <c r="AQ267" s="33">
        <f t="shared" si="47"/>
        <v>0.83503054989816694</v>
      </c>
      <c r="AR267" s="33">
        <v>98.7</v>
      </c>
      <c r="AS267" s="33">
        <v>94.4</v>
      </c>
      <c r="AT267" s="33">
        <v>103.2</v>
      </c>
      <c r="AU267" s="33">
        <v>98.2</v>
      </c>
      <c r="AV267" s="65">
        <v>92.4</v>
      </c>
      <c r="AW267" s="33">
        <v>104.3</v>
      </c>
      <c r="AX267" s="33">
        <v>14.8</v>
      </c>
      <c r="AY267" s="33">
        <v>-2.2999999999999998</v>
      </c>
      <c r="AZ267" s="33">
        <v>10.8</v>
      </c>
      <c r="BA267" s="33">
        <v>2.5</v>
      </c>
      <c r="BB267" s="33">
        <v>100.7</v>
      </c>
      <c r="BC267" s="33">
        <v>98</v>
      </c>
      <c r="BD267" s="33">
        <v>103.4</v>
      </c>
      <c r="BE267" s="33">
        <v>34.200000000000003</v>
      </c>
      <c r="BF267" s="33">
        <v>-55.2</v>
      </c>
      <c r="BG267" s="33">
        <v>-7.2</v>
      </c>
      <c r="BH267" s="33">
        <v>152.4</v>
      </c>
      <c r="BI267" s="33">
        <v>1.4</v>
      </c>
      <c r="BJ267" s="34">
        <v>47.89</v>
      </c>
      <c r="BK267" s="45">
        <v>0.68205831208548773</v>
      </c>
      <c r="BL267" s="33">
        <v>-0.46100000000000002</v>
      </c>
      <c r="BM267" s="33">
        <v>99.963999999999999</v>
      </c>
      <c r="BN267" s="33">
        <v>99.970600000000005</v>
      </c>
      <c r="BO267" s="33">
        <v>-0.4</v>
      </c>
      <c r="BP267" s="33">
        <v>-4.5999999999999996</v>
      </c>
      <c r="BQ267" s="33">
        <v>5.2</v>
      </c>
      <c r="BR267" s="33">
        <v>1.2</v>
      </c>
      <c r="BS267" s="33">
        <v>6.3</v>
      </c>
      <c r="BT267" s="33">
        <v>3.8</v>
      </c>
      <c r="BU267" s="33">
        <v>-1.5</v>
      </c>
      <c r="BV267" s="33">
        <v>12.6</v>
      </c>
      <c r="BW267" s="33">
        <v>-4.9000000000000004</v>
      </c>
      <c r="BX267" s="33">
        <v>-6.4</v>
      </c>
      <c r="BY267" s="33">
        <v>-8.5</v>
      </c>
      <c r="BZ267" s="33">
        <v>103.1</v>
      </c>
      <c r="CA267" s="33">
        <v>-4.9000000000000004</v>
      </c>
      <c r="CB267" s="33">
        <v>2.6</v>
      </c>
      <c r="CC267" s="33">
        <v>4.9000000000000004</v>
      </c>
      <c r="CD267" s="33">
        <v>-6.7</v>
      </c>
      <c r="CE267" s="33">
        <v>-20.6</v>
      </c>
      <c r="CF267" s="33">
        <v>38.299999999999997</v>
      </c>
      <c r="CG267" s="33">
        <v>41.7</v>
      </c>
      <c r="CH267" s="33">
        <v>12.5</v>
      </c>
      <c r="CI267" s="33">
        <v>0.8</v>
      </c>
      <c r="CJ267" s="33">
        <v>-6.7</v>
      </c>
      <c r="CK267" s="33">
        <v>6.4</v>
      </c>
      <c r="CL267" s="33">
        <v>24.8</v>
      </c>
      <c r="CM267" s="33">
        <v>2239.5802269999999</v>
      </c>
      <c r="CN267" s="33">
        <v>11657.96</v>
      </c>
      <c r="CO267" s="33">
        <v>1226.4142859999999</v>
      </c>
      <c r="CP267" s="33">
        <v>2.2160000000000002</v>
      </c>
      <c r="CQ267" s="33">
        <v>2.0099999999999998</v>
      </c>
      <c r="CR267" s="33">
        <v>54.9</v>
      </c>
      <c r="CS267" s="64">
        <v>35.270000000000003</v>
      </c>
      <c r="CT267" s="33">
        <v>91.1</v>
      </c>
      <c r="CU267" s="33">
        <v>87.7</v>
      </c>
      <c r="CV267" s="33">
        <v>97.2</v>
      </c>
      <c r="CW267" s="33">
        <v>90.3</v>
      </c>
      <c r="CX267" s="33">
        <v>88</v>
      </c>
      <c r="CY267" s="33">
        <v>6.27</v>
      </c>
      <c r="CZ267" s="33">
        <v>49628.529000000002</v>
      </c>
      <c r="DA267" s="33">
        <v>3.96</v>
      </c>
      <c r="DB267" s="33">
        <v>28.32</v>
      </c>
      <c r="DC267" s="33">
        <v>47.67</v>
      </c>
      <c r="DD267" s="33">
        <v>15.82</v>
      </c>
      <c r="DE267" s="33">
        <v>15188.35</v>
      </c>
      <c r="DF267" s="33">
        <v>2878.5169999999998</v>
      </c>
      <c r="DG267" s="33">
        <v>3270.1239999999998</v>
      </c>
      <c r="DH267" s="33">
        <v>1363.585</v>
      </c>
      <c r="DI267" s="33">
        <v>5859.4790000000003</v>
      </c>
      <c r="DJ267" s="33">
        <v>100.017</v>
      </c>
      <c r="DK267" s="33">
        <v>100.0467</v>
      </c>
      <c r="DL267" s="33">
        <v>100.02</v>
      </c>
      <c r="DM267" s="33">
        <v>100.0275</v>
      </c>
      <c r="DN267" s="33">
        <v>99.970600000000005</v>
      </c>
      <c r="DO267" s="33">
        <v>99.963999999999999</v>
      </c>
      <c r="DP267" s="33">
        <v>99.366699999999994</v>
      </c>
      <c r="DQ267" s="33">
        <v>99.302999999999997</v>
      </c>
      <c r="DR267" s="33">
        <v>75521</v>
      </c>
      <c r="DS267" s="73">
        <v>29002</v>
      </c>
      <c r="DT267" s="73">
        <v>100</v>
      </c>
      <c r="DU267">
        <v>304.6002197265625</v>
      </c>
      <c r="DV267">
        <v>327.94839477539063</v>
      </c>
      <c r="DW267">
        <v>1912</v>
      </c>
      <c r="DX267">
        <v>423275</v>
      </c>
      <c r="DY267">
        <v>81.5</v>
      </c>
      <c r="DZ267" t="s">
        <v>312</v>
      </c>
    </row>
    <row r="268" spans="1:130" s="56" customFormat="1" x14ac:dyDescent="0.25">
      <c r="A268" s="1">
        <v>40878</v>
      </c>
      <c r="B268" s="60">
        <v>97.9</v>
      </c>
      <c r="C268" s="109">
        <v>0.63</v>
      </c>
      <c r="D268" s="60">
        <v>1</v>
      </c>
      <c r="E268" s="60">
        <v>1.5</v>
      </c>
      <c r="F268" s="60">
        <v>0.68</v>
      </c>
      <c r="G268" s="60">
        <v>1.34</v>
      </c>
      <c r="H268" s="60">
        <v>1.93</v>
      </c>
      <c r="I268" s="60">
        <f t="shared" si="48"/>
        <v>1.2999999999999998</v>
      </c>
      <c r="J268" s="60">
        <f t="shared" si="49"/>
        <v>0.92999999999999994</v>
      </c>
      <c r="K268" s="60">
        <f t="shared" si="50"/>
        <v>0.42999999999999994</v>
      </c>
      <c r="L268" s="60">
        <f t="shared" si="51"/>
        <v>0.37</v>
      </c>
      <c r="M268" s="60">
        <v>96.6</v>
      </c>
      <c r="N268" s="60">
        <v>6035.88</v>
      </c>
      <c r="O268" s="60">
        <v>33.93</v>
      </c>
      <c r="P268" s="33">
        <v>1171.2</v>
      </c>
      <c r="Q268" s="34">
        <f t="shared" si="43"/>
        <v>13.159550561797753</v>
      </c>
      <c r="R268" s="60">
        <v>2064.1999999999998</v>
      </c>
      <c r="S268" s="34">
        <f t="shared" si="44"/>
        <v>2319.325842696629</v>
      </c>
      <c r="T268" s="60">
        <v>2104.3000000000002</v>
      </c>
      <c r="U268" s="34">
        <f t="shared" si="45"/>
        <v>2364.3820224719102</v>
      </c>
      <c r="V268" s="116">
        <v>333408</v>
      </c>
      <c r="W268" s="116">
        <v>4803786</v>
      </c>
      <c r="X268" s="117">
        <v>8607320</v>
      </c>
      <c r="Y268" s="117">
        <v>891231</v>
      </c>
      <c r="Z268" s="60">
        <v>95.2</v>
      </c>
      <c r="AA268" s="60">
        <v>84.3</v>
      </c>
      <c r="AB268" s="60">
        <v>80.599999999999994</v>
      </c>
      <c r="AC268" s="60">
        <v>82.4</v>
      </c>
      <c r="AD268" s="60">
        <v>41815</v>
      </c>
      <c r="AE268" s="60">
        <v>6.8</v>
      </c>
      <c r="AF268" s="60">
        <v>499</v>
      </c>
      <c r="AG268" s="60">
        <v>90.5</v>
      </c>
      <c r="AH268" s="60">
        <v>89</v>
      </c>
      <c r="AI268" s="33">
        <v>98.6</v>
      </c>
      <c r="AJ268" s="33">
        <v>92.6</v>
      </c>
      <c r="AK268" s="33">
        <v>174.415402</v>
      </c>
      <c r="AL268" s="60">
        <v>76</v>
      </c>
      <c r="AM268" s="123">
        <v>109.31809037920661</v>
      </c>
      <c r="AN268" s="123">
        <v>227.5781934192666</v>
      </c>
      <c r="AO268" s="123">
        <v>117.72278189700675</v>
      </c>
      <c r="AP268" s="33">
        <v>82.39</v>
      </c>
      <c r="AQ268" s="60">
        <f t="shared" si="47"/>
        <v>0.8355983772819473</v>
      </c>
      <c r="AR268" s="60">
        <v>98.8</v>
      </c>
      <c r="AS268" s="60">
        <v>95.2</v>
      </c>
      <c r="AT268" s="60">
        <v>102.5</v>
      </c>
      <c r="AU268" s="60">
        <v>98.7</v>
      </c>
      <c r="AV268" s="67">
        <v>94</v>
      </c>
      <c r="AW268" s="60">
        <v>103.7</v>
      </c>
      <c r="AX268" s="60">
        <v>18</v>
      </c>
      <c r="AY268" s="60">
        <v>1.4</v>
      </c>
      <c r="AZ268" s="60">
        <v>10.3</v>
      </c>
      <c r="BA268" s="60">
        <v>4.3</v>
      </c>
      <c r="BB268" s="60">
        <v>100.6</v>
      </c>
      <c r="BC268" s="60">
        <v>97.1</v>
      </c>
      <c r="BD268" s="60">
        <v>104.2</v>
      </c>
      <c r="BE268" s="60">
        <v>26.8</v>
      </c>
      <c r="BF268" s="60">
        <v>-53.8</v>
      </c>
      <c r="BG268" s="60">
        <v>-0.9</v>
      </c>
      <c r="BH268" s="60">
        <v>148.5</v>
      </c>
      <c r="BI268" s="60">
        <v>4.7</v>
      </c>
      <c r="BJ268" s="34">
        <v>48.44</v>
      </c>
      <c r="BK268" s="55">
        <v>6.9881879618268279</v>
      </c>
      <c r="BL268" s="60">
        <v>-0.49</v>
      </c>
      <c r="BM268" s="60">
        <v>99.894400000000005</v>
      </c>
      <c r="BN268" s="60">
        <v>99.910799999999995</v>
      </c>
      <c r="BO268" s="60">
        <v>-0.3</v>
      </c>
      <c r="BP268" s="60">
        <v>-4</v>
      </c>
      <c r="BQ268" s="60">
        <v>5.3</v>
      </c>
      <c r="BR268" s="60">
        <v>2.5</v>
      </c>
      <c r="BS268" s="60">
        <v>8.1999999999999993</v>
      </c>
      <c r="BT268" s="60">
        <v>1.7</v>
      </c>
      <c r="BU268" s="60">
        <v>-1</v>
      </c>
      <c r="BV268" s="60">
        <v>13.4</v>
      </c>
      <c r="BW268" s="60">
        <v>-4</v>
      </c>
      <c r="BX268" s="60">
        <v>-7.9</v>
      </c>
      <c r="BY268" s="60">
        <v>-10.8</v>
      </c>
      <c r="BZ268" s="60">
        <v>103.7</v>
      </c>
      <c r="CA268" s="60">
        <v>-4</v>
      </c>
      <c r="CB268" s="60">
        <v>4.0999999999999996</v>
      </c>
      <c r="CC268" s="60">
        <v>5.3</v>
      </c>
      <c r="CD268" s="60">
        <v>-4.5</v>
      </c>
      <c r="CE268" s="60">
        <v>-19.899999999999999</v>
      </c>
      <c r="CF268" s="60">
        <v>39.4</v>
      </c>
      <c r="CG268" s="60">
        <v>41.6</v>
      </c>
      <c r="CH268" s="60">
        <v>11.4</v>
      </c>
      <c r="CI268" s="60">
        <v>-3.6</v>
      </c>
      <c r="CJ268" s="60">
        <v>-5.6</v>
      </c>
      <c r="CK268" s="60">
        <v>5.8</v>
      </c>
      <c r="CL268" s="60">
        <v>25</v>
      </c>
      <c r="CM268" s="60">
        <v>2283.2952380000002</v>
      </c>
      <c r="CN268" s="60">
        <v>12020.03</v>
      </c>
      <c r="CO268" s="60">
        <v>1243.3228570000001</v>
      </c>
      <c r="CP268" s="60">
        <v>2.27</v>
      </c>
      <c r="CQ268" s="60">
        <v>2.11</v>
      </c>
      <c r="CR268" s="60">
        <v>63.6</v>
      </c>
      <c r="CS268" s="64">
        <v>34.85</v>
      </c>
      <c r="CT268" s="60">
        <v>89.9</v>
      </c>
      <c r="CU268" s="60">
        <v>84.5</v>
      </c>
      <c r="CV268" s="60">
        <v>92.5</v>
      </c>
      <c r="CW268" s="60">
        <v>87.5</v>
      </c>
      <c r="CX268" s="60">
        <v>84.3</v>
      </c>
      <c r="CY268" s="60">
        <v>6.68</v>
      </c>
      <c r="CZ268" s="60">
        <v>42321.868000000002</v>
      </c>
      <c r="DA268" s="60">
        <v>4.2300000000000004</v>
      </c>
      <c r="DB268" s="60">
        <v>28.28</v>
      </c>
      <c r="DC268" s="60">
        <v>45.27</v>
      </c>
      <c r="DD268" s="60">
        <v>15.53</v>
      </c>
      <c r="DE268" s="60">
        <v>15652.001</v>
      </c>
      <c r="DF268" s="60">
        <v>3539.0949999999998</v>
      </c>
      <c r="DG268" s="60">
        <v>2829.0279999999998</v>
      </c>
      <c r="DH268" s="60">
        <v>1291.1300000000001</v>
      </c>
      <c r="DI268" s="60">
        <v>5435.8890000000001</v>
      </c>
      <c r="DJ268" s="60">
        <v>99.921899999999994</v>
      </c>
      <c r="DK268" s="60">
        <v>99.923100000000005</v>
      </c>
      <c r="DL268" s="60">
        <v>99.9</v>
      </c>
      <c r="DM268" s="60">
        <v>99.874600000000001</v>
      </c>
      <c r="DN268" s="60">
        <v>99.910799999999995</v>
      </c>
      <c r="DO268" s="60">
        <v>99.894400000000005</v>
      </c>
      <c r="DP268" s="60">
        <v>99.564899999999994</v>
      </c>
      <c r="DQ268" s="60">
        <v>99.521100000000004</v>
      </c>
      <c r="DR268" s="60">
        <v>71631</v>
      </c>
      <c r="DS268" s="73">
        <v>29064</v>
      </c>
      <c r="DT268" s="73">
        <v>99.8</v>
      </c>
      <c r="DU268">
        <v>228.87158203125</v>
      </c>
      <c r="DV268">
        <v>203.20614624023438</v>
      </c>
      <c r="DW268">
        <v>1862</v>
      </c>
      <c r="DX268">
        <v>386700</v>
      </c>
      <c r="DY268">
        <v>79.099999999999994</v>
      </c>
      <c r="DZ268" t="s">
        <v>312</v>
      </c>
    </row>
    <row r="269" spans="1:130" x14ac:dyDescent="0.25">
      <c r="A269" s="1">
        <v>40909</v>
      </c>
      <c r="B269" s="64">
        <v>98.2</v>
      </c>
      <c r="C269" s="110">
        <v>0.38</v>
      </c>
      <c r="D269" s="64">
        <v>1</v>
      </c>
      <c r="E269" s="64">
        <v>1.38</v>
      </c>
      <c r="F269" s="64">
        <v>0.6</v>
      </c>
      <c r="G269" s="64">
        <v>1.26</v>
      </c>
      <c r="H269" s="64">
        <v>1.82</v>
      </c>
      <c r="I269" s="64">
        <f t="shared" ref="I269:I278" si="52">IF(ISNUMBER(C269),IF(ISNUMBER(H269),H269-C269,""),"")</f>
        <v>1.44</v>
      </c>
      <c r="J269" s="64">
        <f t="shared" ref="J269:J278" si="53">IF(ISNUMBER(D269),IF(ISNUMBER(H269),H269-D269,""),"")</f>
        <v>0.82000000000000006</v>
      </c>
      <c r="K269" s="64">
        <f>IF(ISNUMBER(H269),H269-E269,"")</f>
        <v>0.44000000000000017</v>
      </c>
      <c r="L269" s="64">
        <f>IF(ISNUMBER(D269),IF(ISNUMBER(C269),D269-C269,""),"")</f>
        <v>0.62</v>
      </c>
      <c r="M269" s="64">
        <v>96.1</v>
      </c>
      <c r="N269" s="64">
        <v>6075.52</v>
      </c>
      <c r="O269" s="64">
        <v>29.38</v>
      </c>
      <c r="P269" s="64">
        <v>1173.4000000000001</v>
      </c>
      <c r="Q269" s="34">
        <f t="shared" si="43"/>
        <v>13.139977603583429</v>
      </c>
      <c r="R269" s="34">
        <v>2076.5</v>
      </c>
      <c r="S269" s="34">
        <f t="shared" si="44"/>
        <v>2325.3079507278835</v>
      </c>
      <c r="T269" s="34">
        <v>2114.1999999999998</v>
      </c>
      <c r="U269" s="34">
        <f t="shared" si="45"/>
        <v>2367.5251959686448</v>
      </c>
      <c r="V269" s="118">
        <v>343137</v>
      </c>
      <c r="W269" s="118">
        <v>4821347</v>
      </c>
      <c r="X269" s="119">
        <v>8644031</v>
      </c>
      <c r="Y269" s="119">
        <v>864214</v>
      </c>
      <c r="Z269" s="64">
        <v>95.8</v>
      </c>
      <c r="AA269" s="64">
        <v>83.2</v>
      </c>
      <c r="AB269" s="64">
        <v>79.3</v>
      </c>
      <c r="AC269" s="64">
        <v>79.900000000000006</v>
      </c>
      <c r="AD269" s="64">
        <v>41896</v>
      </c>
      <c r="AE269" s="64">
        <v>6.8</v>
      </c>
      <c r="AF269" s="64">
        <v>501</v>
      </c>
      <c r="AG269" s="64">
        <v>90.9</v>
      </c>
      <c r="AH269" s="64">
        <v>89.3</v>
      </c>
      <c r="AI269" s="64">
        <v>99.4</v>
      </c>
      <c r="AJ269" s="64">
        <v>93</v>
      </c>
      <c r="AK269" s="64">
        <v>175.19665800000001</v>
      </c>
      <c r="AL269" s="64">
        <v>75.3</v>
      </c>
      <c r="AM269" s="123">
        <v>110.61808929182422</v>
      </c>
      <c r="AN269" s="123">
        <v>233.16030005030524</v>
      </c>
      <c r="AO269" s="123">
        <v>122.29898333129272</v>
      </c>
      <c r="AP269" s="33">
        <v>86.43</v>
      </c>
      <c r="AQ269" s="64">
        <f t="shared" si="47"/>
        <v>0.86951710261569415</v>
      </c>
      <c r="AR269" s="64">
        <v>99.6</v>
      </c>
      <c r="AS269" s="64">
        <v>96.6</v>
      </c>
      <c r="AT269" s="64">
        <v>102.7</v>
      </c>
      <c r="AU269" s="64">
        <v>99.5</v>
      </c>
      <c r="AV269" s="68">
        <v>95.9</v>
      </c>
      <c r="AW269" s="64">
        <v>103.3</v>
      </c>
      <c r="AX269" s="64">
        <v>20.3</v>
      </c>
      <c r="AY269" s="64">
        <v>5.2</v>
      </c>
      <c r="AZ269" s="64">
        <v>10.8</v>
      </c>
      <c r="BA269" s="64">
        <v>6.7</v>
      </c>
      <c r="BB269" s="64">
        <v>102</v>
      </c>
      <c r="BC269" s="64">
        <v>99.1</v>
      </c>
      <c r="BD269" s="64">
        <v>105</v>
      </c>
      <c r="BE269" s="64">
        <v>28.4</v>
      </c>
      <c r="BF269" s="64">
        <v>-21.6</v>
      </c>
      <c r="BG269" s="64">
        <v>7.5</v>
      </c>
      <c r="BH269" s="64">
        <v>144.30000000000001</v>
      </c>
      <c r="BI269" s="64">
        <v>28.6</v>
      </c>
      <c r="BJ269" s="34">
        <v>51.02</v>
      </c>
      <c r="BK269" s="64">
        <v>21.478753497366256</v>
      </c>
      <c r="BL269" s="64">
        <v>-0.433</v>
      </c>
      <c r="BM269" s="64">
        <v>99.875399999999999</v>
      </c>
      <c r="BN269" s="64">
        <v>99.894400000000005</v>
      </c>
      <c r="BO269" s="64">
        <v>0.2</v>
      </c>
      <c r="BP269" s="64">
        <v>-2.2999999999999998</v>
      </c>
      <c r="BQ269" s="64">
        <v>4.4000000000000004</v>
      </c>
      <c r="BR269" s="64">
        <v>4.2</v>
      </c>
      <c r="BS269" s="64">
        <v>7.4</v>
      </c>
      <c r="BT269" s="64">
        <v>3.2</v>
      </c>
      <c r="BU269" s="64">
        <v>0</v>
      </c>
      <c r="BV269" s="64">
        <v>12.4</v>
      </c>
      <c r="BW269" s="64">
        <v>-4.3</v>
      </c>
      <c r="BX269" s="64">
        <v>-8.5</v>
      </c>
      <c r="BY269" s="64">
        <v>-10.4</v>
      </c>
      <c r="BZ269" s="64">
        <v>103.6</v>
      </c>
      <c r="CA269" s="64">
        <v>-4.3</v>
      </c>
      <c r="CB269" s="64">
        <v>4.0999999999999996</v>
      </c>
      <c r="CC269" s="64">
        <v>5.4</v>
      </c>
      <c r="CD269" s="64">
        <v>-1.5</v>
      </c>
      <c r="CE269" s="64">
        <v>-18.3</v>
      </c>
      <c r="CF269" s="64">
        <v>33.700000000000003</v>
      </c>
      <c r="CG269" s="64">
        <v>37.5</v>
      </c>
      <c r="CH269" s="64">
        <v>11.6</v>
      </c>
      <c r="CI269" s="64">
        <v>-0.1</v>
      </c>
      <c r="CJ269" s="64">
        <v>-8.1999999999999993</v>
      </c>
      <c r="CK269" s="64">
        <v>8.9</v>
      </c>
      <c r="CL269" s="64">
        <v>26.9</v>
      </c>
      <c r="CM269" s="64">
        <v>2382.0659089999999</v>
      </c>
      <c r="CN269" s="64">
        <v>12217.56</v>
      </c>
      <c r="CO269" s="64">
        <v>1300.5775000000001</v>
      </c>
      <c r="CP269" s="64">
        <v>2.0169999999999999</v>
      </c>
      <c r="CQ269" s="64">
        <v>1.89</v>
      </c>
      <c r="CR269" s="64">
        <v>69.099999999999994</v>
      </c>
      <c r="CS269" s="64">
        <v>39.869999999999997</v>
      </c>
      <c r="CT269" s="64">
        <v>89.1</v>
      </c>
      <c r="CU269" s="64">
        <v>88.9</v>
      </c>
      <c r="CV269" s="64">
        <v>94.6</v>
      </c>
      <c r="CW269" s="64">
        <v>89</v>
      </c>
      <c r="CX269" s="64">
        <v>83.4</v>
      </c>
      <c r="CY269" s="64">
        <v>7.74</v>
      </c>
      <c r="CZ269" s="64">
        <v>45135.659</v>
      </c>
      <c r="DA269" s="64">
        <v>3.93</v>
      </c>
      <c r="DB269" s="64">
        <v>28</v>
      </c>
      <c r="DC269" s="64">
        <v>45.8</v>
      </c>
      <c r="DD269" s="64">
        <v>15.74</v>
      </c>
      <c r="DE269" s="64">
        <v>13133.156000000001</v>
      </c>
      <c r="DF269" s="64">
        <v>2153.1680000000001</v>
      </c>
      <c r="DG269" s="64">
        <v>2434.8429999999998</v>
      </c>
      <c r="DH269" s="64">
        <v>1406.335</v>
      </c>
      <c r="DI269" s="64">
        <v>5036.1450000000004</v>
      </c>
      <c r="DJ269" s="64">
        <v>99.855199999999996</v>
      </c>
      <c r="DK269" s="64">
        <v>99.834599999999995</v>
      </c>
      <c r="DL269" s="64">
        <v>99.83</v>
      </c>
      <c r="DM269" s="64">
        <v>99.780100000000004</v>
      </c>
      <c r="DN269" s="64">
        <v>99.894400000000005</v>
      </c>
      <c r="DO269" s="64">
        <v>99.875399999999999</v>
      </c>
      <c r="DP269" s="64">
        <v>99.762799999999999</v>
      </c>
      <c r="DQ269" s="64">
        <v>99.738699999999994</v>
      </c>
      <c r="DR269" s="64">
        <v>81600</v>
      </c>
      <c r="DS269" s="73">
        <v>29159</v>
      </c>
      <c r="DT269" s="73">
        <v>100.4</v>
      </c>
      <c r="DU269">
        <v>216.73445129394531</v>
      </c>
      <c r="DV269">
        <v>193.76167297363281</v>
      </c>
      <c r="DW269">
        <v>1738</v>
      </c>
      <c r="DX269">
        <v>371575</v>
      </c>
      <c r="DY269">
        <v>78.900000000000006</v>
      </c>
      <c r="DZ269" t="s">
        <v>312</v>
      </c>
    </row>
    <row r="270" spans="1:130" x14ac:dyDescent="0.25">
      <c r="A270" s="1">
        <v>40940</v>
      </c>
      <c r="B270" s="34">
        <v>97.5</v>
      </c>
      <c r="C270" s="111">
        <v>0.37</v>
      </c>
      <c r="D270" s="34">
        <v>1</v>
      </c>
      <c r="E270" s="34">
        <v>1.23</v>
      </c>
      <c r="F270" s="34">
        <v>0.63</v>
      </c>
      <c r="G270" s="34">
        <v>1.26</v>
      </c>
      <c r="H270" s="34">
        <v>1.85</v>
      </c>
      <c r="I270" s="34">
        <f t="shared" si="52"/>
        <v>1.48</v>
      </c>
      <c r="J270" s="34">
        <f t="shared" si="53"/>
        <v>0.85000000000000009</v>
      </c>
      <c r="K270" s="34">
        <f>IF(ISNUMBER(H270),H270-E270,"")</f>
        <v>0.62000000000000011</v>
      </c>
      <c r="L270" s="34">
        <f>IF(ISNUMBER(D270),IF(ISNUMBER(C270),D270-C270,""),"")</f>
        <v>0.63</v>
      </c>
      <c r="M270" s="34">
        <v>96.6</v>
      </c>
      <c r="N270" s="34">
        <v>6616.64</v>
      </c>
      <c r="O270" s="34">
        <v>24.3</v>
      </c>
      <c r="P270" s="64">
        <v>1181.2</v>
      </c>
      <c r="Q270" s="34">
        <f t="shared" si="43"/>
        <v>13.212527964205817</v>
      </c>
      <c r="R270" s="34">
        <v>2082.9</v>
      </c>
      <c r="S270" s="34">
        <f t="shared" si="44"/>
        <v>2329.8657718120803</v>
      </c>
      <c r="T270" s="34">
        <v>2122.6999999999998</v>
      </c>
      <c r="U270" s="34">
        <f t="shared" si="45"/>
        <v>2374.3847874720354</v>
      </c>
      <c r="V270" s="118">
        <v>336217</v>
      </c>
      <c r="W270" s="118">
        <v>4824871</v>
      </c>
      <c r="X270" s="119">
        <v>8679871</v>
      </c>
      <c r="Y270" s="119">
        <v>855146</v>
      </c>
      <c r="Z270" s="34">
        <v>95.7</v>
      </c>
      <c r="AA270" s="34">
        <v>83.8</v>
      </c>
      <c r="AB270" s="34">
        <v>79</v>
      </c>
      <c r="AC270" s="34">
        <v>81.400000000000006</v>
      </c>
      <c r="AD270" s="34">
        <v>41896</v>
      </c>
      <c r="AE270" s="34">
        <v>6.8</v>
      </c>
      <c r="AF270" s="34">
        <v>491</v>
      </c>
      <c r="AG270" s="34">
        <v>91.2</v>
      </c>
      <c r="AH270" s="34">
        <v>89.4</v>
      </c>
      <c r="AI270" s="64">
        <v>100</v>
      </c>
      <c r="AJ270" s="64">
        <v>93.3</v>
      </c>
      <c r="AK270" s="64">
        <v>175.7826</v>
      </c>
      <c r="AL270" s="64">
        <v>75.3</v>
      </c>
      <c r="AM270" s="123">
        <v>114.17474720365945</v>
      </c>
      <c r="AN270" s="123">
        <v>247.04550133962783</v>
      </c>
      <c r="AO270" s="123">
        <v>125.3508063903915</v>
      </c>
      <c r="AP270" s="33">
        <v>90.03</v>
      </c>
      <c r="AQ270" s="34">
        <f t="shared" si="47"/>
        <v>0.90029999999999999</v>
      </c>
      <c r="AR270" s="34">
        <v>100.1</v>
      </c>
      <c r="AS270" s="34">
        <v>97.9</v>
      </c>
      <c r="AT270" s="34">
        <v>102.3</v>
      </c>
      <c r="AU270" s="34">
        <v>99.8</v>
      </c>
      <c r="AV270" s="69">
        <v>96.6</v>
      </c>
      <c r="AW270" s="34">
        <v>103</v>
      </c>
      <c r="AX270" s="34">
        <v>15.9</v>
      </c>
      <c r="AY270" s="34">
        <v>4.4000000000000004</v>
      </c>
      <c r="AZ270" s="34">
        <v>11.8</v>
      </c>
      <c r="BA270" s="34">
        <v>4.8</v>
      </c>
      <c r="BB270" s="34">
        <v>104.1</v>
      </c>
      <c r="BC270" s="34">
        <v>101.5</v>
      </c>
      <c r="BD270" s="34">
        <v>106.8</v>
      </c>
      <c r="BE270" s="34">
        <v>40.299999999999997</v>
      </c>
      <c r="BF270" s="34">
        <v>5.4</v>
      </c>
      <c r="BG270" s="34">
        <v>5.9</v>
      </c>
      <c r="BH270" s="34">
        <v>142.80000000000001</v>
      </c>
      <c r="BI270" s="34">
        <v>73</v>
      </c>
      <c r="BJ270" s="34">
        <v>50.22</v>
      </c>
      <c r="BK270" s="34">
        <v>31.358490814307235</v>
      </c>
      <c r="BL270" s="34">
        <v>-0.309</v>
      </c>
      <c r="BM270" s="34">
        <v>99.862200000000001</v>
      </c>
      <c r="BN270" s="34">
        <v>99.883099999999999</v>
      </c>
      <c r="BO270" s="34">
        <v>0</v>
      </c>
      <c r="BP270" s="34">
        <v>-3</v>
      </c>
      <c r="BQ270" s="34">
        <v>5.3</v>
      </c>
      <c r="BR270" s="34">
        <v>5.5</v>
      </c>
      <c r="BS270" s="34">
        <v>9</v>
      </c>
      <c r="BT270" s="34">
        <v>1.8</v>
      </c>
      <c r="BU270" s="34">
        <v>0</v>
      </c>
      <c r="BV270" s="34">
        <v>14.3</v>
      </c>
      <c r="BW270" s="34">
        <v>-4.8</v>
      </c>
      <c r="BX270" s="34">
        <v>-8.6</v>
      </c>
      <c r="BY270" s="34">
        <v>-9.1999999999999993</v>
      </c>
      <c r="BZ270" s="34">
        <v>104.1</v>
      </c>
      <c r="CA270" s="34">
        <v>-4.8</v>
      </c>
      <c r="CB270" s="34">
        <v>3.7</v>
      </c>
      <c r="CC270" s="34">
        <v>6.8</v>
      </c>
      <c r="CD270" s="34">
        <v>-3.5</v>
      </c>
      <c r="CE270" s="34">
        <v>-19.8</v>
      </c>
      <c r="CF270" s="34">
        <v>35.200000000000003</v>
      </c>
      <c r="CG270" s="34">
        <v>39.9</v>
      </c>
      <c r="CH270" s="34">
        <v>13.2</v>
      </c>
      <c r="CI270" s="34">
        <v>-0.1</v>
      </c>
      <c r="CJ270" s="34">
        <v>-9.8000000000000007</v>
      </c>
      <c r="CK270" s="34">
        <v>9</v>
      </c>
      <c r="CL270" s="34">
        <v>26.3</v>
      </c>
      <c r="CM270" s="34">
        <v>2508.2432859999999</v>
      </c>
      <c r="CN270" s="34">
        <v>12716.46</v>
      </c>
      <c r="CO270" s="34">
        <v>1352.4875</v>
      </c>
      <c r="CP270" s="34">
        <v>2.0430000000000001</v>
      </c>
      <c r="CQ270" s="34">
        <v>1.87</v>
      </c>
      <c r="CR270" s="34">
        <v>70.3</v>
      </c>
      <c r="CS270" s="64">
        <v>37.630000000000003</v>
      </c>
      <c r="CT270" s="34">
        <v>91.2</v>
      </c>
      <c r="CU270" s="34">
        <v>87.1</v>
      </c>
      <c r="CV270" s="34">
        <v>95.2</v>
      </c>
      <c r="CW270" s="34">
        <v>91</v>
      </c>
      <c r="CX270" s="34">
        <v>86.6</v>
      </c>
      <c r="CY270" s="34">
        <v>6.93</v>
      </c>
      <c r="CZ270" s="34">
        <v>47106.436000000002</v>
      </c>
      <c r="DA270" s="34">
        <v>4.08</v>
      </c>
      <c r="DB270" s="34">
        <v>28.51</v>
      </c>
      <c r="DC270" s="34">
        <v>46.72</v>
      </c>
      <c r="DD270" s="34">
        <v>16.02</v>
      </c>
      <c r="DE270" s="34">
        <v>14681.317999999999</v>
      </c>
      <c r="DF270" s="34">
        <v>2645.989</v>
      </c>
      <c r="DG270" s="34">
        <v>2887.9349999999999</v>
      </c>
      <c r="DH270" s="34">
        <v>1416.2929999999999</v>
      </c>
      <c r="DI270" s="34">
        <v>5546.3490000000002</v>
      </c>
      <c r="DJ270" s="34">
        <v>99.802800000000005</v>
      </c>
      <c r="DK270" s="34">
        <v>99.763900000000007</v>
      </c>
      <c r="DL270" s="34">
        <v>99.78</v>
      </c>
      <c r="DM270" s="34">
        <v>99.722399999999993</v>
      </c>
      <c r="DN270" s="34">
        <v>99.883099999999999</v>
      </c>
      <c r="DO270" s="34">
        <v>99.862200000000001</v>
      </c>
      <c r="DP270" s="34">
        <v>99.901399999999995</v>
      </c>
      <c r="DQ270" s="34">
        <v>99.891199999999998</v>
      </c>
      <c r="DR270" s="34">
        <v>86533</v>
      </c>
      <c r="DS270" s="73">
        <v>29189</v>
      </c>
      <c r="DT270" s="73">
        <v>100.2</v>
      </c>
      <c r="DU270">
        <v>193.44435119628906</v>
      </c>
      <c r="DV270">
        <v>127.25827789306641</v>
      </c>
      <c r="DW270">
        <v>662</v>
      </c>
      <c r="DX270">
        <v>328675</v>
      </c>
      <c r="DY270">
        <v>79.099999999999994</v>
      </c>
      <c r="DZ270" t="s">
        <v>312</v>
      </c>
    </row>
    <row r="271" spans="1:130" s="56" customFormat="1" x14ac:dyDescent="0.25">
      <c r="A271" s="1">
        <v>40969</v>
      </c>
      <c r="B271" s="54">
        <v>99.5</v>
      </c>
      <c r="C271" s="112">
        <v>0.36</v>
      </c>
      <c r="D271" s="54">
        <v>1</v>
      </c>
      <c r="E271" s="54">
        <v>1.04</v>
      </c>
      <c r="F271" s="54">
        <v>0.61</v>
      </c>
      <c r="G271" s="54">
        <v>1.25</v>
      </c>
      <c r="H271" s="54">
        <v>1.83</v>
      </c>
      <c r="I271" s="54">
        <f t="shared" si="52"/>
        <v>1.4700000000000002</v>
      </c>
      <c r="J271" s="54">
        <f t="shared" si="53"/>
        <v>0.83000000000000007</v>
      </c>
      <c r="K271" s="54">
        <f>IF(ISNUMBER(H271),H271-E271,"")</f>
        <v>0.79</v>
      </c>
      <c r="L271" s="54">
        <f>IF(ISNUMBER(D271),IF(ISNUMBER(C271),D271-C271,""),"")</f>
        <v>0.64</v>
      </c>
      <c r="M271" s="54">
        <v>96.9</v>
      </c>
      <c r="N271" s="54">
        <v>6941.77</v>
      </c>
      <c r="O271" s="54">
        <v>22.05</v>
      </c>
      <c r="P271" s="64">
        <v>1194.5</v>
      </c>
      <c r="Q271" s="34">
        <f t="shared" si="43"/>
        <v>13.331473214285715</v>
      </c>
      <c r="R271" s="34">
        <v>2096.8000000000002</v>
      </c>
      <c r="S271" s="34">
        <f t="shared" si="44"/>
        <v>2340.178571428572</v>
      </c>
      <c r="T271" s="34">
        <v>2133.1999999999998</v>
      </c>
      <c r="U271" s="34">
        <f t="shared" si="45"/>
        <v>2380.8035714285716</v>
      </c>
      <c r="V271" s="118">
        <v>330031</v>
      </c>
      <c r="W271" s="118">
        <v>4856040</v>
      </c>
      <c r="X271" s="119">
        <v>8723292</v>
      </c>
      <c r="Y271" s="119">
        <v>887428</v>
      </c>
      <c r="Z271" s="54">
        <v>95.9</v>
      </c>
      <c r="AA271" s="54">
        <v>85.7</v>
      </c>
      <c r="AB271" s="54">
        <v>83</v>
      </c>
      <c r="AC271" s="54">
        <v>85.4</v>
      </c>
      <c r="AD271" s="54">
        <v>41940</v>
      </c>
      <c r="AE271" s="54">
        <v>6.8</v>
      </c>
      <c r="AF271" s="54">
        <v>491</v>
      </c>
      <c r="AG271" s="54">
        <v>91.5</v>
      </c>
      <c r="AH271" s="54">
        <v>89.6</v>
      </c>
      <c r="AI271" s="64">
        <v>100.4</v>
      </c>
      <c r="AJ271" s="64">
        <v>93.3</v>
      </c>
      <c r="AK271" s="64">
        <v>176.95448400000001</v>
      </c>
      <c r="AL271" s="64">
        <v>75.599999999999994</v>
      </c>
      <c r="AM271" s="123">
        <v>124.5716655244396</v>
      </c>
      <c r="AN271" s="123">
        <v>257.11558823517316</v>
      </c>
      <c r="AO271" s="123">
        <v>126.91489844873865</v>
      </c>
      <c r="AP271" s="33">
        <v>94.43</v>
      </c>
      <c r="AQ271" s="54">
        <f t="shared" si="47"/>
        <v>0.94053784860557765</v>
      </c>
      <c r="AR271" s="54">
        <v>100.1</v>
      </c>
      <c r="AS271" s="54">
        <v>98.2</v>
      </c>
      <c r="AT271" s="54">
        <v>102.1</v>
      </c>
      <c r="AU271" s="54">
        <v>99.7</v>
      </c>
      <c r="AV271" s="70">
        <v>97</v>
      </c>
      <c r="AW271" s="54">
        <v>102.5</v>
      </c>
      <c r="AX271" s="54">
        <v>15.9</v>
      </c>
      <c r="AY271" s="54">
        <v>-4.4000000000000004</v>
      </c>
      <c r="AZ271" s="54">
        <v>11.9</v>
      </c>
      <c r="BA271" s="54">
        <v>2.7</v>
      </c>
      <c r="BB271" s="54">
        <v>103</v>
      </c>
      <c r="BC271" s="54">
        <v>100.5</v>
      </c>
      <c r="BD271" s="54">
        <v>105.5</v>
      </c>
      <c r="BE271" s="54">
        <v>37.6</v>
      </c>
      <c r="BF271" s="54">
        <v>22.3</v>
      </c>
      <c r="BG271" s="54">
        <v>7.2</v>
      </c>
      <c r="BH271" s="54">
        <v>143.1</v>
      </c>
      <c r="BI271" s="54">
        <v>61.4</v>
      </c>
      <c r="BJ271" s="34">
        <v>48.36</v>
      </c>
      <c r="BK271" s="54">
        <v>45.114581423375711</v>
      </c>
      <c r="BL271" s="54">
        <v>-0.23400000000000001</v>
      </c>
      <c r="BM271" s="54">
        <v>99.813999999999993</v>
      </c>
      <c r="BN271" s="54">
        <v>99.841700000000003</v>
      </c>
      <c r="BO271" s="54">
        <v>-3.7</v>
      </c>
      <c r="BP271" s="54">
        <v>-7.4</v>
      </c>
      <c r="BQ271" s="54">
        <v>5.5</v>
      </c>
      <c r="BR271" s="54">
        <v>1.9</v>
      </c>
      <c r="BS271" s="54">
        <v>8.1</v>
      </c>
      <c r="BT271" s="54">
        <v>1.8</v>
      </c>
      <c r="BU271" s="54">
        <v>-2.4</v>
      </c>
      <c r="BV271" s="54">
        <v>15.3</v>
      </c>
      <c r="BW271" s="54">
        <v>-4.8</v>
      </c>
      <c r="BX271" s="54">
        <v>-5.8</v>
      </c>
      <c r="BY271" s="54">
        <v>-9.5</v>
      </c>
      <c r="BZ271" s="54">
        <v>103.7</v>
      </c>
      <c r="CA271" s="54">
        <v>-4.8</v>
      </c>
      <c r="CB271" s="54">
        <v>2.5</v>
      </c>
      <c r="CC271" s="54">
        <v>5.8</v>
      </c>
      <c r="CD271" s="54">
        <v>-3.6</v>
      </c>
      <c r="CE271" s="54">
        <v>-19.3</v>
      </c>
      <c r="CF271" s="54">
        <v>40.700000000000003</v>
      </c>
      <c r="CG271" s="54">
        <v>41.5</v>
      </c>
      <c r="CH271" s="54">
        <v>14.9</v>
      </c>
      <c r="CI271" s="54">
        <v>-0.1</v>
      </c>
      <c r="CJ271" s="54">
        <v>-8</v>
      </c>
      <c r="CK271" s="54">
        <v>7.1</v>
      </c>
      <c r="CL271" s="54">
        <v>25.9</v>
      </c>
      <c r="CM271" s="54">
        <v>2532.183364</v>
      </c>
      <c r="CN271" s="54">
        <v>12980.3</v>
      </c>
      <c r="CO271" s="54">
        <v>1389.24</v>
      </c>
      <c r="CP271" s="54">
        <v>2.1360000000000001</v>
      </c>
      <c r="CQ271" s="54">
        <v>2.0299999999999998</v>
      </c>
      <c r="CR271" s="54">
        <v>69.8</v>
      </c>
      <c r="CS271" s="64">
        <v>38.43</v>
      </c>
      <c r="CT271" s="54">
        <v>94</v>
      </c>
      <c r="CU271" s="54">
        <v>86.9</v>
      </c>
      <c r="CV271" s="54">
        <v>96.2</v>
      </c>
      <c r="CW271" s="54">
        <v>91.5</v>
      </c>
      <c r="CX271" s="54">
        <v>90.7</v>
      </c>
      <c r="CY271" s="54">
        <v>6.6</v>
      </c>
      <c r="CZ271" s="54">
        <v>50330.66</v>
      </c>
      <c r="DA271" s="54">
        <v>4.05</v>
      </c>
      <c r="DB271" s="54">
        <v>28.96</v>
      </c>
      <c r="DC271" s="54">
        <v>46.05</v>
      </c>
      <c r="DD271" s="54">
        <v>16.149999999999999</v>
      </c>
      <c r="DE271" s="54">
        <v>15961.776</v>
      </c>
      <c r="DF271" s="54">
        <v>2710.8110000000001</v>
      </c>
      <c r="DG271" s="54">
        <v>3320.2089999999998</v>
      </c>
      <c r="DH271" s="54">
        <v>1494.7919999999999</v>
      </c>
      <c r="DI271" s="54">
        <v>6149.9160000000002</v>
      </c>
      <c r="DJ271" s="54">
        <v>99.753200000000007</v>
      </c>
      <c r="DK271" s="54">
        <v>99.697999999999993</v>
      </c>
      <c r="DL271" s="54">
        <v>99.74</v>
      </c>
      <c r="DM271" s="54">
        <v>99.67</v>
      </c>
      <c r="DN271" s="54">
        <v>99.841700000000003</v>
      </c>
      <c r="DO271" s="54">
        <v>99.813999999999993</v>
      </c>
      <c r="DP271" s="54">
        <v>99.956100000000006</v>
      </c>
      <c r="DQ271" s="54">
        <v>99.951300000000003</v>
      </c>
      <c r="DR271" s="54">
        <v>78193</v>
      </c>
      <c r="DS271" s="73">
        <v>29251</v>
      </c>
      <c r="DT271" s="73">
        <v>100.7</v>
      </c>
      <c r="DU271">
        <v>177.49269104003906</v>
      </c>
      <c r="DV271">
        <v>112.18206024169922</v>
      </c>
      <c r="DW271">
        <v>763</v>
      </c>
      <c r="DX271">
        <v>289000</v>
      </c>
      <c r="DY271">
        <v>80.5</v>
      </c>
      <c r="DZ271" t="s">
        <v>312</v>
      </c>
    </row>
    <row r="272" spans="1:130" x14ac:dyDescent="0.25">
      <c r="A272" s="1">
        <v>41000</v>
      </c>
      <c r="B272" s="64">
        <v>97.7</v>
      </c>
      <c r="C272" s="110">
        <v>0.35</v>
      </c>
      <c r="D272" s="64">
        <v>1</v>
      </c>
      <c r="E272" s="64">
        <v>0.88</v>
      </c>
      <c r="F272" s="64">
        <v>0.48</v>
      </c>
      <c r="G272" s="64">
        <v>1.05</v>
      </c>
      <c r="H272" s="64">
        <v>1.62</v>
      </c>
      <c r="I272" s="64">
        <f t="shared" si="52"/>
        <v>1.27</v>
      </c>
      <c r="J272" s="64">
        <f t="shared" si="53"/>
        <v>0.62000000000000011</v>
      </c>
      <c r="K272" s="64">
        <f>IF(ISNUMBER(H272),H272-E272,"")</f>
        <v>0.7400000000000001</v>
      </c>
      <c r="L272" s="64">
        <f>IF(ISNUMBER(D272),IF(ISNUMBER(C272),D272-C272,""),"")</f>
        <v>0.65</v>
      </c>
      <c r="M272" s="64">
        <v>96.6</v>
      </c>
      <c r="N272" s="64">
        <v>7056.65</v>
      </c>
      <c r="O272" s="64">
        <v>19.899999999999999</v>
      </c>
      <c r="P272" s="64">
        <v>1200.4000000000001</v>
      </c>
      <c r="Q272" s="34">
        <f t="shared" si="43"/>
        <v>13.397321428571431</v>
      </c>
      <c r="R272" s="34">
        <v>2107.5</v>
      </c>
      <c r="S272" s="34">
        <f t="shared" si="44"/>
        <v>2352.1205357142858</v>
      </c>
      <c r="T272" s="34">
        <v>2141.8000000000002</v>
      </c>
      <c r="U272" s="34">
        <f t="shared" si="45"/>
        <v>2390.4017857142862</v>
      </c>
      <c r="V272" s="118">
        <v>327593</v>
      </c>
      <c r="W272" s="118">
        <v>4831364</v>
      </c>
      <c r="X272" s="119">
        <v>8704188</v>
      </c>
      <c r="Y272" s="119">
        <v>871410</v>
      </c>
      <c r="Z272" s="64">
        <v>95.9</v>
      </c>
      <c r="AA272" s="64">
        <v>83.9</v>
      </c>
      <c r="AB272" s="64">
        <v>78.099999999999994</v>
      </c>
      <c r="AC272" s="64">
        <v>82</v>
      </c>
      <c r="AD272" s="64">
        <v>41973</v>
      </c>
      <c r="AE272" s="64">
        <v>6.9</v>
      </c>
      <c r="AF272" s="64">
        <v>491</v>
      </c>
      <c r="AG272" s="64">
        <v>91.6</v>
      </c>
      <c r="AH272" s="64">
        <v>89.6</v>
      </c>
      <c r="AI272" s="64">
        <v>100.1</v>
      </c>
      <c r="AJ272" s="64">
        <v>93.5</v>
      </c>
      <c r="AK272" s="64">
        <v>177.345112</v>
      </c>
      <c r="AL272" s="64">
        <v>76.5</v>
      </c>
      <c r="AM272" s="123">
        <v>123.40526416185121</v>
      </c>
      <c r="AN272" s="123">
        <v>249.74896573102177</v>
      </c>
      <c r="AO272" s="123">
        <v>125.28080104381928</v>
      </c>
      <c r="AP272" s="33">
        <v>91.56</v>
      </c>
      <c r="AQ272" s="64">
        <f t="shared" si="47"/>
        <v>0.91468531468531478</v>
      </c>
      <c r="AR272" s="64">
        <v>100.6</v>
      </c>
      <c r="AS272" s="64">
        <v>98.8</v>
      </c>
      <c r="AT272" s="64">
        <v>102.4</v>
      </c>
      <c r="AU272" s="64">
        <v>100.7</v>
      </c>
      <c r="AV272" s="68">
        <v>98.4</v>
      </c>
      <c r="AW272" s="64">
        <v>103.1</v>
      </c>
      <c r="AX272" s="64">
        <v>18.8</v>
      </c>
      <c r="AY272" s="64">
        <v>0.6</v>
      </c>
      <c r="AZ272" s="64">
        <v>12.9</v>
      </c>
      <c r="BA272" s="64">
        <v>5.7</v>
      </c>
      <c r="BB272" s="64">
        <v>102.7</v>
      </c>
      <c r="BC272" s="64">
        <v>100.6</v>
      </c>
      <c r="BD272" s="64">
        <v>104.8</v>
      </c>
      <c r="BE272" s="64">
        <v>40.700000000000003</v>
      </c>
      <c r="BF272" s="64">
        <v>23.4</v>
      </c>
      <c r="BG272" s="64">
        <v>8.5</v>
      </c>
      <c r="BH272" s="64">
        <v>140</v>
      </c>
      <c r="BI272" s="64">
        <v>12.5</v>
      </c>
      <c r="BJ272" s="34">
        <v>46.21</v>
      </c>
      <c r="BK272" s="64">
        <v>56.097929685502926</v>
      </c>
      <c r="BL272" s="64">
        <v>-0.184</v>
      </c>
      <c r="BM272" s="64">
        <v>99.705600000000004</v>
      </c>
      <c r="BN272" s="64">
        <v>99.748599999999996</v>
      </c>
      <c r="BO272" s="64">
        <v>-3.4</v>
      </c>
      <c r="BP272" s="64">
        <v>-6.2</v>
      </c>
      <c r="BQ272" s="64">
        <v>4.5999999999999996</v>
      </c>
      <c r="BR272" s="64">
        <v>3.4</v>
      </c>
      <c r="BS272" s="64">
        <v>10.1</v>
      </c>
      <c r="BT272" s="64">
        <v>3</v>
      </c>
      <c r="BU272" s="64">
        <v>-1.5</v>
      </c>
      <c r="BV272" s="64">
        <v>17.3</v>
      </c>
      <c r="BW272" s="64">
        <v>-4.7</v>
      </c>
      <c r="BX272" s="64">
        <v>-4.4000000000000004</v>
      </c>
      <c r="BY272" s="64">
        <v>-9.5</v>
      </c>
      <c r="BZ272" s="64">
        <v>104.7</v>
      </c>
      <c r="CA272" s="64">
        <v>-4.7</v>
      </c>
      <c r="CB272" s="64">
        <v>4</v>
      </c>
      <c r="CC272" s="64">
        <v>5.6</v>
      </c>
      <c r="CD272" s="64">
        <v>-6.8</v>
      </c>
      <c r="CE272" s="64">
        <v>-20</v>
      </c>
      <c r="CF272" s="64">
        <v>44.8</v>
      </c>
      <c r="CG272" s="64">
        <v>42.9</v>
      </c>
      <c r="CH272" s="64">
        <v>16.600000000000001</v>
      </c>
      <c r="CI272" s="64">
        <v>-4.5999999999999996</v>
      </c>
      <c r="CJ272" s="64">
        <v>-8.3000000000000007</v>
      </c>
      <c r="CK272" s="64">
        <v>4.3</v>
      </c>
      <c r="CL272" s="64">
        <v>24.3</v>
      </c>
      <c r="CM272" s="64">
        <v>2340.7787370000001</v>
      </c>
      <c r="CN272" s="64">
        <v>13264.49</v>
      </c>
      <c r="CO272" s="64">
        <v>1386.4290000000001</v>
      </c>
      <c r="CP272" s="64">
        <v>2.1280000000000001</v>
      </c>
      <c r="CQ272" s="64">
        <v>2.2200000000000002</v>
      </c>
      <c r="CR272" s="64">
        <v>72.3</v>
      </c>
      <c r="CS272" s="64">
        <v>38.07</v>
      </c>
      <c r="CT272" s="64">
        <v>94.3</v>
      </c>
      <c r="CU272" s="64">
        <v>85.4</v>
      </c>
      <c r="CV272" s="64">
        <v>95.8</v>
      </c>
      <c r="CW272" s="64">
        <v>91.7</v>
      </c>
      <c r="CX272" s="64">
        <v>91.1</v>
      </c>
      <c r="CY272" s="64">
        <v>6.85</v>
      </c>
      <c r="CZ272" s="64">
        <v>44430.199000000001</v>
      </c>
      <c r="DA272" s="64">
        <v>4.4000000000000004</v>
      </c>
      <c r="DB272" s="64">
        <v>28.29</v>
      </c>
      <c r="DC272" s="64">
        <v>45.38</v>
      </c>
      <c r="DD272" s="64">
        <v>16.79</v>
      </c>
      <c r="DE272" s="64">
        <v>13792.26</v>
      </c>
      <c r="DF272" s="64">
        <v>2503.7869999999998</v>
      </c>
      <c r="DG272" s="64">
        <v>3055.098</v>
      </c>
      <c r="DH272" s="64">
        <v>1258.934</v>
      </c>
      <c r="DI272" s="64">
        <v>5320.2529999999997</v>
      </c>
      <c r="DJ272" s="64">
        <v>99.706000000000003</v>
      </c>
      <c r="DK272" s="64">
        <v>99.637100000000004</v>
      </c>
      <c r="DL272" s="64">
        <v>99.7</v>
      </c>
      <c r="DM272" s="64">
        <v>99.6233</v>
      </c>
      <c r="DN272" s="64">
        <v>99.748599999999996</v>
      </c>
      <c r="DO272" s="64">
        <v>99.705600000000004</v>
      </c>
      <c r="DP272" s="64">
        <v>99.930599999999998</v>
      </c>
      <c r="DQ272" s="64">
        <v>99.923400000000001</v>
      </c>
      <c r="DR272" s="64">
        <v>71297</v>
      </c>
      <c r="DS272" s="73">
        <v>29283</v>
      </c>
      <c r="DT272" s="73">
        <v>100.2</v>
      </c>
      <c r="DU272">
        <v>216.99586486816406</v>
      </c>
      <c r="DV272">
        <v>139.8486328125</v>
      </c>
      <c r="DW272">
        <v>934</v>
      </c>
      <c r="DX272">
        <v>260650</v>
      </c>
      <c r="DY272">
        <v>79</v>
      </c>
      <c r="DZ272" t="s">
        <v>312</v>
      </c>
    </row>
    <row r="273" spans="1:130" x14ac:dyDescent="0.25">
      <c r="A273" s="1">
        <v>41030</v>
      </c>
      <c r="B273" s="34">
        <v>99.4</v>
      </c>
      <c r="C273" s="111">
        <v>0.34</v>
      </c>
      <c r="D273" s="34">
        <v>1</v>
      </c>
      <c r="E273" s="34">
        <v>0.76</v>
      </c>
      <c r="F273" s="34">
        <v>0.31</v>
      </c>
      <c r="G273" s="34">
        <v>0.81</v>
      </c>
      <c r="H273" s="34">
        <v>1.34</v>
      </c>
      <c r="I273" s="34">
        <f t="shared" si="52"/>
        <v>1</v>
      </c>
      <c r="J273" s="34">
        <f t="shared" si="53"/>
        <v>0.34000000000000008</v>
      </c>
      <c r="K273" s="34">
        <f t="shared" ref="K273:K278" si="54">IF(ISNUMBER(H273),IF(ISNUMBER(E273),H273-E273,""),"")</f>
        <v>0.58000000000000007</v>
      </c>
      <c r="L273" s="34">
        <f t="shared" ref="L273:L278" si="55">IF(ISNUMBER(D273),IF(ISNUMBER(C273),D273-C273,""),"")</f>
        <v>0.65999999999999992</v>
      </c>
      <c r="M273" s="34">
        <v>95.8</v>
      </c>
      <c r="N273" s="34">
        <v>6761.19</v>
      </c>
      <c r="O273" s="34">
        <v>23.25</v>
      </c>
      <c r="P273" s="64">
        <v>1217.5</v>
      </c>
      <c r="Q273" s="34">
        <f t="shared" ref="Q273:Q336" si="56">IF(ISNUMBER(P273),IF(ISNUMBER(AH273),P273/AH273,"NA"),"")</f>
        <v>13.557906458797328</v>
      </c>
      <c r="R273" s="34">
        <v>2126.3000000000002</v>
      </c>
      <c r="S273" s="34">
        <f t="shared" ref="S273:S336" si="57">IF(ISNUMBER(R273),IF(ISNUMBER(AH273),R273/AH273*100,""),"")</f>
        <v>2367.8173719376396</v>
      </c>
      <c r="T273" s="34">
        <v>2158.6</v>
      </c>
      <c r="U273" s="34">
        <f t="shared" ref="U273:U336" si="58">IF(ISNUMBER(T273),IF(ISNUMBER(AH273),T273/AH273*100,""),"")</f>
        <v>2403.7861915367484</v>
      </c>
      <c r="V273" s="118">
        <v>320854</v>
      </c>
      <c r="W273" s="118">
        <v>4881060</v>
      </c>
      <c r="X273" s="119">
        <v>8746773</v>
      </c>
      <c r="Y273" s="119">
        <v>880689</v>
      </c>
      <c r="Z273" s="34">
        <v>96.5</v>
      </c>
      <c r="AA273" s="34">
        <v>85.2</v>
      </c>
      <c r="AB273" s="34">
        <v>82.1</v>
      </c>
      <c r="AC273" s="34">
        <v>83.7</v>
      </c>
      <c r="AD273" s="34">
        <v>42025</v>
      </c>
      <c r="AE273" s="34">
        <v>6.8</v>
      </c>
      <c r="AF273" s="34">
        <v>490</v>
      </c>
      <c r="AG273" s="34">
        <v>91.5</v>
      </c>
      <c r="AH273" s="34">
        <v>89.8</v>
      </c>
      <c r="AI273" s="64">
        <v>99.6</v>
      </c>
      <c r="AJ273" s="64">
        <v>93.4</v>
      </c>
      <c r="AK273" s="64">
        <v>176.75917000000001</v>
      </c>
      <c r="AL273" s="64">
        <v>77.3</v>
      </c>
      <c r="AM273" s="123">
        <v>119.74881189038894</v>
      </c>
      <c r="AN273" s="123">
        <v>238.28244052226762</v>
      </c>
      <c r="AO273" s="123">
        <v>126.3944081642088</v>
      </c>
      <c r="AP273" s="33">
        <v>86.57</v>
      </c>
      <c r="AQ273" s="34">
        <f t="shared" si="47"/>
        <v>0.86917670682730919</v>
      </c>
      <c r="AR273" s="34">
        <v>98.4</v>
      </c>
      <c r="AS273" s="34">
        <v>96.6</v>
      </c>
      <c r="AT273" s="34">
        <v>100.3</v>
      </c>
      <c r="AU273" s="34">
        <v>98.2</v>
      </c>
      <c r="AV273" s="69">
        <v>95.7</v>
      </c>
      <c r="AW273" s="34">
        <v>100.7</v>
      </c>
      <c r="AX273" s="34">
        <v>10.5</v>
      </c>
      <c r="AY273" s="34">
        <v>-4.8</v>
      </c>
      <c r="AZ273" s="34">
        <v>11.3</v>
      </c>
      <c r="BA273" s="34">
        <v>-0.6</v>
      </c>
      <c r="BB273" s="34">
        <v>100</v>
      </c>
      <c r="BC273" s="34">
        <v>97.4</v>
      </c>
      <c r="BD273" s="34">
        <v>102.6</v>
      </c>
      <c r="BE273" s="34">
        <v>44.1</v>
      </c>
      <c r="BF273" s="34">
        <v>10.8</v>
      </c>
      <c r="BG273" s="34">
        <v>19.600000000000001</v>
      </c>
      <c r="BH273" s="34">
        <v>149.6</v>
      </c>
      <c r="BI273" s="34">
        <v>2.8</v>
      </c>
      <c r="BJ273" s="34">
        <v>45.19</v>
      </c>
      <c r="BK273" s="34">
        <v>54.13474756247107</v>
      </c>
      <c r="BL273" s="34">
        <v>-0.248</v>
      </c>
      <c r="BM273" s="34">
        <v>99.536199999999994</v>
      </c>
      <c r="BN273" s="34">
        <v>99.602999999999994</v>
      </c>
      <c r="BO273" s="34">
        <v>-8.9</v>
      </c>
      <c r="BP273" s="34">
        <v>-11.2</v>
      </c>
      <c r="BQ273" s="34">
        <v>5.0999999999999996</v>
      </c>
      <c r="BR273" s="34">
        <v>0.9</v>
      </c>
      <c r="BS273" s="34">
        <v>8.1999999999999993</v>
      </c>
      <c r="BT273" s="34">
        <v>-1.3</v>
      </c>
      <c r="BU273" s="34">
        <v>-4.4000000000000004</v>
      </c>
      <c r="BV273" s="34">
        <v>16.2</v>
      </c>
      <c r="BW273" s="34">
        <v>-5.4</v>
      </c>
      <c r="BX273" s="34">
        <v>-12.3</v>
      </c>
      <c r="BY273" s="34">
        <v>-8.1999999999999993</v>
      </c>
      <c r="BZ273" s="34">
        <v>102.8</v>
      </c>
      <c r="CA273" s="34">
        <v>-5.4</v>
      </c>
      <c r="CB273" s="34">
        <v>2</v>
      </c>
      <c r="CC273" s="34">
        <v>5.3</v>
      </c>
      <c r="CD273" s="34">
        <v>-4.3</v>
      </c>
      <c r="CE273" s="34">
        <v>-17.899999999999999</v>
      </c>
      <c r="CF273" s="34">
        <v>40.9</v>
      </c>
      <c r="CG273" s="34">
        <v>35.5</v>
      </c>
      <c r="CH273" s="34">
        <v>18</v>
      </c>
      <c r="CI273" s="34">
        <v>-3.5</v>
      </c>
      <c r="CJ273" s="34">
        <v>-11</v>
      </c>
      <c r="CK273" s="34">
        <v>3.5</v>
      </c>
      <c r="CL273" s="34">
        <v>24.2</v>
      </c>
      <c r="CM273" s="34">
        <v>2198.5030870000001</v>
      </c>
      <c r="CN273" s="34">
        <v>13279.32</v>
      </c>
      <c r="CO273" s="34">
        <v>1341.272727</v>
      </c>
      <c r="CP273" s="34">
        <v>2.0070000000000001</v>
      </c>
      <c r="CQ273" s="34">
        <v>1.98</v>
      </c>
      <c r="CR273" s="34">
        <v>74.3</v>
      </c>
      <c r="CS273" s="64">
        <v>37.979999999999997</v>
      </c>
      <c r="CT273" s="34">
        <v>92.7</v>
      </c>
      <c r="CU273" s="34">
        <v>85.7</v>
      </c>
      <c r="CV273" s="34">
        <v>95.1</v>
      </c>
      <c r="CW273" s="34">
        <v>89.5</v>
      </c>
      <c r="CX273" s="34">
        <v>87.1</v>
      </c>
      <c r="CY273" s="34">
        <v>7.14</v>
      </c>
      <c r="CZ273" s="34">
        <v>47491.775999999998</v>
      </c>
      <c r="DA273" s="34">
        <v>4.3899999999999997</v>
      </c>
      <c r="DB273" s="34">
        <v>28.98</v>
      </c>
      <c r="DC273" s="34">
        <v>47.34</v>
      </c>
      <c r="DD273" s="34">
        <v>17.18</v>
      </c>
      <c r="DE273" s="34">
        <v>14969.482</v>
      </c>
      <c r="DF273" s="34">
        <v>2558.895</v>
      </c>
      <c r="DG273" s="34">
        <v>3196.194</v>
      </c>
      <c r="DH273" s="34">
        <v>1332.2570000000001</v>
      </c>
      <c r="DI273" s="34">
        <v>5969.18</v>
      </c>
      <c r="DJ273" s="34">
        <v>99.6648</v>
      </c>
      <c r="DK273" s="34">
        <v>99.586600000000004</v>
      </c>
      <c r="DL273" s="34">
        <v>99.68</v>
      </c>
      <c r="DM273" s="34">
        <v>99.595299999999995</v>
      </c>
      <c r="DN273" s="34">
        <v>99.602999999999994</v>
      </c>
      <c r="DO273" s="34">
        <v>99.536199999999994</v>
      </c>
      <c r="DP273" s="34">
        <v>99.846599999999995</v>
      </c>
      <c r="DQ273" s="34">
        <v>99.8309</v>
      </c>
      <c r="DR273" s="34">
        <v>64780</v>
      </c>
      <c r="DS273" s="73">
        <v>29320</v>
      </c>
      <c r="DT273" s="73">
        <v>100.5</v>
      </c>
      <c r="DU273">
        <v>234.75578308105469</v>
      </c>
      <c r="DV273">
        <v>169.59648132324219</v>
      </c>
      <c r="DW273">
        <v>1152</v>
      </c>
      <c r="DX273">
        <v>238950</v>
      </c>
      <c r="DY273">
        <v>80.8</v>
      </c>
      <c r="DZ273" t="s">
        <v>312</v>
      </c>
    </row>
    <row r="274" spans="1:130" x14ac:dyDescent="0.25">
      <c r="A274" s="1">
        <v>41061</v>
      </c>
      <c r="B274" s="54">
        <v>98.5</v>
      </c>
      <c r="C274" s="112">
        <v>0.33</v>
      </c>
      <c r="D274" s="54">
        <v>1</v>
      </c>
      <c r="E274" s="54">
        <v>0.7</v>
      </c>
      <c r="F274" s="54">
        <v>0.31</v>
      </c>
      <c r="G274" s="54">
        <v>0.8</v>
      </c>
      <c r="H274" s="54">
        <v>1.3</v>
      </c>
      <c r="I274" s="54">
        <f t="shared" si="52"/>
        <v>0.97</v>
      </c>
      <c r="J274" s="54">
        <f t="shared" si="53"/>
        <v>0.30000000000000004</v>
      </c>
      <c r="K274" s="54">
        <f t="shared" si="54"/>
        <v>0.60000000000000009</v>
      </c>
      <c r="L274" s="54">
        <f t="shared" si="55"/>
        <v>0.66999999999999993</v>
      </c>
      <c r="M274" s="54">
        <v>95.5</v>
      </c>
      <c r="N274" s="54">
        <v>6050.29</v>
      </c>
      <c r="O274" s="54">
        <v>32.4</v>
      </c>
      <c r="P274" s="64">
        <v>1237.2</v>
      </c>
      <c r="Q274" s="34">
        <f t="shared" si="56"/>
        <v>13.77728285077951</v>
      </c>
      <c r="R274" s="34">
        <v>2155.5</v>
      </c>
      <c r="S274" s="34">
        <f t="shared" si="57"/>
        <v>2400.3340757238311</v>
      </c>
      <c r="T274" s="34">
        <v>2185.1999999999998</v>
      </c>
      <c r="U274" s="34">
        <f t="shared" si="58"/>
        <v>2433.4075723830733</v>
      </c>
      <c r="V274" s="118">
        <v>312272</v>
      </c>
      <c r="W274" s="118">
        <v>4909295</v>
      </c>
      <c r="X274" s="119">
        <v>8779098</v>
      </c>
      <c r="Y274" s="119">
        <v>879355</v>
      </c>
      <c r="Z274" s="54">
        <v>96.2</v>
      </c>
      <c r="AA274" s="54">
        <v>82.9</v>
      </c>
      <c r="AB274" s="54">
        <v>81.3</v>
      </c>
      <c r="AC274" s="54">
        <v>81.599999999999994</v>
      </c>
      <c r="AD274" s="54">
        <v>42050</v>
      </c>
      <c r="AE274" s="54">
        <v>6.8</v>
      </c>
      <c r="AF274" s="54">
        <v>486</v>
      </c>
      <c r="AG274" s="54">
        <v>91.5</v>
      </c>
      <c r="AH274" s="54">
        <v>89.8</v>
      </c>
      <c r="AI274" s="64">
        <v>98.6</v>
      </c>
      <c r="AJ274" s="64">
        <v>93.3</v>
      </c>
      <c r="AK274" s="64">
        <v>175.977914</v>
      </c>
      <c r="AL274" s="64">
        <v>76.5</v>
      </c>
      <c r="AM274" s="123">
        <v>110.15372827581272</v>
      </c>
      <c r="AN274" s="123">
        <v>216.9264850132069</v>
      </c>
      <c r="AO274" s="123">
        <v>123.58804214177549</v>
      </c>
      <c r="AP274" s="33">
        <v>76.5</v>
      </c>
      <c r="AQ274" s="54">
        <f t="shared" si="47"/>
        <v>0.77586206896551724</v>
      </c>
      <c r="AR274" s="54">
        <v>96.5</v>
      </c>
      <c r="AS274" s="54">
        <v>93.7</v>
      </c>
      <c r="AT274" s="54">
        <v>99.4</v>
      </c>
      <c r="AU274" s="54">
        <v>96.1</v>
      </c>
      <c r="AV274" s="70">
        <v>92.1</v>
      </c>
      <c r="AW274" s="54">
        <v>100.3</v>
      </c>
      <c r="AX274" s="54">
        <v>5.6</v>
      </c>
      <c r="AY274" s="54">
        <v>-4.7</v>
      </c>
      <c r="AZ274" s="54">
        <v>5.7</v>
      </c>
      <c r="BA274" s="54">
        <v>0.5</v>
      </c>
      <c r="BB274" s="54">
        <v>95.9</v>
      </c>
      <c r="BC274" s="54">
        <v>94.2</v>
      </c>
      <c r="BD274" s="54">
        <v>97.6</v>
      </c>
      <c r="BE274" s="54">
        <v>33.200000000000003</v>
      </c>
      <c r="BF274" s="54">
        <v>-16.899999999999999</v>
      </c>
      <c r="BG274" s="54">
        <v>3</v>
      </c>
      <c r="BH274" s="54">
        <v>152.1</v>
      </c>
      <c r="BI274" s="54">
        <v>2.2999999999999998</v>
      </c>
      <c r="BJ274" s="34">
        <v>45.04</v>
      </c>
      <c r="BK274" s="54">
        <v>51.822246152333108</v>
      </c>
      <c r="BL274" s="54">
        <v>-0.42699999999999999</v>
      </c>
      <c r="BM274" s="54">
        <v>99.322699999999998</v>
      </c>
      <c r="BN274" s="54">
        <v>99.419600000000003</v>
      </c>
      <c r="BO274" s="54">
        <v>-10.1</v>
      </c>
      <c r="BP274" s="54">
        <v>-10.199999999999999</v>
      </c>
      <c r="BQ274" s="54">
        <v>5.6</v>
      </c>
      <c r="BR274" s="54">
        <v>-0.4</v>
      </c>
      <c r="BS274" s="54">
        <v>4.3</v>
      </c>
      <c r="BT274" s="54">
        <v>-1.4</v>
      </c>
      <c r="BU274" s="54">
        <v>-5.4</v>
      </c>
      <c r="BV274" s="54">
        <v>13.4</v>
      </c>
      <c r="BW274" s="54">
        <v>-4.5999999999999996</v>
      </c>
      <c r="BX274" s="54">
        <v>-13.4</v>
      </c>
      <c r="BY274" s="54">
        <v>-9.6</v>
      </c>
      <c r="BZ274" s="54">
        <v>101.9</v>
      </c>
      <c r="CA274" s="54">
        <v>-4.5999999999999996</v>
      </c>
      <c r="CB274" s="54">
        <v>5</v>
      </c>
      <c r="CC274" s="54">
        <v>6.5</v>
      </c>
      <c r="CD274" s="54">
        <v>-7.5</v>
      </c>
      <c r="CE274" s="54">
        <v>-21.5</v>
      </c>
      <c r="CF274" s="54">
        <v>35.700000000000003</v>
      </c>
      <c r="CG274" s="54">
        <v>36.200000000000003</v>
      </c>
      <c r="CH274" s="54">
        <v>20.6</v>
      </c>
      <c r="CI274" s="54">
        <v>-2.6</v>
      </c>
      <c r="CJ274" s="54">
        <v>-8.4</v>
      </c>
      <c r="CK274" s="54">
        <v>8.9</v>
      </c>
      <c r="CL274" s="54">
        <v>25.5</v>
      </c>
      <c r="CM274" s="54">
        <v>2152.7450480000002</v>
      </c>
      <c r="CN274" s="54">
        <v>12118.57</v>
      </c>
      <c r="CO274" s="54">
        <v>1323.4842860000001</v>
      </c>
      <c r="CP274" s="54">
        <v>1.4510000000000001</v>
      </c>
      <c r="CQ274" s="54">
        <v>1.47</v>
      </c>
      <c r="CR274" s="54">
        <v>67.8</v>
      </c>
      <c r="CS274" s="64">
        <v>39.44</v>
      </c>
      <c r="CT274" s="54">
        <v>90.9</v>
      </c>
      <c r="CU274" s="54">
        <v>85</v>
      </c>
      <c r="CV274" s="54">
        <v>95</v>
      </c>
      <c r="CW274" s="54">
        <v>88.5</v>
      </c>
      <c r="CX274" s="54">
        <v>88.2</v>
      </c>
      <c r="CY274" s="54">
        <v>6.99</v>
      </c>
      <c r="CZ274" s="54">
        <v>47119.504999999997</v>
      </c>
      <c r="DA274" s="54">
        <v>4.5</v>
      </c>
      <c r="DB274" s="54">
        <v>28.37</v>
      </c>
      <c r="DC274" s="54">
        <v>45.53</v>
      </c>
      <c r="DD274" s="54">
        <v>16.68</v>
      </c>
      <c r="DE274" s="54">
        <v>15862.517</v>
      </c>
      <c r="DF274" s="54">
        <v>2714.8319999999999</v>
      </c>
      <c r="DG274" s="54">
        <v>3275.69</v>
      </c>
      <c r="DH274" s="54">
        <v>1469.326</v>
      </c>
      <c r="DI274" s="54">
        <v>6335.5309999999999</v>
      </c>
      <c r="DJ274" s="54">
        <v>99.632499999999993</v>
      </c>
      <c r="DK274" s="54">
        <v>99.549400000000006</v>
      </c>
      <c r="DL274" s="54">
        <v>99.67</v>
      </c>
      <c r="DM274" s="54">
        <v>99.588899999999995</v>
      </c>
      <c r="DN274" s="54">
        <v>99.419600000000003</v>
      </c>
      <c r="DO274" s="54">
        <v>99.322699999999998</v>
      </c>
      <c r="DP274" s="54">
        <v>99.740899999999996</v>
      </c>
      <c r="DQ274" s="54">
        <v>99.714600000000004</v>
      </c>
      <c r="DR274" s="54">
        <v>58131</v>
      </c>
      <c r="DS274" s="73">
        <v>29339</v>
      </c>
      <c r="DT274" s="73">
        <v>98.9</v>
      </c>
      <c r="DU274">
        <v>244.50212097167969</v>
      </c>
      <c r="DV274">
        <v>202.49006652832031</v>
      </c>
      <c r="DW274">
        <v>904</v>
      </c>
      <c r="DX274">
        <v>230875</v>
      </c>
      <c r="DY274">
        <v>80.3</v>
      </c>
      <c r="DZ274" t="s">
        <v>312</v>
      </c>
    </row>
    <row r="275" spans="1:130" x14ac:dyDescent="0.25">
      <c r="A275" s="1">
        <v>41091</v>
      </c>
      <c r="B275" s="64">
        <v>99.2</v>
      </c>
      <c r="C275" s="110">
        <v>0.18</v>
      </c>
      <c r="D275" s="64">
        <v>0.75</v>
      </c>
      <c r="E275" s="64">
        <v>0.61</v>
      </c>
      <c r="F275" s="64">
        <v>0.21</v>
      </c>
      <c r="G275" s="64">
        <v>0.73</v>
      </c>
      <c r="H275" s="64">
        <v>1.24</v>
      </c>
      <c r="I275" s="64">
        <f t="shared" si="52"/>
        <v>1.06</v>
      </c>
      <c r="J275" s="64">
        <f t="shared" si="53"/>
        <v>0.49</v>
      </c>
      <c r="K275" s="64">
        <f t="shared" si="54"/>
        <v>0.63</v>
      </c>
      <c r="L275" s="64">
        <f t="shared" si="55"/>
        <v>0.57000000000000006</v>
      </c>
      <c r="M275" s="64">
        <v>94.7</v>
      </c>
      <c r="N275" s="64">
        <v>6496.08</v>
      </c>
      <c r="O275" s="64">
        <v>22.31</v>
      </c>
      <c r="P275" s="64">
        <v>1263.9000000000001</v>
      </c>
      <c r="Q275" s="34">
        <f t="shared" si="56"/>
        <v>14.058954393770856</v>
      </c>
      <c r="R275" s="34">
        <v>2181.1999999999998</v>
      </c>
      <c r="S275" s="34">
        <f t="shared" si="57"/>
        <v>2426.2513904338148</v>
      </c>
      <c r="T275" s="34">
        <v>2217.1</v>
      </c>
      <c r="U275" s="34">
        <f t="shared" si="58"/>
        <v>2466.1846496106782</v>
      </c>
      <c r="V275" s="118">
        <v>339605</v>
      </c>
      <c r="W275" s="118">
        <v>4971911</v>
      </c>
      <c r="X275" s="119">
        <v>8829323</v>
      </c>
      <c r="Y275" s="119">
        <v>875930</v>
      </c>
      <c r="Z275" s="64">
        <v>96.3</v>
      </c>
      <c r="AA275" s="64">
        <v>83.7</v>
      </c>
      <c r="AB275" s="64">
        <v>81.599999999999994</v>
      </c>
      <c r="AC275" s="64">
        <v>82.4</v>
      </c>
      <c r="AD275" s="64">
        <v>42085</v>
      </c>
      <c r="AE275" s="64">
        <v>6.8</v>
      </c>
      <c r="AF275" s="64">
        <v>480</v>
      </c>
      <c r="AG275" s="64">
        <v>91.6</v>
      </c>
      <c r="AH275" s="64">
        <v>89.9</v>
      </c>
      <c r="AI275" s="64">
        <v>99.1</v>
      </c>
      <c r="AJ275" s="64">
        <v>93.4</v>
      </c>
      <c r="AK275" s="64">
        <v>175.977914</v>
      </c>
      <c r="AL275" s="64">
        <v>97.7</v>
      </c>
      <c r="AM275" s="123">
        <v>107.82858361563726</v>
      </c>
      <c r="AN275" s="123">
        <v>237.23052395473351</v>
      </c>
      <c r="AO275" s="123">
        <v>126.18158682175799</v>
      </c>
      <c r="AP275" s="33">
        <v>83.83</v>
      </c>
      <c r="AQ275" s="64">
        <f t="shared" si="47"/>
        <v>0.84591321897073668</v>
      </c>
      <c r="AR275" s="64">
        <v>95.5</v>
      </c>
      <c r="AS275" s="64">
        <v>92.4</v>
      </c>
      <c r="AT275" s="64">
        <v>98.6</v>
      </c>
      <c r="AU275" s="64">
        <v>94.1</v>
      </c>
      <c r="AV275" s="68">
        <v>90</v>
      </c>
      <c r="AW275" s="64">
        <v>98.3</v>
      </c>
      <c r="AX275" s="64">
        <v>-2.9</v>
      </c>
      <c r="AY275" s="64">
        <v>-7.5</v>
      </c>
      <c r="AZ275" s="64">
        <v>1.6</v>
      </c>
      <c r="BA275" s="64">
        <v>-9.1</v>
      </c>
      <c r="BB275" s="64">
        <v>97.1</v>
      </c>
      <c r="BC275" s="64">
        <v>93.7</v>
      </c>
      <c r="BD275" s="64">
        <v>100.5</v>
      </c>
      <c r="BE275" s="64">
        <v>21.1</v>
      </c>
      <c r="BF275" s="64">
        <v>-19.600000000000001</v>
      </c>
      <c r="BG275" s="64">
        <v>-5.6</v>
      </c>
      <c r="BH275" s="64">
        <v>155.6</v>
      </c>
      <c r="BI275" s="64">
        <v>3.3</v>
      </c>
      <c r="BJ275" s="34">
        <v>42.980000000000004</v>
      </c>
      <c r="BK275" s="64">
        <v>56.102836403804631</v>
      </c>
      <c r="BL275" s="64">
        <v>-0.54200000000000004</v>
      </c>
      <c r="BM275" s="64">
        <v>99.105599999999995</v>
      </c>
      <c r="BN275" s="64">
        <v>99.233099999999993</v>
      </c>
      <c r="BO275" s="64">
        <v>-12.7</v>
      </c>
      <c r="BP275" s="64">
        <v>-14.2</v>
      </c>
      <c r="BQ275" s="64">
        <v>8.1999999999999993</v>
      </c>
      <c r="BR275" s="64">
        <v>-5.4</v>
      </c>
      <c r="BS275" s="64">
        <v>2.2000000000000002</v>
      </c>
      <c r="BT275" s="64">
        <v>-4.9000000000000004</v>
      </c>
      <c r="BU275" s="64">
        <v>-8.8000000000000007</v>
      </c>
      <c r="BV275" s="64">
        <v>9.4</v>
      </c>
      <c r="BW275" s="64">
        <v>-5.6</v>
      </c>
      <c r="BX275" s="64">
        <v>-12.6</v>
      </c>
      <c r="BY275" s="64">
        <v>-8.3000000000000007</v>
      </c>
      <c r="BZ275" s="64">
        <v>98.9</v>
      </c>
      <c r="CA275" s="64">
        <v>-5.6</v>
      </c>
      <c r="CB275" s="64">
        <v>4</v>
      </c>
      <c r="CC275" s="64">
        <v>6</v>
      </c>
      <c r="CD275" s="64">
        <v>-12.9</v>
      </c>
      <c r="CE275" s="64">
        <v>-23</v>
      </c>
      <c r="CF275" s="64">
        <v>33.5</v>
      </c>
      <c r="CG275" s="64">
        <v>37.5</v>
      </c>
      <c r="CH275" s="64">
        <v>23.1</v>
      </c>
      <c r="CI275" s="64">
        <v>-1.2</v>
      </c>
      <c r="CJ275" s="64">
        <v>-9.3000000000000007</v>
      </c>
      <c r="CK275" s="64">
        <v>4.4000000000000004</v>
      </c>
      <c r="CL275" s="64">
        <v>24.4</v>
      </c>
      <c r="CM275" s="64">
        <v>2258.3578640000001</v>
      </c>
      <c r="CN275" s="64">
        <v>12871.39</v>
      </c>
      <c r="CO275" s="64">
        <v>1359.77619</v>
      </c>
      <c r="CP275" s="64">
        <v>1.6319999999999999</v>
      </c>
      <c r="CQ275" s="64">
        <v>1.61</v>
      </c>
      <c r="CR275" s="64">
        <v>65.599999999999994</v>
      </c>
      <c r="CS275" s="64">
        <v>40.01</v>
      </c>
      <c r="CT275" s="64">
        <v>88.1</v>
      </c>
      <c r="CU275" s="64">
        <v>84.6</v>
      </c>
      <c r="CV275" s="64">
        <v>94.6</v>
      </c>
      <c r="CW275" s="64">
        <v>87.9</v>
      </c>
      <c r="CX275" s="64">
        <v>90.2</v>
      </c>
      <c r="CY275" s="64">
        <v>7.63</v>
      </c>
      <c r="CZ275" s="64">
        <v>44857.254000000001</v>
      </c>
      <c r="DA275" s="64">
        <v>4.3899999999999997</v>
      </c>
      <c r="DB275" s="64">
        <v>28.67</v>
      </c>
      <c r="DC275" s="64">
        <v>45.71</v>
      </c>
      <c r="DD275" s="64">
        <v>17.04</v>
      </c>
      <c r="DE275" s="64">
        <v>15729.91</v>
      </c>
      <c r="DF275" s="64">
        <v>2563.0720000000001</v>
      </c>
      <c r="DG275" s="64">
        <v>3519.9380000000001</v>
      </c>
      <c r="DH275" s="64">
        <v>1632.049</v>
      </c>
      <c r="DI275" s="64">
        <v>5967.8580000000002</v>
      </c>
      <c r="DJ275" s="64">
        <v>99.6113</v>
      </c>
      <c r="DK275" s="64">
        <v>99.5274</v>
      </c>
      <c r="DL275" s="64">
        <v>99.69</v>
      </c>
      <c r="DM275" s="64">
        <v>99.605599999999995</v>
      </c>
      <c r="DN275" s="64">
        <v>99.233099999999993</v>
      </c>
      <c r="DO275" s="64">
        <v>99.105599999999995</v>
      </c>
      <c r="DP275" s="64">
        <v>99.659400000000005</v>
      </c>
      <c r="DQ275" s="64">
        <v>99.625</v>
      </c>
      <c r="DR275" s="64">
        <v>41853</v>
      </c>
      <c r="DS275" s="73">
        <v>29393</v>
      </c>
      <c r="DT275" s="73">
        <v>98.5</v>
      </c>
      <c r="DU275">
        <v>206.9815673828125</v>
      </c>
      <c r="DV275">
        <v>237.98158264160156</v>
      </c>
      <c r="DW275">
        <v>1013</v>
      </c>
      <c r="DX275">
        <v>255175</v>
      </c>
      <c r="DY275">
        <v>80.2</v>
      </c>
      <c r="DZ275" t="s">
        <v>312</v>
      </c>
    </row>
    <row r="276" spans="1:130" x14ac:dyDescent="0.25">
      <c r="A276" s="1">
        <v>41122</v>
      </c>
      <c r="B276" s="34">
        <v>99.2</v>
      </c>
      <c r="C276" s="111">
        <v>0.11</v>
      </c>
      <c r="D276" s="34">
        <v>0.75</v>
      </c>
      <c r="E276" s="34">
        <v>0.5</v>
      </c>
      <c r="F276" s="34">
        <v>0.23</v>
      </c>
      <c r="G276" s="34">
        <v>0.8</v>
      </c>
      <c r="H276" s="34">
        <v>1.34</v>
      </c>
      <c r="I276" s="34">
        <f t="shared" si="52"/>
        <v>1.23</v>
      </c>
      <c r="J276" s="34">
        <f t="shared" si="53"/>
        <v>0.59000000000000008</v>
      </c>
      <c r="K276" s="34">
        <f t="shared" si="54"/>
        <v>0.84000000000000008</v>
      </c>
      <c r="L276" s="34">
        <f t="shared" si="55"/>
        <v>0.64</v>
      </c>
      <c r="M276" s="34">
        <v>94.9</v>
      </c>
      <c r="N276" s="34">
        <v>6754.46</v>
      </c>
      <c r="O276" s="34">
        <v>24.98</v>
      </c>
      <c r="P276" s="64">
        <v>1274.3</v>
      </c>
      <c r="Q276" s="34">
        <f t="shared" si="56"/>
        <v>14.158888888888889</v>
      </c>
      <c r="R276" s="34">
        <v>2189.1</v>
      </c>
      <c r="S276" s="34">
        <f t="shared" si="57"/>
        <v>2432.333333333333</v>
      </c>
      <c r="T276" s="34">
        <v>2222.1</v>
      </c>
      <c r="U276" s="34">
        <f t="shared" si="58"/>
        <v>2469</v>
      </c>
      <c r="V276" s="118">
        <v>354671</v>
      </c>
      <c r="W276" s="118">
        <v>5004569</v>
      </c>
      <c r="X276" s="119">
        <v>8846566</v>
      </c>
      <c r="Y276" s="119">
        <v>850555</v>
      </c>
      <c r="Z276" s="34">
        <v>96</v>
      </c>
      <c r="AA276" s="34">
        <v>83.6</v>
      </c>
      <c r="AB276" s="34">
        <v>82.1</v>
      </c>
      <c r="AC276" s="34">
        <v>81.099999999999994</v>
      </c>
      <c r="AD276" s="34">
        <v>42132</v>
      </c>
      <c r="AE276" s="34">
        <v>6.8</v>
      </c>
      <c r="AF276" s="34">
        <v>474</v>
      </c>
      <c r="AG276" s="34">
        <v>91.9</v>
      </c>
      <c r="AH276" s="34">
        <v>90</v>
      </c>
      <c r="AI276" s="64">
        <v>100.1</v>
      </c>
      <c r="AJ276" s="64">
        <v>93.8</v>
      </c>
      <c r="AK276" s="64">
        <v>176.75917000000001</v>
      </c>
      <c r="AL276" s="64">
        <v>76.8</v>
      </c>
      <c r="AM276" s="123">
        <v>119.62645431685918</v>
      </c>
      <c r="AN276" s="123">
        <v>255.6483234219223</v>
      </c>
      <c r="AO276" s="123">
        <v>132.81048124465221</v>
      </c>
      <c r="AP276" s="33">
        <v>91.71</v>
      </c>
      <c r="AQ276" s="34">
        <f t="shared" si="47"/>
        <v>0.91618381618381617</v>
      </c>
      <c r="AR276" s="34">
        <v>94.8</v>
      </c>
      <c r="AS276" s="34">
        <v>91.5</v>
      </c>
      <c r="AT276" s="34">
        <v>98.2</v>
      </c>
      <c r="AU276" s="34">
        <v>94.2</v>
      </c>
      <c r="AV276" s="69">
        <v>89.7</v>
      </c>
      <c r="AW276" s="34">
        <v>98.9</v>
      </c>
      <c r="AX276" s="34">
        <v>0.7</v>
      </c>
      <c r="AY276" s="34">
        <v>-14.1</v>
      </c>
      <c r="AZ276" s="34">
        <v>0.4</v>
      </c>
      <c r="BA276" s="34">
        <v>-7.5</v>
      </c>
      <c r="BB276" s="34">
        <v>95.9</v>
      </c>
      <c r="BC276" s="34">
        <v>93.6</v>
      </c>
      <c r="BD276" s="34">
        <v>98.3</v>
      </c>
      <c r="BE276" s="34">
        <v>18.2</v>
      </c>
      <c r="BF276" s="34">
        <v>-25.5</v>
      </c>
      <c r="BG276" s="34">
        <v>-18.899999999999999</v>
      </c>
      <c r="BH276" s="34">
        <v>157.30000000000001</v>
      </c>
      <c r="BI276" s="34">
        <v>2.6</v>
      </c>
      <c r="BJ276" s="34">
        <v>44.660000000000004</v>
      </c>
      <c r="BK276" s="34">
        <v>59.826324638091492</v>
      </c>
      <c r="BL276" s="34">
        <v>-0.56000000000000005</v>
      </c>
      <c r="BM276" s="34">
        <v>98.926199999999994</v>
      </c>
      <c r="BN276" s="34">
        <v>99.078900000000004</v>
      </c>
      <c r="BO276" s="34">
        <v>-14</v>
      </c>
      <c r="BP276" s="34">
        <v>-15.4</v>
      </c>
      <c r="BQ276" s="34">
        <v>8.6999999999999993</v>
      </c>
      <c r="BR276" s="34">
        <v>-6.2</v>
      </c>
      <c r="BS276" s="34">
        <v>4.4000000000000004</v>
      </c>
      <c r="BT276" s="34">
        <v>-5.6</v>
      </c>
      <c r="BU276" s="34">
        <v>-9.6</v>
      </c>
      <c r="BV276" s="34">
        <v>9.8000000000000007</v>
      </c>
      <c r="BW276" s="34">
        <v>-6.1</v>
      </c>
      <c r="BX276" s="34">
        <v>-15.1</v>
      </c>
      <c r="BY276" s="34">
        <v>-8.9</v>
      </c>
      <c r="BZ276" s="34">
        <v>98.5</v>
      </c>
      <c r="CA276" s="34">
        <v>-6.1</v>
      </c>
      <c r="CB276" s="34">
        <v>5.9</v>
      </c>
      <c r="CC276" s="34">
        <v>5.2</v>
      </c>
      <c r="CD276" s="34">
        <v>-19</v>
      </c>
      <c r="CE276" s="34">
        <v>-26.8</v>
      </c>
      <c r="CF276" s="34">
        <v>33.299999999999997</v>
      </c>
      <c r="CG276" s="34">
        <v>38.1</v>
      </c>
      <c r="CH276" s="34">
        <v>25.2</v>
      </c>
      <c r="CI276" s="34">
        <v>-1.7</v>
      </c>
      <c r="CJ276" s="34">
        <v>-8.6999999999999993</v>
      </c>
      <c r="CK276" s="34">
        <v>7.2</v>
      </c>
      <c r="CL276" s="34">
        <v>25.9</v>
      </c>
      <c r="CM276" s="34">
        <v>2424.5008699999998</v>
      </c>
      <c r="CN276" s="34">
        <v>12971.06</v>
      </c>
      <c r="CO276" s="34">
        <v>1403.440435</v>
      </c>
      <c r="CP276" s="34">
        <v>1.6559999999999999</v>
      </c>
      <c r="CQ276" s="34">
        <v>1.56</v>
      </c>
      <c r="CR276" s="34">
        <v>65.099999999999994</v>
      </c>
      <c r="CS276" s="64">
        <v>42.02</v>
      </c>
      <c r="CT276" s="34">
        <v>87.8</v>
      </c>
      <c r="CU276" s="34">
        <v>80.400000000000006</v>
      </c>
      <c r="CV276" s="34">
        <v>94.4</v>
      </c>
      <c r="CW276" s="34">
        <v>88.6</v>
      </c>
      <c r="CX276" s="34">
        <v>91.6</v>
      </c>
      <c r="CY276" s="34">
        <v>7.78</v>
      </c>
      <c r="CZ276" s="34">
        <v>42106.313000000002</v>
      </c>
      <c r="DA276" s="34">
        <v>4.4000000000000004</v>
      </c>
      <c r="DB276" s="34">
        <v>28.84</v>
      </c>
      <c r="DC276" s="34">
        <v>45.77</v>
      </c>
      <c r="DD276" s="34">
        <v>17.38</v>
      </c>
      <c r="DE276" s="34">
        <v>15518.225</v>
      </c>
      <c r="DF276" s="34">
        <v>2934.8490000000002</v>
      </c>
      <c r="DG276" s="34">
        <v>3466.8939999999998</v>
      </c>
      <c r="DH276" s="34">
        <v>1431.8440000000001</v>
      </c>
      <c r="DI276" s="34">
        <v>5514.0230000000001</v>
      </c>
      <c r="DJ276" s="34">
        <v>99.604900000000001</v>
      </c>
      <c r="DK276" s="34">
        <v>99.524500000000003</v>
      </c>
      <c r="DL276" s="34">
        <v>99.72</v>
      </c>
      <c r="DM276" s="34">
        <v>99.649600000000007</v>
      </c>
      <c r="DN276" s="34">
        <v>99.078900000000004</v>
      </c>
      <c r="DO276" s="34">
        <v>98.926199999999994</v>
      </c>
      <c r="DP276" s="34">
        <v>99.626499999999993</v>
      </c>
      <c r="DQ276" s="34">
        <v>99.588899999999995</v>
      </c>
      <c r="DR276" s="34">
        <v>34454</v>
      </c>
      <c r="DS276" s="73">
        <v>29414</v>
      </c>
      <c r="DT276" s="73">
        <v>98.4</v>
      </c>
      <c r="DU276">
        <v>150.67718505859375</v>
      </c>
      <c r="DV276">
        <v>161.606201171875</v>
      </c>
      <c r="DW276">
        <v>878</v>
      </c>
      <c r="DX276">
        <v>246800</v>
      </c>
      <c r="DY276">
        <v>80.5</v>
      </c>
      <c r="DZ276" t="s">
        <v>312</v>
      </c>
    </row>
    <row r="277" spans="1:130" x14ac:dyDescent="0.25">
      <c r="A277" s="1">
        <v>41153</v>
      </c>
      <c r="B277" s="54">
        <v>98.4</v>
      </c>
      <c r="C277" s="112">
        <v>0.1</v>
      </c>
      <c r="D277" s="54">
        <v>0.75</v>
      </c>
      <c r="E277" s="54">
        <v>0.36</v>
      </c>
      <c r="F277" s="54">
        <v>0.3</v>
      </c>
      <c r="G277" s="54">
        <v>0.91</v>
      </c>
      <c r="H277" s="54">
        <v>1.49</v>
      </c>
      <c r="I277" s="54">
        <f t="shared" si="52"/>
        <v>1.39</v>
      </c>
      <c r="J277" s="54">
        <f t="shared" si="53"/>
        <v>0.74</v>
      </c>
      <c r="K277" s="54">
        <f t="shared" si="54"/>
        <v>1.1299999999999999</v>
      </c>
      <c r="L277" s="54">
        <f t="shared" si="55"/>
        <v>0.65</v>
      </c>
      <c r="M277" s="54">
        <v>95.7</v>
      </c>
      <c r="N277" s="54">
        <v>7014.83</v>
      </c>
      <c r="O277" s="54">
        <v>23.88</v>
      </c>
      <c r="P277" s="64">
        <v>1295.5999999999999</v>
      </c>
      <c r="Q277" s="34">
        <f t="shared" si="56"/>
        <v>14.379578246392896</v>
      </c>
      <c r="R277" s="34">
        <v>2200.5</v>
      </c>
      <c r="S277" s="34">
        <f t="shared" si="57"/>
        <v>2442.2863485016651</v>
      </c>
      <c r="T277" s="34">
        <v>2233</v>
      </c>
      <c r="U277" s="34">
        <f t="shared" si="58"/>
        <v>2478.3573806881245</v>
      </c>
      <c r="V277" s="118">
        <v>347771</v>
      </c>
      <c r="W277" s="118">
        <v>5025079</v>
      </c>
      <c r="X277" s="119">
        <v>8875881</v>
      </c>
      <c r="Y277" s="119">
        <v>837872</v>
      </c>
      <c r="Z277" s="54">
        <v>94.8</v>
      </c>
      <c r="AA277" s="54">
        <v>81.599999999999994</v>
      </c>
      <c r="AB277" s="54">
        <v>81.8</v>
      </c>
      <c r="AC277" s="54">
        <v>79.900000000000006</v>
      </c>
      <c r="AD277" s="54">
        <v>42131</v>
      </c>
      <c r="AE277" s="54">
        <v>6.8</v>
      </c>
      <c r="AF277" s="54">
        <v>468</v>
      </c>
      <c r="AG277" s="54">
        <v>92.2</v>
      </c>
      <c r="AH277" s="54">
        <v>90.1</v>
      </c>
      <c r="AI277" s="64">
        <v>99.4</v>
      </c>
      <c r="AJ277" s="64">
        <v>93.8</v>
      </c>
      <c r="AK277" s="64">
        <v>177.345112</v>
      </c>
      <c r="AL277" s="64">
        <v>76.8</v>
      </c>
      <c r="AM277" s="123">
        <v>125.61092675503804</v>
      </c>
      <c r="AN277" s="123">
        <v>250.87678690015267</v>
      </c>
      <c r="AO277" s="123">
        <v>129.25305763988473</v>
      </c>
      <c r="AP277" s="33">
        <v>88.32</v>
      </c>
      <c r="AQ277" s="54">
        <f t="shared" si="47"/>
        <v>0.88853118712273627</v>
      </c>
      <c r="AR277" s="54">
        <v>93.7</v>
      </c>
      <c r="AS277" s="54">
        <v>91.2</v>
      </c>
      <c r="AT277" s="54">
        <v>96.3</v>
      </c>
      <c r="AU277" s="54">
        <v>93</v>
      </c>
      <c r="AV277" s="70">
        <v>89.6</v>
      </c>
      <c r="AW277" s="54">
        <v>96.5</v>
      </c>
      <c r="AX277" s="54">
        <v>-0.8</v>
      </c>
      <c r="AY277" s="54">
        <v>-17.399999999999999</v>
      </c>
      <c r="AZ277" s="54">
        <v>-1.5</v>
      </c>
      <c r="BA277" s="54">
        <v>-8.1999999999999993</v>
      </c>
      <c r="BB277" s="54">
        <v>94.6</v>
      </c>
      <c r="BC277" s="54">
        <v>92.5</v>
      </c>
      <c r="BD277" s="54">
        <v>96.8</v>
      </c>
      <c r="BE277" s="54">
        <v>12.6</v>
      </c>
      <c r="BF277" s="54">
        <v>-18.2</v>
      </c>
      <c r="BG277" s="54">
        <v>-17.2</v>
      </c>
      <c r="BH277" s="54">
        <v>160.6</v>
      </c>
      <c r="BI277" s="54">
        <v>0.8</v>
      </c>
      <c r="BJ277" s="34">
        <v>47.43</v>
      </c>
      <c r="BK277" s="54">
        <v>58.369227841206282</v>
      </c>
      <c r="BL277" s="54">
        <v>-0.49199999999999999</v>
      </c>
      <c r="BM277" s="54">
        <v>98.816800000000001</v>
      </c>
      <c r="BN277" s="54">
        <v>98.984999999999999</v>
      </c>
      <c r="BO277" s="54">
        <v>-17.100000000000001</v>
      </c>
      <c r="BP277" s="54">
        <v>-18</v>
      </c>
      <c r="BQ277" s="54">
        <v>9.4</v>
      </c>
      <c r="BR277" s="54">
        <v>-9.1</v>
      </c>
      <c r="BS277" s="54">
        <v>3.5</v>
      </c>
      <c r="BT277" s="54">
        <v>-7.9</v>
      </c>
      <c r="BU277" s="54">
        <v>-11.9</v>
      </c>
      <c r="BV277" s="54">
        <v>9.6</v>
      </c>
      <c r="BW277" s="54">
        <v>-7.1</v>
      </c>
      <c r="BX277" s="54">
        <v>-18.100000000000001</v>
      </c>
      <c r="BY277" s="54">
        <v>-8.8000000000000007</v>
      </c>
      <c r="BZ277" s="54">
        <v>97</v>
      </c>
      <c r="CA277" s="54">
        <v>-7.1</v>
      </c>
      <c r="CB277" s="54">
        <v>3.2</v>
      </c>
      <c r="CC277" s="54">
        <v>4.3</v>
      </c>
      <c r="CD277" s="54">
        <v>-20.9</v>
      </c>
      <c r="CE277" s="54">
        <v>-26.3</v>
      </c>
      <c r="CF277" s="54">
        <v>39.200000000000003</v>
      </c>
      <c r="CG277" s="54">
        <v>41.3</v>
      </c>
      <c r="CH277" s="54">
        <v>26.3</v>
      </c>
      <c r="CI277" s="54">
        <v>-1.3</v>
      </c>
      <c r="CJ277" s="54">
        <v>-9.8000000000000007</v>
      </c>
      <c r="CK277" s="54">
        <v>5.6</v>
      </c>
      <c r="CL277" s="54">
        <v>24.2</v>
      </c>
      <c r="CM277" s="54">
        <v>2530.6889500000002</v>
      </c>
      <c r="CN277" s="54">
        <v>13090.84</v>
      </c>
      <c r="CO277" s="54">
        <v>1443.419474</v>
      </c>
      <c r="CP277" s="54">
        <v>1.655</v>
      </c>
      <c r="CQ277" s="54">
        <v>1.57</v>
      </c>
      <c r="CR277" s="54">
        <v>73.5</v>
      </c>
      <c r="CS277" s="64">
        <v>40.24</v>
      </c>
      <c r="CT277" s="54">
        <v>87.2</v>
      </c>
      <c r="CU277" s="54">
        <v>80.900000000000006</v>
      </c>
      <c r="CV277" s="54">
        <v>91.6</v>
      </c>
      <c r="CW277" s="54">
        <v>87.1</v>
      </c>
      <c r="CX277" s="54">
        <v>89</v>
      </c>
      <c r="CY277" s="54">
        <v>8.01</v>
      </c>
      <c r="CZ277" s="54">
        <v>45746.62</v>
      </c>
      <c r="DA277" s="54">
        <v>4.38</v>
      </c>
      <c r="DB277" s="54">
        <v>28.09</v>
      </c>
      <c r="DC277" s="54">
        <v>45.37</v>
      </c>
      <c r="DD277" s="54">
        <v>16.829999999999998</v>
      </c>
      <c r="DE277" s="54">
        <v>14592.447</v>
      </c>
      <c r="DF277" s="54">
        <v>2915.509</v>
      </c>
      <c r="DG277" s="54">
        <v>3195.2020000000002</v>
      </c>
      <c r="DH277" s="54">
        <v>1499.8710000000001</v>
      </c>
      <c r="DI277" s="54">
        <v>5177.9970000000003</v>
      </c>
      <c r="DJ277" s="54">
        <v>99.618200000000002</v>
      </c>
      <c r="DK277" s="54">
        <v>99.546899999999994</v>
      </c>
      <c r="DL277" s="54">
        <v>99.78</v>
      </c>
      <c r="DM277" s="54">
        <v>99.727999999999994</v>
      </c>
      <c r="DN277" s="54">
        <v>98.984999999999999</v>
      </c>
      <c r="DO277" s="54">
        <v>98.816800000000001</v>
      </c>
      <c r="DP277" s="54">
        <v>99.655500000000004</v>
      </c>
      <c r="DQ277" s="54">
        <v>99.620699999999999</v>
      </c>
      <c r="DR277" s="54">
        <v>54017</v>
      </c>
      <c r="DS277" s="73">
        <v>29412</v>
      </c>
      <c r="DT277" s="73">
        <v>98</v>
      </c>
      <c r="DU277">
        <v>209.91194152832031</v>
      </c>
      <c r="DV277">
        <v>227.422607421875</v>
      </c>
      <c r="DW277">
        <v>698</v>
      </c>
      <c r="DX277">
        <v>218800</v>
      </c>
      <c r="DY277">
        <v>80.900000000000006</v>
      </c>
      <c r="DZ277" t="s">
        <v>312</v>
      </c>
    </row>
    <row r="278" spans="1:130" x14ac:dyDescent="0.25">
      <c r="A278" s="1">
        <v>41183</v>
      </c>
      <c r="B278" s="34">
        <v>96.9</v>
      </c>
      <c r="C278" s="111">
        <v>0.09</v>
      </c>
      <c r="D278" s="34">
        <v>0.75</v>
      </c>
      <c r="E278" s="34">
        <v>0.26</v>
      </c>
      <c r="F278" s="34">
        <v>0.31</v>
      </c>
      <c r="G278" s="34">
        <v>0.89</v>
      </c>
      <c r="H278" s="34">
        <v>1.47</v>
      </c>
      <c r="I278" s="34">
        <f t="shared" si="52"/>
        <v>1.38</v>
      </c>
      <c r="J278" s="34">
        <f t="shared" si="53"/>
        <v>0.72</v>
      </c>
      <c r="K278" s="34">
        <f t="shared" si="54"/>
        <v>1.21</v>
      </c>
      <c r="L278" s="34">
        <f t="shared" si="55"/>
        <v>0.66</v>
      </c>
      <c r="M278" s="34">
        <v>95.8</v>
      </c>
      <c r="N278" s="34">
        <v>7326.73</v>
      </c>
      <c r="O278" s="34">
        <v>19.68</v>
      </c>
      <c r="P278" s="64">
        <v>1345.5</v>
      </c>
      <c r="Q278" s="34">
        <f t="shared" si="56"/>
        <v>14.900332225913623</v>
      </c>
      <c r="R278" s="34">
        <v>2242</v>
      </c>
      <c r="S278" s="34">
        <f t="shared" si="57"/>
        <v>2482.8349944629012</v>
      </c>
      <c r="T278" s="34">
        <v>2275.6999999999998</v>
      </c>
      <c r="U278" s="34">
        <f t="shared" si="58"/>
        <v>2520.1550387596899</v>
      </c>
      <c r="V278" s="118">
        <v>350907</v>
      </c>
      <c r="W278" s="118">
        <v>5072266</v>
      </c>
      <c r="X278" s="119">
        <v>8948155</v>
      </c>
      <c r="Y278" s="119">
        <v>826314</v>
      </c>
      <c r="Z278" s="34">
        <v>94.3</v>
      </c>
      <c r="AA278" s="34">
        <v>84.4</v>
      </c>
      <c r="AB278" s="34">
        <v>82.1</v>
      </c>
      <c r="AC278" s="34">
        <v>83.8</v>
      </c>
      <c r="AD278" s="34">
        <v>42174</v>
      </c>
      <c r="AE278" s="34">
        <v>6.8</v>
      </c>
      <c r="AF278" s="34">
        <v>460</v>
      </c>
      <c r="AG278" s="34">
        <v>92.3</v>
      </c>
      <c r="AH278" s="34">
        <v>90.3</v>
      </c>
      <c r="AI278" s="64">
        <v>99.1</v>
      </c>
      <c r="AJ278" s="64">
        <v>93.8</v>
      </c>
      <c r="AK278" s="64">
        <v>177.345112</v>
      </c>
      <c r="AL278" s="64">
        <v>76.900000000000006</v>
      </c>
      <c r="AM278" s="123">
        <v>121.76390997274918</v>
      </c>
      <c r="AN278" s="123">
        <v>249.15918801679686</v>
      </c>
      <c r="AO278" s="123">
        <v>127.2880618311703</v>
      </c>
      <c r="AP278" s="33">
        <v>86.16</v>
      </c>
      <c r="AQ278" s="34">
        <f t="shared" si="47"/>
        <v>0.86942482341069627</v>
      </c>
      <c r="AR278" s="34">
        <v>93.9</v>
      </c>
      <c r="AS278" s="34">
        <v>92.1</v>
      </c>
      <c r="AT278" s="34">
        <v>95.6</v>
      </c>
      <c r="AU278" s="34">
        <v>92.4</v>
      </c>
      <c r="AV278" s="34">
        <v>90.5</v>
      </c>
      <c r="AW278" s="34">
        <v>94.3</v>
      </c>
      <c r="AX278" s="34">
        <v>-2.7</v>
      </c>
      <c r="AY278" s="34">
        <v>-17.899999999999999</v>
      </c>
      <c r="AZ278" s="34">
        <v>-4</v>
      </c>
      <c r="BA278" s="34">
        <v>-11.2</v>
      </c>
      <c r="BB278" s="34">
        <v>95.2</v>
      </c>
      <c r="BC278" s="34">
        <v>93.9</v>
      </c>
      <c r="BD278" s="34">
        <v>96.6</v>
      </c>
      <c r="BE278" s="34">
        <v>10</v>
      </c>
      <c r="BF278" s="34">
        <v>-11.5</v>
      </c>
      <c r="BG278" s="34">
        <v>-15.8</v>
      </c>
      <c r="BH278" s="34">
        <v>164.9</v>
      </c>
      <c r="BI278" s="34">
        <v>3.3</v>
      </c>
      <c r="BJ278" s="34">
        <v>45.99</v>
      </c>
      <c r="BK278" s="34">
        <v>56.097642498822708</v>
      </c>
      <c r="BL278" s="34">
        <v>-0.35</v>
      </c>
      <c r="BM278" s="34">
        <v>98.796599999999998</v>
      </c>
      <c r="BN278" s="34">
        <v>98.967699999999994</v>
      </c>
      <c r="BO278" s="34">
        <v>-22.2</v>
      </c>
      <c r="BP278" s="34">
        <v>-22.7</v>
      </c>
      <c r="BQ278" s="34">
        <v>11.4</v>
      </c>
      <c r="BR278" s="34">
        <v>-10.199999999999999</v>
      </c>
      <c r="BS278" s="34">
        <v>2.7</v>
      </c>
      <c r="BT278" s="34">
        <v>-8.4</v>
      </c>
      <c r="BU278" s="34">
        <v>-14.6</v>
      </c>
      <c r="BV278" s="34">
        <v>9.1</v>
      </c>
      <c r="BW278" s="34">
        <v>-7.2</v>
      </c>
      <c r="BX278" s="34">
        <v>-15.3</v>
      </c>
      <c r="BY278" s="34">
        <v>-10.8</v>
      </c>
      <c r="BZ278" s="34">
        <v>95.9</v>
      </c>
      <c r="CA278" s="34">
        <v>-7.2</v>
      </c>
      <c r="CB278" s="34">
        <v>3.5</v>
      </c>
      <c r="CC278" s="34">
        <v>5.2</v>
      </c>
      <c r="CD278" s="34">
        <v>-22</v>
      </c>
      <c r="CE278" s="34">
        <v>-26.6</v>
      </c>
      <c r="CF278" s="34">
        <v>40</v>
      </c>
      <c r="CG278" s="34">
        <v>43.9</v>
      </c>
      <c r="CH278" s="34">
        <v>27</v>
      </c>
      <c r="CI278" s="34">
        <v>-1.2</v>
      </c>
      <c r="CJ278" s="34">
        <v>-10.8</v>
      </c>
      <c r="CK278" s="34">
        <v>5</v>
      </c>
      <c r="CL278" s="34">
        <v>23.9</v>
      </c>
      <c r="CM278" s="34">
        <v>2503.4688259999998</v>
      </c>
      <c r="CN278" s="34">
        <v>13515.11</v>
      </c>
      <c r="CO278" s="34">
        <v>1437.8166670000001</v>
      </c>
      <c r="CP278" s="34">
        <v>1.744</v>
      </c>
      <c r="CQ278" s="34">
        <v>1.64</v>
      </c>
      <c r="CR278" s="34">
        <v>79</v>
      </c>
      <c r="CS278" s="64">
        <v>40.18</v>
      </c>
      <c r="CT278" s="34">
        <v>83.3</v>
      </c>
      <c r="CU278" s="34">
        <v>83.8</v>
      </c>
      <c r="CV278" s="34">
        <v>88.5</v>
      </c>
      <c r="CW278" s="34">
        <v>85.2</v>
      </c>
      <c r="CX278" s="34">
        <v>90.3</v>
      </c>
      <c r="CY278" s="34">
        <v>7.42</v>
      </c>
      <c r="CZ278" s="34">
        <v>49768.076000000001</v>
      </c>
      <c r="DA278" s="34">
        <v>4.54</v>
      </c>
      <c r="DB278" s="34">
        <v>28.2</v>
      </c>
      <c r="DC278" s="34">
        <v>45.94</v>
      </c>
      <c r="DD278" s="34">
        <v>16.63</v>
      </c>
      <c r="DE278" s="34">
        <v>15704.901</v>
      </c>
      <c r="DF278" s="34">
        <v>2824.3240000000001</v>
      </c>
      <c r="DG278" s="34">
        <v>3461.027</v>
      </c>
      <c r="DH278" s="34">
        <v>1565.1969999999999</v>
      </c>
      <c r="DI278" s="34">
        <v>5619.442</v>
      </c>
      <c r="DJ278" s="34">
        <v>99.658199999999994</v>
      </c>
      <c r="DK278" s="34">
        <v>99.602400000000003</v>
      </c>
      <c r="DL278" s="34">
        <v>99.88</v>
      </c>
      <c r="DM278" s="34">
        <v>99.854600000000005</v>
      </c>
      <c r="DN278" s="34">
        <v>98.967699999999994</v>
      </c>
      <c r="DO278" s="34">
        <v>98.796599999999998</v>
      </c>
      <c r="DP278" s="34">
        <v>99.722899999999996</v>
      </c>
      <c r="DQ278" s="34">
        <v>99.694900000000004</v>
      </c>
      <c r="DR278" s="34">
        <v>70357</v>
      </c>
      <c r="DS278" s="73">
        <v>29497</v>
      </c>
      <c r="DT278" s="73">
        <v>97</v>
      </c>
      <c r="DU278">
        <v>219.08265686035156</v>
      </c>
      <c r="DV278">
        <v>174.70272827148438</v>
      </c>
      <c r="DW278">
        <v>777</v>
      </c>
      <c r="DX278">
        <v>224150</v>
      </c>
      <c r="DY278">
        <v>80.099999999999994</v>
      </c>
      <c r="DZ278" t="s">
        <v>312</v>
      </c>
    </row>
    <row r="279" spans="1:130" x14ac:dyDescent="0.25">
      <c r="A279" s="1">
        <v>41214</v>
      </c>
      <c r="B279" s="34">
        <v>96.2</v>
      </c>
      <c r="C279" s="111">
        <v>0.08</v>
      </c>
      <c r="D279" s="34">
        <v>0.75</v>
      </c>
      <c r="E279" s="34">
        <v>0.22</v>
      </c>
      <c r="F279" s="34">
        <v>0.19</v>
      </c>
      <c r="G279" s="34">
        <v>0.75</v>
      </c>
      <c r="H279" s="34">
        <v>1.34</v>
      </c>
      <c r="I279" s="34">
        <f t="shared" ref="I279:I284" si="59">IF(ISNUMBER(C279),IF(ISNUMBER(H279),H279-C279,""),"")</f>
        <v>1.26</v>
      </c>
      <c r="J279" s="34">
        <f t="shared" ref="J279:J284" si="60">IF(ISNUMBER(D279),IF(ISNUMBER(H279),H279-D279,""),"")</f>
        <v>0.59000000000000008</v>
      </c>
      <c r="K279" s="34">
        <f t="shared" ref="K279:K284" si="61">IF(ISNUMBER(H279),IF(ISNUMBER(E279),H279-E279,""),"")</f>
        <v>1.1200000000000001</v>
      </c>
      <c r="L279" s="34">
        <f t="shared" ref="L279:L284" si="62">IF(ISNUMBER(D279),IF(ISNUMBER(C279),D279-C279,""),"")</f>
        <v>0.67</v>
      </c>
      <c r="M279" s="34">
        <v>95.7</v>
      </c>
      <c r="N279" s="34">
        <v>7335.67</v>
      </c>
      <c r="O279" s="34">
        <v>18.149999999999999</v>
      </c>
      <c r="P279" s="64">
        <v>1350.9</v>
      </c>
      <c r="Q279" s="34">
        <f t="shared" si="56"/>
        <v>14.927071823204422</v>
      </c>
      <c r="R279" s="34">
        <v>2240.5</v>
      </c>
      <c r="S279" s="34">
        <f t="shared" si="57"/>
        <v>2475.6906077348067</v>
      </c>
      <c r="T279" s="34">
        <v>2275.1999999999998</v>
      </c>
      <c r="U279" s="34">
        <f t="shared" si="58"/>
        <v>2514.0331491712705</v>
      </c>
      <c r="V279" s="118">
        <v>335332</v>
      </c>
      <c r="W279" s="118">
        <v>5096612</v>
      </c>
      <c r="X279" s="119">
        <v>8975122</v>
      </c>
      <c r="Y279" s="119">
        <v>802630</v>
      </c>
      <c r="Z279" s="34">
        <v>93.1</v>
      </c>
      <c r="AA279" s="34">
        <v>81.900000000000006</v>
      </c>
      <c r="AB279" s="34">
        <v>80.8</v>
      </c>
      <c r="AC279" s="34">
        <v>80.5</v>
      </c>
      <c r="AD279" s="34">
        <v>42238</v>
      </c>
      <c r="AE279" s="34">
        <v>6.8</v>
      </c>
      <c r="AF279" s="34">
        <v>454</v>
      </c>
      <c r="AG279" s="34">
        <v>92.2</v>
      </c>
      <c r="AH279" s="34">
        <v>90.5</v>
      </c>
      <c r="AI279" s="64">
        <v>99.1</v>
      </c>
      <c r="AJ279" s="64">
        <v>93.9</v>
      </c>
      <c r="AK279" s="64">
        <v>177.345112</v>
      </c>
      <c r="AL279" s="64">
        <v>117.1</v>
      </c>
      <c r="AM279" s="123">
        <v>119.57688828877259</v>
      </c>
      <c r="AN279" s="123">
        <v>249.80945123041181</v>
      </c>
      <c r="AO279" s="123">
        <v>123.73132513309356</v>
      </c>
      <c r="AP279" s="33">
        <v>85.66</v>
      </c>
      <c r="AQ279" s="34">
        <f t="shared" si="47"/>
        <v>0.86437941473259339</v>
      </c>
      <c r="AR279" s="34">
        <v>93.8</v>
      </c>
      <c r="AS279" s="34">
        <v>92.8</v>
      </c>
      <c r="AT279" s="34">
        <v>94.8</v>
      </c>
      <c r="AU279" s="34">
        <v>92.2</v>
      </c>
      <c r="AV279" s="34">
        <v>90.8</v>
      </c>
      <c r="AW279" s="34">
        <v>93.6</v>
      </c>
      <c r="AX279" s="34">
        <v>-9.3000000000000007</v>
      </c>
      <c r="AY279" s="34">
        <v>-12.9</v>
      </c>
      <c r="AZ279" s="34">
        <v>-1</v>
      </c>
      <c r="BA279" s="34">
        <v>-4.7</v>
      </c>
      <c r="BB279" s="34">
        <v>96.3</v>
      </c>
      <c r="BC279" s="34">
        <v>94.6</v>
      </c>
      <c r="BD279" s="34">
        <v>98.1</v>
      </c>
      <c r="BE279" s="34">
        <v>5.4</v>
      </c>
      <c r="BF279" s="34">
        <v>-15.7</v>
      </c>
      <c r="BG279" s="34">
        <v>-14.6</v>
      </c>
      <c r="BH279" s="34">
        <v>163.80000000000001</v>
      </c>
      <c r="BI279" s="34">
        <v>6.1</v>
      </c>
      <c r="BJ279" s="34">
        <v>46.800000000000004</v>
      </c>
      <c r="BK279" s="34">
        <v>53.904175381949074</v>
      </c>
      <c r="BL279" s="34">
        <v>-0.29399999999999998</v>
      </c>
      <c r="BM279" s="34">
        <v>98.87</v>
      </c>
      <c r="BN279" s="34">
        <v>99.030699999999996</v>
      </c>
      <c r="BO279" s="34">
        <v>-20.7</v>
      </c>
      <c r="BP279" s="34">
        <v>-20.6</v>
      </c>
      <c r="BQ279" s="34">
        <v>8.1999999999999993</v>
      </c>
      <c r="BR279" s="34">
        <v>-6.4</v>
      </c>
      <c r="BS279" s="34">
        <v>1.3</v>
      </c>
      <c r="BT279" s="34">
        <v>-6.6</v>
      </c>
      <c r="BU279" s="34">
        <v>-11.8</v>
      </c>
      <c r="BV279" s="34">
        <v>8.8000000000000007</v>
      </c>
      <c r="BW279" s="34">
        <v>-6.5</v>
      </c>
      <c r="BX279" s="34">
        <v>-14.5</v>
      </c>
      <c r="BY279" s="34">
        <v>-9.4</v>
      </c>
      <c r="BZ279" s="34">
        <v>97.5</v>
      </c>
      <c r="CA279" s="34">
        <v>-6.5</v>
      </c>
      <c r="CB279" s="34">
        <v>2.9</v>
      </c>
      <c r="CC279" s="34">
        <v>3.8</v>
      </c>
      <c r="CD279" s="34">
        <v>-21.3</v>
      </c>
      <c r="CE279" s="34">
        <v>-25.2</v>
      </c>
      <c r="CF279" s="34">
        <v>37.6</v>
      </c>
      <c r="CG279" s="34">
        <v>43.3</v>
      </c>
      <c r="CH279" s="34">
        <v>28.2</v>
      </c>
      <c r="CI279" s="34">
        <v>-2.9</v>
      </c>
      <c r="CJ279" s="34">
        <v>-7.3</v>
      </c>
      <c r="CK279" s="34">
        <v>4.2</v>
      </c>
      <c r="CL279" s="34">
        <v>24.4</v>
      </c>
      <c r="CM279" s="34">
        <v>2513.9832270000002</v>
      </c>
      <c r="CN279" s="34">
        <v>13232.62</v>
      </c>
      <c r="CO279" s="34">
        <v>1394.512381</v>
      </c>
      <c r="CP279" s="34">
        <v>1.8759999999999999</v>
      </c>
      <c r="CQ279" s="34">
        <v>1.75</v>
      </c>
      <c r="CR279" s="34">
        <v>77.7</v>
      </c>
      <c r="CS279" s="64">
        <v>40.479999999999997</v>
      </c>
      <c r="CT279" s="34">
        <v>84.7</v>
      </c>
      <c r="CU279" s="34">
        <v>84.5</v>
      </c>
      <c r="CV279" s="34">
        <v>88.6</v>
      </c>
      <c r="CW279" s="34">
        <v>83.3</v>
      </c>
      <c r="CX279" s="34">
        <v>88.4</v>
      </c>
      <c r="CY279" s="34">
        <v>7.02</v>
      </c>
      <c r="CZ279" s="34">
        <v>46270.351000000002</v>
      </c>
      <c r="DA279" s="34">
        <v>4</v>
      </c>
      <c r="DB279" s="34">
        <v>28.56</v>
      </c>
      <c r="DC279" s="34">
        <v>44.39</v>
      </c>
      <c r="DD279" s="34">
        <v>16.55</v>
      </c>
      <c r="DE279" s="34">
        <v>15372.433000000001</v>
      </c>
      <c r="DF279" s="34">
        <v>2930.078</v>
      </c>
      <c r="DG279" s="34">
        <v>3695.2379999999998</v>
      </c>
      <c r="DH279" s="34">
        <v>1430.7190000000001</v>
      </c>
      <c r="DI279" s="34">
        <v>5467.5429999999997</v>
      </c>
      <c r="DJ279" s="34">
        <v>99.725700000000003</v>
      </c>
      <c r="DK279" s="34">
        <v>99.691299999999998</v>
      </c>
      <c r="DL279" s="34">
        <v>100.02</v>
      </c>
      <c r="DM279" s="34">
        <v>100.02809999999999</v>
      </c>
      <c r="DN279" s="34">
        <v>99.030699999999996</v>
      </c>
      <c r="DO279" s="34">
        <v>98.87</v>
      </c>
      <c r="DP279" s="34">
        <v>99.812600000000003</v>
      </c>
      <c r="DQ279" s="34">
        <v>99.793599999999998</v>
      </c>
      <c r="DR279" s="34">
        <v>84809</v>
      </c>
      <c r="DS279" s="73">
        <v>29540</v>
      </c>
      <c r="DT279" s="73">
        <v>98.2</v>
      </c>
      <c r="DU279">
        <v>233.5614013671875</v>
      </c>
      <c r="DV279">
        <v>214.81982421875</v>
      </c>
      <c r="DW279">
        <v>1000</v>
      </c>
      <c r="DX279">
        <v>242975</v>
      </c>
      <c r="DY279">
        <v>79.099999999999994</v>
      </c>
      <c r="DZ279" t="s">
        <v>312</v>
      </c>
    </row>
    <row r="280" spans="1:130" x14ac:dyDescent="0.25">
      <c r="A280" s="1">
        <v>41244</v>
      </c>
      <c r="B280" s="54">
        <v>96.4</v>
      </c>
      <c r="C280" s="112">
        <v>7.0000000000000007E-2</v>
      </c>
      <c r="D280" s="54">
        <v>0.75</v>
      </c>
      <c r="E280" s="54">
        <v>0.2</v>
      </c>
      <c r="F280" s="54">
        <v>0.15</v>
      </c>
      <c r="G280" s="54">
        <v>0.69</v>
      </c>
      <c r="H280" s="54">
        <v>1.3</v>
      </c>
      <c r="I280" s="54">
        <f t="shared" si="59"/>
        <v>1.23</v>
      </c>
      <c r="J280" s="54">
        <f t="shared" si="60"/>
        <v>0.55000000000000004</v>
      </c>
      <c r="K280" s="54">
        <f t="shared" si="61"/>
        <v>1.1000000000000001</v>
      </c>
      <c r="L280" s="54">
        <f t="shared" si="62"/>
        <v>0.67999999999999994</v>
      </c>
      <c r="M280" s="54">
        <v>96.4</v>
      </c>
      <c r="N280" s="54">
        <v>7435.21</v>
      </c>
      <c r="O280" s="54">
        <v>15.77</v>
      </c>
      <c r="P280" s="64">
        <v>1363.4</v>
      </c>
      <c r="Q280" s="34">
        <f t="shared" si="56"/>
        <v>15.048565121412805</v>
      </c>
      <c r="R280" s="34">
        <v>2222.3000000000002</v>
      </c>
      <c r="S280" s="34">
        <f t="shared" si="57"/>
        <v>2452.8697571743933</v>
      </c>
      <c r="T280" s="34">
        <v>2255.1</v>
      </c>
      <c r="U280" s="34">
        <f t="shared" si="58"/>
        <v>2489.0728476821191</v>
      </c>
      <c r="V280" s="118">
        <v>331355</v>
      </c>
      <c r="W280" s="118">
        <v>5102595</v>
      </c>
      <c r="X280" s="119">
        <v>8998474</v>
      </c>
      <c r="Y280" s="119">
        <v>786713</v>
      </c>
      <c r="Z280" s="54">
        <v>92.7</v>
      </c>
      <c r="AA280" s="54">
        <v>82.5</v>
      </c>
      <c r="AB280" s="54">
        <v>80.8</v>
      </c>
      <c r="AC280" s="54">
        <v>81.400000000000006</v>
      </c>
      <c r="AD280" s="54">
        <v>42263</v>
      </c>
      <c r="AE280" s="54">
        <v>6.9</v>
      </c>
      <c r="AF280" s="54">
        <v>447</v>
      </c>
      <c r="AG280" s="54">
        <v>92.2</v>
      </c>
      <c r="AH280" s="54">
        <v>90.6</v>
      </c>
      <c r="AI280" s="64">
        <v>98.5</v>
      </c>
      <c r="AJ280" s="64">
        <v>93.6</v>
      </c>
      <c r="AK280" s="64">
        <v>176.95448400000001</v>
      </c>
      <c r="AL280" s="64">
        <v>78.5</v>
      </c>
      <c r="AM280" s="123">
        <v>121.65968244954016</v>
      </c>
      <c r="AN280" s="123">
        <v>247.4537684498421</v>
      </c>
      <c r="AO280" s="123">
        <v>123.06907004763545</v>
      </c>
      <c r="AP280" s="33">
        <v>83.32</v>
      </c>
      <c r="AQ280" s="54">
        <f t="shared" si="47"/>
        <v>0.8458883248730964</v>
      </c>
      <c r="AR280" s="54">
        <v>94.1</v>
      </c>
      <c r="AS280" s="54">
        <v>94.5</v>
      </c>
      <c r="AT280" s="54">
        <v>93.7</v>
      </c>
      <c r="AU280" s="54">
        <v>93.1</v>
      </c>
      <c r="AV280" s="54">
        <v>93.3</v>
      </c>
      <c r="AW280" s="54">
        <v>92.9</v>
      </c>
      <c r="AX280" s="54">
        <v>-2.9</v>
      </c>
      <c r="AY280" s="54">
        <v>-4.8</v>
      </c>
      <c r="AZ280" s="54">
        <v>0.9</v>
      </c>
      <c r="BA280" s="54">
        <v>-0.1</v>
      </c>
      <c r="BB280" s="54">
        <v>96.7</v>
      </c>
      <c r="BC280" s="54">
        <v>96.6</v>
      </c>
      <c r="BD280" s="54">
        <v>96.7</v>
      </c>
      <c r="BE280" s="54">
        <v>5.7</v>
      </c>
      <c r="BF280" s="54">
        <v>6.9</v>
      </c>
      <c r="BG280" s="54">
        <v>-17.899999999999999</v>
      </c>
      <c r="BH280" s="54">
        <v>160.9</v>
      </c>
      <c r="BI280" s="54">
        <v>19</v>
      </c>
      <c r="BJ280" s="34">
        <v>46</v>
      </c>
      <c r="BK280" s="54">
        <v>43.739297352737935</v>
      </c>
      <c r="BL280" s="54">
        <v>-0.311</v>
      </c>
      <c r="BM280" s="54">
        <v>99.011099999999999</v>
      </c>
      <c r="BN280" s="54">
        <v>99.151899999999998</v>
      </c>
      <c r="BO280" s="54">
        <v>-19.3</v>
      </c>
      <c r="BP280" s="54">
        <v>-18.3</v>
      </c>
      <c r="BQ280" s="54">
        <v>8.6</v>
      </c>
      <c r="BR280" s="54">
        <v>-3.2</v>
      </c>
      <c r="BS280" s="54">
        <v>1.5</v>
      </c>
      <c r="BT280" s="54">
        <v>-7.5</v>
      </c>
      <c r="BU280" s="54">
        <v>-10.4</v>
      </c>
      <c r="BV280" s="54">
        <v>10.1</v>
      </c>
      <c r="BW280" s="54">
        <v>-6.7</v>
      </c>
      <c r="BX280" s="54">
        <v>-15.7</v>
      </c>
      <c r="BY280" s="54">
        <v>-11.9</v>
      </c>
      <c r="BZ280" s="54">
        <v>98.2</v>
      </c>
      <c r="CA280" s="54">
        <v>-6.7</v>
      </c>
      <c r="CB280" s="54">
        <v>3.9</v>
      </c>
      <c r="CC280" s="54">
        <v>4</v>
      </c>
      <c r="CD280" s="54">
        <v>-21.8</v>
      </c>
      <c r="CE280" s="54">
        <v>-26.5</v>
      </c>
      <c r="CF280" s="54">
        <v>41.4</v>
      </c>
      <c r="CG280" s="54">
        <v>43.4</v>
      </c>
      <c r="CH280" s="54">
        <v>28.4</v>
      </c>
      <c r="CI280" s="54">
        <v>-6.1</v>
      </c>
      <c r="CJ280" s="54">
        <v>-8.3000000000000007</v>
      </c>
      <c r="CK280" s="54">
        <v>5.5</v>
      </c>
      <c r="CL280" s="54">
        <v>25.5</v>
      </c>
      <c r="CM280" s="54">
        <v>2625.5535789999999</v>
      </c>
      <c r="CN280" s="54">
        <v>12965.6</v>
      </c>
      <c r="CO280" s="54">
        <v>1422.2855</v>
      </c>
      <c r="CP280" s="54">
        <v>1.82</v>
      </c>
      <c r="CQ280" s="54">
        <v>1.63</v>
      </c>
      <c r="CR280" s="54">
        <v>63.8</v>
      </c>
      <c r="CS280" s="64">
        <v>38.99</v>
      </c>
      <c r="CT280" s="54">
        <v>85.2</v>
      </c>
      <c r="CU280" s="54">
        <v>83.6</v>
      </c>
      <c r="CV280" s="54">
        <v>88.9</v>
      </c>
      <c r="CW280" s="54">
        <v>86.1</v>
      </c>
      <c r="CX280" s="54">
        <v>91.1</v>
      </c>
      <c r="CY280" s="54">
        <v>7.21</v>
      </c>
      <c r="CZ280" s="54">
        <v>38324.618000000002</v>
      </c>
      <c r="DA280" s="54">
        <v>4.16</v>
      </c>
      <c r="DB280" s="54">
        <v>28.35</v>
      </c>
      <c r="DC280" s="54">
        <v>45.98</v>
      </c>
      <c r="DD280" s="54">
        <v>16.91</v>
      </c>
      <c r="DE280" s="54">
        <v>14311.705</v>
      </c>
      <c r="DF280" s="54">
        <v>3048.0360000000001</v>
      </c>
      <c r="DG280" s="54">
        <v>2595.0320000000002</v>
      </c>
      <c r="DH280" s="54">
        <v>1200.2239999999999</v>
      </c>
      <c r="DI280" s="54">
        <v>4641.8990000000003</v>
      </c>
      <c r="DJ280" s="54">
        <v>99.818600000000004</v>
      </c>
      <c r="DK280" s="54">
        <v>99.809600000000003</v>
      </c>
      <c r="DL280" s="54">
        <v>100.19</v>
      </c>
      <c r="DM280" s="54">
        <v>100.2388</v>
      </c>
      <c r="DN280" s="54">
        <v>99.151899999999998</v>
      </c>
      <c r="DO280" s="54">
        <v>99.011099999999999</v>
      </c>
      <c r="DP280" s="54">
        <v>99.926000000000002</v>
      </c>
      <c r="DQ280" s="54">
        <v>99.918199999999999</v>
      </c>
      <c r="DR280" s="54">
        <v>72382</v>
      </c>
      <c r="DS280" s="73">
        <v>29558</v>
      </c>
      <c r="DT280" s="73">
        <v>98.7</v>
      </c>
      <c r="DU280">
        <v>215.66848754882813</v>
      </c>
      <c r="DV280">
        <v>170.51521301269531</v>
      </c>
      <c r="DW280">
        <v>1077</v>
      </c>
      <c r="DX280">
        <v>249375</v>
      </c>
      <c r="DY280">
        <v>80</v>
      </c>
      <c r="DZ280" t="s">
        <v>312</v>
      </c>
    </row>
    <row r="281" spans="1:130" x14ac:dyDescent="0.25">
      <c r="A281" s="1">
        <v>41275</v>
      </c>
      <c r="B281" s="34">
        <v>95.7</v>
      </c>
      <c r="C281" s="111">
        <v>7.0000000000000007E-2</v>
      </c>
      <c r="D281" s="34">
        <v>0.75</v>
      </c>
      <c r="E281" s="34">
        <v>0.19</v>
      </c>
      <c r="F281" s="34">
        <v>0.4</v>
      </c>
      <c r="G281" s="34">
        <v>0.95</v>
      </c>
      <c r="H281" s="34">
        <v>1.51</v>
      </c>
      <c r="I281" s="34">
        <f t="shared" si="59"/>
        <v>1.44</v>
      </c>
      <c r="J281" s="34">
        <f t="shared" si="60"/>
        <v>0.76</v>
      </c>
      <c r="K281" s="34">
        <f t="shared" si="61"/>
        <v>1.32</v>
      </c>
      <c r="L281" s="34">
        <f t="shared" si="62"/>
        <v>0.67999999999999994</v>
      </c>
      <c r="M281" s="34">
        <v>97.4</v>
      </c>
      <c r="N281" s="34">
        <v>7612.39</v>
      </c>
      <c r="O281" s="34">
        <v>18.14</v>
      </c>
      <c r="P281" s="64">
        <v>1362.1</v>
      </c>
      <c r="Q281" s="34">
        <f t="shared" si="56"/>
        <v>15.034216335540838</v>
      </c>
      <c r="R281" s="34">
        <v>2218.1</v>
      </c>
      <c r="S281" s="34">
        <f t="shared" si="57"/>
        <v>2448.2339955849893</v>
      </c>
      <c r="T281" s="34">
        <v>2247.1</v>
      </c>
      <c r="U281" s="34">
        <f t="shared" si="58"/>
        <v>2480.2428256070643</v>
      </c>
      <c r="V281" s="118">
        <v>341872</v>
      </c>
      <c r="W281" s="118">
        <v>5105555</v>
      </c>
      <c r="X281" s="119">
        <v>9014275</v>
      </c>
      <c r="Y281" s="119">
        <v>753330</v>
      </c>
      <c r="Z281" s="34">
        <v>93.4</v>
      </c>
      <c r="AA281" s="34">
        <v>82.4</v>
      </c>
      <c r="AB281" s="34">
        <v>78.3</v>
      </c>
      <c r="AC281" s="34">
        <v>81.5</v>
      </c>
      <c r="AD281" s="34">
        <v>42259</v>
      </c>
      <c r="AE281" s="34">
        <v>6.9</v>
      </c>
      <c r="AF281" s="34">
        <v>462</v>
      </c>
      <c r="AG281" s="34">
        <v>92.5</v>
      </c>
      <c r="AH281" s="34">
        <v>90.6</v>
      </c>
      <c r="AI281" s="64">
        <v>98.3</v>
      </c>
      <c r="AJ281" s="64">
        <v>93.4</v>
      </c>
      <c r="AK281" s="64">
        <v>177.93105399999999</v>
      </c>
      <c r="AL281" s="64">
        <v>77.5</v>
      </c>
      <c r="AM281" s="123">
        <v>118.1502685327265</v>
      </c>
      <c r="AN281" s="123">
        <v>248.10410686889557</v>
      </c>
      <c r="AO281" s="123">
        <v>120.67515356571857</v>
      </c>
      <c r="AP281" s="33">
        <v>84.38</v>
      </c>
      <c r="AQ281" s="34">
        <f t="shared" si="47"/>
        <v>0.85839267548321463</v>
      </c>
      <c r="AR281" s="34">
        <v>96.2</v>
      </c>
      <c r="AS281" s="34">
        <v>96</v>
      </c>
      <c r="AT281" s="34">
        <v>96.5</v>
      </c>
      <c r="AU281" s="34">
        <v>95.4</v>
      </c>
      <c r="AV281" s="34">
        <v>96.2</v>
      </c>
      <c r="AW281" s="34">
        <v>94.7</v>
      </c>
      <c r="AX281" s="34">
        <v>0.9</v>
      </c>
      <c r="AY281" s="34">
        <v>-6.6</v>
      </c>
      <c r="AZ281" s="34">
        <v>4.4000000000000004</v>
      </c>
      <c r="BA281" s="34">
        <v>-1.1000000000000001</v>
      </c>
      <c r="BB281" s="34">
        <v>97</v>
      </c>
      <c r="BC281" s="34">
        <v>94.7</v>
      </c>
      <c r="BD281" s="34">
        <v>99.3</v>
      </c>
      <c r="BE281" s="34">
        <v>7.1</v>
      </c>
      <c r="BF281" s="34">
        <v>31.5</v>
      </c>
      <c r="BG281" s="34">
        <v>-11.3</v>
      </c>
      <c r="BH281" s="34">
        <v>158.1</v>
      </c>
      <c r="BI281" s="34">
        <v>51.9</v>
      </c>
      <c r="BJ281" s="34">
        <v>49.85</v>
      </c>
      <c r="BK281" s="34">
        <v>33.434978014682457</v>
      </c>
      <c r="BL281" s="34">
        <v>-0.316</v>
      </c>
      <c r="BM281" s="34">
        <v>99.186700000000002</v>
      </c>
      <c r="BN281" s="34">
        <v>99.302800000000005</v>
      </c>
      <c r="BO281" s="34">
        <v>-19.3</v>
      </c>
      <c r="BP281" s="34">
        <v>-18.3</v>
      </c>
      <c r="BQ281" s="34">
        <v>6.5</v>
      </c>
      <c r="BR281" s="34">
        <v>-0.6</v>
      </c>
      <c r="BS281" s="34">
        <v>2.9</v>
      </c>
      <c r="BT281" s="34">
        <v>-5.9</v>
      </c>
      <c r="BU281" s="34">
        <v>-8.8000000000000007</v>
      </c>
      <c r="BV281" s="34">
        <v>11.3</v>
      </c>
      <c r="BW281" s="34">
        <v>-5.4</v>
      </c>
      <c r="BX281" s="34">
        <v>-14.3</v>
      </c>
      <c r="BY281" s="34">
        <v>-7.4</v>
      </c>
      <c r="BZ281" s="34">
        <v>100.1</v>
      </c>
      <c r="CA281" s="34">
        <v>-5.4</v>
      </c>
      <c r="CB281" s="34">
        <v>5.3</v>
      </c>
      <c r="CC281" s="34">
        <v>6</v>
      </c>
      <c r="CD281" s="34">
        <v>-18.3</v>
      </c>
      <c r="CE281" s="34">
        <v>-24.4</v>
      </c>
      <c r="CF281" s="34">
        <v>36.799999999999997</v>
      </c>
      <c r="CG281" s="34">
        <v>40.799999999999997</v>
      </c>
      <c r="CH281" s="34">
        <v>27.6</v>
      </c>
      <c r="CI281" s="34">
        <v>-2.9</v>
      </c>
      <c r="CJ281" s="34">
        <v>-8.5</v>
      </c>
      <c r="CK281" s="34">
        <v>8.1999999999999993</v>
      </c>
      <c r="CL281" s="34">
        <v>27.4</v>
      </c>
      <c r="CM281" s="34">
        <v>2715.3045000000002</v>
      </c>
      <c r="CN281" s="34">
        <v>13104.14</v>
      </c>
      <c r="CO281" s="34">
        <v>1480.3952380000001</v>
      </c>
      <c r="CP281" s="34">
        <v>1.8169999999999999</v>
      </c>
      <c r="CQ281" s="34">
        <v>1.78</v>
      </c>
      <c r="CR281" s="34">
        <v>66.599999999999994</v>
      </c>
      <c r="CS281" s="64">
        <v>40.1</v>
      </c>
      <c r="CT281" s="34">
        <v>87.5</v>
      </c>
      <c r="CU281" s="34">
        <v>85</v>
      </c>
      <c r="CV281" s="34">
        <v>85.8</v>
      </c>
      <c r="CW281" s="34">
        <v>85.2</v>
      </c>
      <c r="CX281" s="34">
        <v>92.8</v>
      </c>
      <c r="CY281" s="34">
        <v>7.43</v>
      </c>
      <c r="CZ281" s="34">
        <v>45668.976999999999</v>
      </c>
      <c r="DA281" s="34">
        <v>4.2699999999999996</v>
      </c>
      <c r="DB281" s="34">
        <v>28.52</v>
      </c>
      <c r="DC281" s="34">
        <v>45.79</v>
      </c>
      <c r="DD281" s="34">
        <v>16.47</v>
      </c>
      <c r="DE281" s="34">
        <v>13699.7</v>
      </c>
      <c r="DF281" s="34">
        <v>2245.8069999999998</v>
      </c>
      <c r="DG281" s="34">
        <v>2597.279</v>
      </c>
      <c r="DH281" s="34">
        <v>1422.335</v>
      </c>
      <c r="DI281" s="34">
        <v>5073.5200000000004</v>
      </c>
      <c r="DJ281" s="34">
        <v>99.925399999999996</v>
      </c>
      <c r="DK281" s="34">
        <v>99.943399999999997</v>
      </c>
      <c r="DL281" s="34">
        <v>100.36</v>
      </c>
      <c r="DM281" s="34">
        <v>100.46259999999999</v>
      </c>
      <c r="DN281" s="34">
        <v>99.302800000000005</v>
      </c>
      <c r="DO281" s="34">
        <v>99.186700000000002</v>
      </c>
      <c r="DP281" s="34">
        <v>100.057</v>
      </c>
      <c r="DQ281" s="34">
        <v>100.0624</v>
      </c>
      <c r="DR281" s="34">
        <v>103505</v>
      </c>
      <c r="DS281" s="73">
        <v>29575</v>
      </c>
      <c r="DT281" s="73">
        <v>98.3</v>
      </c>
      <c r="DU281">
        <v>239.8154296875</v>
      </c>
      <c r="DV281">
        <v>198.88420104980469</v>
      </c>
      <c r="DW281">
        <v>699</v>
      </c>
      <c r="DX281">
        <v>320500</v>
      </c>
      <c r="DY281">
        <v>79.5</v>
      </c>
      <c r="DZ281" t="s">
        <v>312</v>
      </c>
    </row>
    <row r="282" spans="1:130" x14ac:dyDescent="0.25">
      <c r="A282" s="1">
        <v>41306</v>
      </c>
      <c r="B282" s="34">
        <v>96.1</v>
      </c>
      <c r="C282" s="111">
        <v>7.0000000000000007E-2</v>
      </c>
      <c r="D282" s="34">
        <v>0.75</v>
      </c>
      <c r="E282" s="34">
        <v>0.42</v>
      </c>
      <c r="F282" s="34">
        <v>0.42</v>
      </c>
      <c r="G282" s="34">
        <v>0.94</v>
      </c>
      <c r="H282" s="34">
        <v>1.54</v>
      </c>
      <c r="I282" s="34">
        <f t="shared" si="59"/>
        <v>1.47</v>
      </c>
      <c r="J282" s="34">
        <f t="shared" si="60"/>
        <v>0.79</v>
      </c>
      <c r="K282" s="34">
        <f t="shared" si="61"/>
        <v>1.1200000000000001</v>
      </c>
      <c r="L282" s="34">
        <f t="shared" si="62"/>
        <v>0.67999999999999994</v>
      </c>
      <c r="M282" s="34">
        <v>98</v>
      </c>
      <c r="N282" s="34">
        <v>7833.39</v>
      </c>
      <c r="O282" s="34">
        <v>14.25</v>
      </c>
      <c r="P282" s="64">
        <v>1367</v>
      </c>
      <c r="Q282" s="34">
        <f t="shared" si="56"/>
        <v>15.071664829106945</v>
      </c>
      <c r="R282" s="34">
        <v>2215.5</v>
      </c>
      <c r="S282" s="34">
        <f t="shared" si="57"/>
        <v>2442.6681367144433</v>
      </c>
      <c r="T282" s="34">
        <v>2246.8000000000002</v>
      </c>
      <c r="U282" s="34">
        <f t="shared" si="58"/>
        <v>2477.1775082690187</v>
      </c>
      <c r="V282" s="118">
        <v>334292</v>
      </c>
      <c r="W282" s="118">
        <v>5144982</v>
      </c>
      <c r="X282" s="119">
        <v>9049240</v>
      </c>
      <c r="Y282" s="119">
        <v>735693</v>
      </c>
      <c r="Z282" s="34">
        <v>92.9</v>
      </c>
      <c r="AA282" s="34">
        <v>84.2</v>
      </c>
      <c r="AB282" s="34">
        <v>80.2</v>
      </c>
      <c r="AC282" s="34">
        <v>84</v>
      </c>
      <c r="AD282" s="34">
        <v>42299</v>
      </c>
      <c r="AE282" s="34">
        <v>6.9</v>
      </c>
      <c r="AF282" s="34">
        <v>462</v>
      </c>
      <c r="AG282" s="34">
        <v>92.7</v>
      </c>
      <c r="AH282" s="34">
        <v>90.7</v>
      </c>
      <c r="AI282" s="64">
        <v>98.3</v>
      </c>
      <c r="AJ282" s="64">
        <v>93.4</v>
      </c>
      <c r="AK282" s="64">
        <v>177.540426</v>
      </c>
      <c r="AL282" s="64">
        <v>77.5</v>
      </c>
      <c r="AM282" s="123">
        <v>119.36831253821852</v>
      </c>
      <c r="AN282" s="123">
        <v>250.17527472061306</v>
      </c>
      <c r="AO282" s="123">
        <v>120.3430201155377</v>
      </c>
      <c r="AP282" s="33">
        <v>87.01</v>
      </c>
      <c r="AQ282" s="34">
        <f t="shared" si="47"/>
        <v>0.88514750762970507</v>
      </c>
      <c r="AR282" s="34">
        <v>97.7</v>
      </c>
      <c r="AS282" s="34">
        <v>99.8</v>
      </c>
      <c r="AT282" s="34">
        <v>95.7</v>
      </c>
      <c r="AU282" s="34">
        <v>97.1</v>
      </c>
      <c r="AV282" s="34">
        <v>99.9</v>
      </c>
      <c r="AW282" s="34">
        <v>94.4</v>
      </c>
      <c r="AX282" s="34">
        <v>9.1</v>
      </c>
      <c r="AY282" s="34">
        <v>0</v>
      </c>
      <c r="AZ282" s="34">
        <v>5.8</v>
      </c>
      <c r="BA282" s="34">
        <v>5.5</v>
      </c>
      <c r="BB282" s="34">
        <v>99</v>
      </c>
      <c r="BC282" s="34">
        <v>98.6</v>
      </c>
      <c r="BD282" s="34">
        <v>99.5</v>
      </c>
      <c r="BE282" s="34">
        <v>5.2</v>
      </c>
      <c r="BF282" s="34">
        <v>48.2</v>
      </c>
      <c r="BG282" s="34">
        <v>-2.5</v>
      </c>
      <c r="BH282" s="34">
        <v>151</v>
      </c>
      <c r="BI282" s="34">
        <v>76.599999999999994</v>
      </c>
      <c r="BJ282" s="34">
        <v>50.25</v>
      </c>
      <c r="BK282" s="34">
        <v>28.85185697560722</v>
      </c>
      <c r="BL282" s="34">
        <v>-0.25600000000000001</v>
      </c>
      <c r="BM282" s="34">
        <v>99.362099999999998</v>
      </c>
      <c r="BN282" s="34">
        <v>99.453500000000005</v>
      </c>
      <c r="BO282" s="34">
        <v>-15.9</v>
      </c>
      <c r="BP282" s="34">
        <v>-16.2</v>
      </c>
      <c r="BQ282" s="34">
        <v>6.7</v>
      </c>
      <c r="BR282" s="34">
        <v>2.4</v>
      </c>
      <c r="BS282" s="34">
        <v>3.9</v>
      </c>
      <c r="BT282" s="34">
        <v>-4.5999999999999996</v>
      </c>
      <c r="BU282" s="34">
        <v>-6.7</v>
      </c>
      <c r="BV282" s="34">
        <v>11</v>
      </c>
      <c r="BW282" s="34">
        <v>-5.4</v>
      </c>
      <c r="BX282" s="34">
        <v>-15.3</v>
      </c>
      <c r="BY282" s="34">
        <v>-6.3</v>
      </c>
      <c r="BZ282" s="34">
        <v>100.8</v>
      </c>
      <c r="CA282" s="34">
        <v>-5.4</v>
      </c>
      <c r="CB282" s="34">
        <v>2.7</v>
      </c>
      <c r="CC282" s="34">
        <v>5.0999999999999996</v>
      </c>
      <c r="CD282" s="34">
        <v>-18.2</v>
      </c>
      <c r="CE282" s="34">
        <v>-22</v>
      </c>
      <c r="CF282" s="34">
        <v>36.700000000000003</v>
      </c>
      <c r="CG282" s="34">
        <v>38.700000000000003</v>
      </c>
      <c r="CH282" s="34">
        <v>26.4</v>
      </c>
      <c r="CI282" s="34">
        <v>-1.1000000000000001</v>
      </c>
      <c r="CJ282" s="34">
        <v>-7.3</v>
      </c>
      <c r="CK282" s="34">
        <v>8.6999999999999993</v>
      </c>
      <c r="CL282" s="34">
        <v>25.8</v>
      </c>
      <c r="CM282" s="34">
        <v>2630.3973500000002</v>
      </c>
      <c r="CN282" s="34">
        <v>14009.79</v>
      </c>
      <c r="CO282" s="34">
        <v>1512.3115789999999</v>
      </c>
      <c r="CP282" s="34">
        <v>2.101</v>
      </c>
      <c r="CQ282" s="34">
        <v>2.04</v>
      </c>
      <c r="CR282" s="34">
        <v>70.2</v>
      </c>
      <c r="CS282" s="64">
        <v>40.200000000000003</v>
      </c>
      <c r="CT282" s="34">
        <v>86.5</v>
      </c>
      <c r="CU282" s="34">
        <v>85.8</v>
      </c>
      <c r="CV282" s="34">
        <v>86.9</v>
      </c>
      <c r="CW282" s="34">
        <v>87.8</v>
      </c>
      <c r="CX282" s="34">
        <v>92</v>
      </c>
      <c r="CY282" s="34">
        <v>7.22</v>
      </c>
      <c r="CZ282" s="34">
        <v>44852.966</v>
      </c>
      <c r="DA282" s="34">
        <v>3.72</v>
      </c>
      <c r="DB282" s="34">
        <v>27.68</v>
      </c>
      <c r="DC282" s="34">
        <v>45.69</v>
      </c>
      <c r="DD282" s="34">
        <v>16.62</v>
      </c>
      <c r="DE282" s="34">
        <v>13607.234</v>
      </c>
      <c r="DF282" s="34">
        <v>2475.7550000000001</v>
      </c>
      <c r="DG282" s="34">
        <v>2954.5729999999999</v>
      </c>
      <c r="DH282" s="34">
        <v>1276.92</v>
      </c>
      <c r="DI282" s="34">
        <v>4959.3459999999995</v>
      </c>
      <c r="DJ282" s="34">
        <v>100.0279</v>
      </c>
      <c r="DK282" s="34">
        <v>100.0693</v>
      </c>
      <c r="DL282" s="34">
        <v>100.51</v>
      </c>
      <c r="DM282" s="34">
        <v>100.654</v>
      </c>
      <c r="DN282" s="34">
        <v>99.453500000000005</v>
      </c>
      <c r="DO282" s="34">
        <v>99.362099999999998</v>
      </c>
      <c r="DP282" s="34">
        <v>100.1909</v>
      </c>
      <c r="DQ282" s="34">
        <v>100.20959999999999</v>
      </c>
      <c r="DR282" s="34">
        <v>103521</v>
      </c>
      <c r="DS282" s="73">
        <v>29601</v>
      </c>
      <c r="DT282" s="73">
        <v>98.5</v>
      </c>
      <c r="DU282">
        <v>194.16609191894531</v>
      </c>
      <c r="DV282">
        <v>152.42018127441406</v>
      </c>
      <c r="DW282">
        <v>750</v>
      </c>
      <c r="DX282">
        <v>374200</v>
      </c>
      <c r="DY282">
        <v>79.099999999999994</v>
      </c>
      <c r="DZ282" t="s">
        <v>312</v>
      </c>
    </row>
    <row r="283" spans="1:130" x14ac:dyDescent="0.25">
      <c r="A283" s="1">
        <v>41334</v>
      </c>
      <c r="B283" s="54">
        <v>97.3</v>
      </c>
      <c r="C283" s="112">
        <v>7.0000000000000007E-2</v>
      </c>
      <c r="D283" s="54">
        <v>0.75</v>
      </c>
      <c r="E283" s="54">
        <v>0.21</v>
      </c>
      <c r="F283" s="54">
        <v>0.23</v>
      </c>
      <c r="G283" s="54">
        <v>0.72</v>
      </c>
      <c r="H283" s="54">
        <v>1.35</v>
      </c>
      <c r="I283" s="54">
        <f t="shared" si="59"/>
        <v>1.28</v>
      </c>
      <c r="J283" s="54">
        <f t="shared" si="60"/>
        <v>0.60000000000000009</v>
      </c>
      <c r="K283" s="54">
        <f t="shared" si="61"/>
        <v>1.1400000000000001</v>
      </c>
      <c r="L283" s="54">
        <f t="shared" si="62"/>
        <v>0.67999999999999994</v>
      </c>
      <c r="M283" s="54">
        <v>97.3</v>
      </c>
      <c r="N283" s="54">
        <v>7708.16</v>
      </c>
      <c r="O283" s="54">
        <v>18.16</v>
      </c>
      <c r="P283" s="64">
        <v>1363.6</v>
      </c>
      <c r="Q283" s="34">
        <f t="shared" si="56"/>
        <v>15.017621145374449</v>
      </c>
      <c r="R283" s="34">
        <v>2214.6</v>
      </c>
      <c r="S283" s="34">
        <f t="shared" si="57"/>
        <v>2438.9867841409691</v>
      </c>
      <c r="T283" s="34">
        <v>2245.1999999999998</v>
      </c>
      <c r="U283" s="34">
        <f t="shared" si="58"/>
        <v>2472.6872246696034</v>
      </c>
      <c r="V283" s="118">
        <v>331717</v>
      </c>
      <c r="W283" s="118">
        <v>5173010</v>
      </c>
      <c r="X283" s="119">
        <v>9079682</v>
      </c>
      <c r="Y283" s="119">
        <v>723517</v>
      </c>
      <c r="Z283" s="54">
        <v>94.6</v>
      </c>
      <c r="AA283" s="54">
        <v>85.7</v>
      </c>
      <c r="AB283" s="54">
        <v>79.7</v>
      </c>
      <c r="AC283" s="54">
        <v>84.9</v>
      </c>
      <c r="AD283" s="54">
        <v>42280</v>
      </c>
      <c r="AE283" s="54">
        <v>6.9</v>
      </c>
      <c r="AF283" s="54">
        <v>460</v>
      </c>
      <c r="AG283" s="54">
        <v>92.6</v>
      </c>
      <c r="AH283" s="54">
        <v>90.8</v>
      </c>
      <c r="AI283" s="64">
        <v>98.2</v>
      </c>
      <c r="AJ283" s="64">
        <v>93.4</v>
      </c>
      <c r="AK283" s="64">
        <v>177.149798</v>
      </c>
      <c r="AL283" s="64">
        <v>77.599999999999994</v>
      </c>
      <c r="AM283" s="123">
        <v>119.06763668799631</v>
      </c>
      <c r="AN283" s="123">
        <v>244.78037450465058</v>
      </c>
      <c r="AO283" s="123">
        <v>122.26038782122106</v>
      </c>
      <c r="AP283" s="33">
        <v>84.51</v>
      </c>
      <c r="AQ283" s="54">
        <f t="shared" si="47"/>
        <v>0.86059063136456215</v>
      </c>
      <c r="AR283" s="54">
        <v>97</v>
      </c>
      <c r="AS283" s="54">
        <v>98.7</v>
      </c>
      <c r="AT283" s="54">
        <v>95.2</v>
      </c>
      <c r="AU283" s="54">
        <v>96.9</v>
      </c>
      <c r="AV283" s="54">
        <v>99.5</v>
      </c>
      <c r="AW283" s="54">
        <v>94.4</v>
      </c>
      <c r="AX283" s="54">
        <v>5.8</v>
      </c>
      <c r="AY283" s="54">
        <v>4.5</v>
      </c>
      <c r="AZ283" s="54">
        <v>6.4</v>
      </c>
      <c r="BA283" s="54">
        <v>4</v>
      </c>
      <c r="BB283" s="54">
        <v>96.6</v>
      </c>
      <c r="BC283" s="54">
        <v>97.6</v>
      </c>
      <c r="BD283" s="54">
        <v>95.6</v>
      </c>
      <c r="BE283" s="54">
        <v>13.6</v>
      </c>
      <c r="BF283" s="54">
        <v>48.5</v>
      </c>
      <c r="BG283" s="54">
        <v>0.6</v>
      </c>
      <c r="BH283" s="54">
        <v>152</v>
      </c>
      <c r="BI283" s="54">
        <v>76.400000000000006</v>
      </c>
      <c r="BJ283" s="34">
        <v>49</v>
      </c>
      <c r="BK283" s="54">
        <v>25.740156641649222</v>
      </c>
      <c r="BL283" s="54">
        <v>-0.20399999999999999</v>
      </c>
      <c r="BM283" s="54">
        <v>99.506600000000006</v>
      </c>
      <c r="BN283" s="54">
        <v>99.577600000000004</v>
      </c>
      <c r="BO283" s="54">
        <v>-19.600000000000001</v>
      </c>
      <c r="BP283" s="54">
        <v>-18.3</v>
      </c>
      <c r="BQ283" s="54">
        <v>7</v>
      </c>
      <c r="BR283" s="54">
        <v>3.4</v>
      </c>
      <c r="BS283" s="54">
        <v>3.1</v>
      </c>
      <c r="BT283" s="54">
        <v>-4.5999999999999996</v>
      </c>
      <c r="BU283" s="54">
        <v>-7.7</v>
      </c>
      <c r="BV283" s="54">
        <v>13.7</v>
      </c>
      <c r="BW283" s="54">
        <v>-5.2</v>
      </c>
      <c r="BX283" s="54">
        <v>-17.8</v>
      </c>
      <c r="BY283" s="54">
        <v>-6</v>
      </c>
      <c r="BZ283" s="54">
        <v>101.2</v>
      </c>
      <c r="CA283" s="54">
        <v>-5.2</v>
      </c>
      <c r="CB283" s="54">
        <v>3</v>
      </c>
      <c r="CC283" s="54">
        <v>5.5</v>
      </c>
      <c r="CD283" s="54">
        <v>-17.399999999999999</v>
      </c>
      <c r="CE283" s="54">
        <v>-21.1</v>
      </c>
      <c r="CF283" s="54">
        <v>35.1</v>
      </c>
      <c r="CG283" s="54">
        <v>38.9</v>
      </c>
      <c r="CH283" s="54">
        <v>25.2</v>
      </c>
      <c r="CI283" s="54">
        <v>-0.3</v>
      </c>
      <c r="CJ283" s="54">
        <v>-8</v>
      </c>
      <c r="CK283" s="54">
        <v>4.2</v>
      </c>
      <c r="CL283" s="54">
        <v>25.1</v>
      </c>
      <c r="CM283" s="54">
        <v>2680.17895</v>
      </c>
      <c r="CN283" s="54">
        <v>14089.66</v>
      </c>
      <c r="CO283" s="54">
        <v>1550.829</v>
      </c>
      <c r="CP283" s="54">
        <v>1.889</v>
      </c>
      <c r="CQ283" s="54">
        <v>1.86</v>
      </c>
      <c r="CR283" s="54">
        <v>70.8</v>
      </c>
      <c r="CS283" s="64">
        <v>39.17</v>
      </c>
      <c r="CT283" s="54">
        <v>87.1</v>
      </c>
      <c r="CU283" s="54">
        <v>84.7</v>
      </c>
      <c r="CV283" s="54">
        <v>89.2</v>
      </c>
      <c r="CW283" s="54">
        <v>86.7</v>
      </c>
      <c r="CX283" s="54">
        <v>90.6</v>
      </c>
      <c r="CY283" s="54">
        <v>7.62</v>
      </c>
      <c r="CZ283" s="54">
        <v>47247.362999999998</v>
      </c>
      <c r="DA283" s="54">
        <v>4.17</v>
      </c>
      <c r="DB283" s="54">
        <v>29.07</v>
      </c>
      <c r="DC283" s="54">
        <v>45.74</v>
      </c>
      <c r="DD283" s="54">
        <v>16.47</v>
      </c>
      <c r="DE283" s="54">
        <v>15036.958000000001</v>
      </c>
      <c r="DF283" s="54">
        <v>2730.9409999999998</v>
      </c>
      <c r="DG283" s="54">
        <v>3108.0740000000001</v>
      </c>
      <c r="DH283" s="54">
        <v>1331.9860000000001</v>
      </c>
      <c r="DI283" s="54">
        <v>5504.4859999999999</v>
      </c>
      <c r="DJ283" s="54">
        <v>100.11320000000001</v>
      </c>
      <c r="DK283" s="54">
        <v>100.1712</v>
      </c>
      <c r="DL283" s="54">
        <v>100.62</v>
      </c>
      <c r="DM283" s="54">
        <v>100.7936</v>
      </c>
      <c r="DN283" s="54">
        <v>99.577600000000004</v>
      </c>
      <c r="DO283" s="54">
        <v>99.506600000000006</v>
      </c>
      <c r="DP283" s="54">
        <v>100.30370000000001</v>
      </c>
      <c r="DQ283" s="54">
        <v>100.33369999999999</v>
      </c>
      <c r="DR283" s="54">
        <v>97952</v>
      </c>
      <c r="DS283" s="73">
        <v>29579</v>
      </c>
      <c r="DT283" s="73">
        <v>98.6</v>
      </c>
      <c r="DU283">
        <v>245.346923828125</v>
      </c>
      <c r="DV283">
        <v>201.00303649902344</v>
      </c>
      <c r="DW283">
        <v>776</v>
      </c>
      <c r="DX283">
        <v>462400</v>
      </c>
      <c r="DY283">
        <v>78.7</v>
      </c>
      <c r="DZ283" t="s">
        <v>312</v>
      </c>
    </row>
    <row r="284" spans="1:130" x14ac:dyDescent="0.25">
      <c r="A284" s="1">
        <v>41365</v>
      </c>
      <c r="B284" s="34">
        <v>98.1</v>
      </c>
      <c r="C284" s="111">
        <v>0.08</v>
      </c>
      <c r="D284" s="34">
        <v>0.75</v>
      </c>
      <c r="E284" s="34">
        <v>0.21</v>
      </c>
      <c r="F284" s="34">
        <v>0.18</v>
      </c>
      <c r="G284" s="34">
        <v>0.57999999999999996</v>
      </c>
      <c r="H284" s="34">
        <v>1.2</v>
      </c>
      <c r="I284" s="34">
        <f t="shared" si="59"/>
        <v>1.1199999999999999</v>
      </c>
      <c r="J284" s="34">
        <f t="shared" si="60"/>
        <v>0.44999999999999996</v>
      </c>
      <c r="K284" s="34">
        <f t="shared" si="61"/>
        <v>0.99</v>
      </c>
      <c r="L284" s="34">
        <f t="shared" si="62"/>
        <v>0.67</v>
      </c>
      <c r="M284" s="34">
        <v>97.7</v>
      </c>
      <c r="N284" s="34">
        <v>7795.31</v>
      </c>
      <c r="O284" s="34">
        <v>16.649999999999999</v>
      </c>
      <c r="P284" s="64">
        <v>1387.5</v>
      </c>
      <c r="Q284" s="34">
        <f t="shared" si="56"/>
        <v>15.247252747252746</v>
      </c>
      <c r="R284" s="34">
        <v>2238.1999999999998</v>
      </c>
      <c r="S284" s="34">
        <f t="shared" si="57"/>
        <v>2459.5604395604391</v>
      </c>
      <c r="T284" s="34">
        <v>2272.3000000000002</v>
      </c>
      <c r="U284" s="34">
        <f t="shared" si="58"/>
        <v>2497.032967032967</v>
      </c>
      <c r="V284" s="118">
        <v>326848</v>
      </c>
      <c r="W284" s="118">
        <v>5215171</v>
      </c>
      <c r="X284" s="119">
        <v>9108326</v>
      </c>
      <c r="Y284" s="119">
        <v>713737</v>
      </c>
      <c r="Z284" s="34">
        <v>93.9</v>
      </c>
      <c r="AA284" s="34">
        <v>83.4</v>
      </c>
      <c r="AB284" s="34">
        <v>82.7</v>
      </c>
      <c r="AC284" s="34">
        <v>82.2</v>
      </c>
      <c r="AD284" s="34">
        <v>42278</v>
      </c>
      <c r="AE284" s="34">
        <v>7</v>
      </c>
      <c r="AF284" s="34">
        <v>453</v>
      </c>
      <c r="AG284" s="34">
        <v>92.8</v>
      </c>
      <c r="AH284" s="34">
        <v>91</v>
      </c>
      <c r="AI284" s="64">
        <v>97.2</v>
      </c>
      <c r="AJ284" s="64">
        <v>93.1</v>
      </c>
      <c r="AK284" s="64">
        <v>176.95448400000001</v>
      </c>
      <c r="AL284" s="64">
        <v>78.3</v>
      </c>
      <c r="AM284" s="123">
        <v>118.94718384359774</v>
      </c>
      <c r="AN284" s="123">
        <v>233.43362305268619</v>
      </c>
      <c r="AO284" s="123">
        <v>122.26038782122106</v>
      </c>
      <c r="AP284" s="33">
        <v>79.27</v>
      </c>
      <c r="AQ284" s="34">
        <f t="shared" si="47"/>
        <v>0.81553497942386821</v>
      </c>
      <c r="AR284" s="34">
        <v>95.4</v>
      </c>
      <c r="AS284" s="34">
        <v>98</v>
      </c>
      <c r="AT284" s="34">
        <v>92.9</v>
      </c>
      <c r="AU284" s="34">
        <v>96.1</v>
      </c>
      <c r="AV284" s="34">
        <v>98.5</v>
      </c>
      <c r="AW284" s="34">
        <v>93.6</v>
      </c>
      <c r="AX284" s="34">
        <v>4.4000000000000004</v>
      </c>
      <c r="AY284" s="34">
        <v>2.8</v>
      </c>
      <c r="AZ284" s="34">
        <v>4.5</v>
      </c>
      <c r="BA284" s="34">
        <v>9.1</v>
      </c>
      <c r="BB284" s="34">
        <v>92.3</v>
      </c>
      <c r="BC284" s="34">
        <v>96.7</v>
      </c>
      <c r="BD284" s="34">
        <v>88.2</v>
      </c>
      <c r="BE284" s="34">
        <v>9.1999999999999993</v>
      </c>
      <c r="BF284" s="34">
        <v>36.299999999999997</v>
      </c>
      <c r="BG284" s="34">
        <v>-1.5</v>
      </c>
      <c r="BH284" s="34">
        <v>154.5</v>
      </c>
      <c r="BI284" s="34">
        <v>68.7</v>
      </c>
      <c r="BJ284" s="34">
        <v>48.1</v>
      </c>
      <c r="BK284" s="34">
        <v>14.516120187421436</v>
      </c>
      <c r="BL284" s="34">
        <v>-0.217</v>
      </c>
      <c r="BM284" s="34">
        <v>99.635900000000007</v>
      </c>
      <c r="BN284" s="34">
        <v>99.688599999999994</v>
      </c>
      <c r="BO284" s="34">
        <v>-19.600000000000001</v>
      </c>
      <c r="BP284" s="34">
        <v>-18.3</v>
      </c>
      <c r="BQ284" s="34">
        <v>6.5</v>
      </c>
      <c r="BR284" s="34">
        <v>3.9</v>
      </c>
      <c r="BS284" s="34">
        <v>1.3</v>
      </c>
      <c r="BT284" s="34">
        <v>-7.1</v>
      </c>
      <c r="BU284" s="34">
        <v>-7.4</v>
      </c>
      <c r="BV284" s="34">
        <v>8.4</v>
      </c>
      <c r="BW284" s="34">
        <v>-4.8</v>
      </c>
      <c r="BX284" s="34">
        <v>-20.5</v>
      </c>
      <c r="BY284" s="34">
        <v>-4.2</v>
      </c>
      <c r="BZ284" s="34">
        <v>99.9</v>
      </c>
      <c r="CA284" s="34">
        <v>-4.8</v>
      </c>
      <c r="CB284" s="34">
        <v>3.7</v>
      </c>
      <c r="CC284" s="34">
        <v>5.2</v>
      </c>
      <c r="CD284" s="34">
        <v>-18.8</v>
      </c>
      <c r="CE284" s="34">
        <v>-21.5</v>
      </c>
      <c r="CF284" s="34">
        <v>36.9</v>
      </c>
      <c r="CG284" s="34">
        <v>40.299999999999997</v>
      </c>
      <c r="CH284" s="34">
        <v>25</v>
      </c>
      <c r="CI284" s="34">
        <v>0.1</v>
      </c>
      <c r="CJ284" s="34">
        <v>-6.7</v>
      </c>
      <c r="CK284" s="34">
        <v>7.3</v>
      </c>
      <c r="CL284" s="34">
        <v>25.6</v>
      </c>
      <c r="CM284" s="34">
        <v>2636.3469049999999</v>
      </c>
      <c r="CN284" s="34">
        <v>14572.86</v>
      </c>
      <c r="CO284" s="34">
        <v>1570.7022730000001</v>
      </c>
      <c r="CP284" s="34">
        <v>1.764</v>
      </c>
      <c r="CQ284" s="34">
        <v>1.86</v>
      </c>
      <c r="CR284" s="34">
        <v>67.8</v>
      </c>
      <c r="CS284" s="64">
        <v>40.479999999999997</v>
      </c>
      <c r="CT284" s="34">
        <v>84.3</v>
      </c>
      <c r="CU284" s="34">
        <v>86.6</v>
      </c>
      <c r="CV284" s="34">
        <v>88.1</v>
      </c>
      <c r="CW284" s="34">
        <v>85.8</v>
      </c>
      <c r="CX284" s="34">
        <v>89.8</v>
      </c>
      <c r="CY284" s="34">
        <v>7.48</v>
      </c>
      <c r="CZ284" s="34">
        <v>46257.358</v>
      </c>
      <c r="DA284" s="34">
        <v>3.87</v>
      </c>
      <c r="DB284" s="34">
        <v>28.43</v>
      </c>
      <c r="DC284" s="34">
        <v>44.59</v>
      </c>
      <c r="DD284" s="34">
        <v>16.579999999999998</v>
      </c>
      <c r="DE284" s="34">
        <v>15521.286</v>
      </c>
      <c r="DF284" s="34">
        <v>2562.944</v>
      </c>
      <c r="DG284" s="34">
        <v>3185.9209999999998</v>
      </c>
      <c r="DH284" s="34">
        <v>1391.806</v>
      </c>
      <c r="DI284" s="34">
        <v>5997.4430000000002</v>
      </c>
      <c r="DJ284" s="34">
        <v>100.17440000000001</v>
      </c>
      <c r="DK284" s="34">
        <v>100.24</v>
      </c>
      <c r="DL284" s="34">
        <v>100.69</v>
      </c>
      <c r="DM284" s="34">
        <v>100.8814</v>
      </c>
      <c r="DN284" s="34">
        <v>99.688599999999994</v>
      </c>
      <c r="DO284" s="34">
        <v>99.635900000000007</v>
      </c>
      <c r="DP284" s="34">
        <v>100.4085</v>
      </c>
      <c r="DQ284" s="34">
        <v>100.4491</v>
      </c>
      <c r="DR284" s="34">
        <v>100371</v>
      </c>
      <c r="DS284" s="73">
        <v>29637</v>
      </c>
      <c r="DT284" s="73">
        <v>98.2</v>
      </c>
      <c r="DU284">
        <v>205.62406921386719</v>
      </c>
      <c r="DV284">
        <v>131.46473693847656</v>
      </c>
      <c r="DW284">
        <v>910</v>
      </c>
      <c r="DX284">
        <v>571125</v>
      </c>
      <c r="DY284">
        <v>80.2</v>
      </c>
      <c r="DZ284" t="s">
        <v>312</v>
      </c>
    </row>
    <row r="285" spans="1:130" x14ac:dyDescent="0.25">
      <c r="A285" s="1">
        <v>41395</v>
      </c>
      <c r="B285" s="34">
        <v>97.1</v>
      </c>
      <c r="C285" s="111">
        <v>0.08</v>
      </c>
      <c r="D285" s="34">
        <v>0.5</v>
      </c>
      <c r="E285" s="34">
        <v>0.21</v>
      </c>
      <c r="F285" s="34">
        <v>0.22</v>
      </c>
      <c r="G285" s="34">
        <v>0.66</v>
      </c>
      <c r="H285" s="34">
        <v>1.29</v>
      </c>
      <c r="I285" s="34">
        <f t="shared" ref="I285:I292" si="63">IF(ISNUMBER(C285),IF(ISNUMBER(H285),H285-C285,""),"")</f>
        <v>1.21</v>
      </c>
      <c r="J285" s="34">
        <f t="shared" ref="J285:J292" si="64">IF(ISNUMBER(D285),IF(ISNUMBER(H285),H285-D285,""),"")</f>
        <v>0.79</v>
      </c>
      <c r="K285" s="34">
        <f t="shared" ref="K285:K292" si="65">IF(ISNUMBER(H285),IF(ISNUMBER(E285),H285-E285,""),"")</f>
        <v>1.08</v>
      </c>
      <c r="L285" s="34">
        <f t="shared" ref="L285:L292" si="66">IF(ISNUMBER(D285),IF(ISNUMBER(C285),D285-C285,""),"")</f>
        <v>0.42</v>
      </c>
      <c r="M285" s="34">
        <v>97.9</v>
      </c>
      <c r="N285" s="34">
        <v>7913.71</v>
      </c>
      <c r="O285" s="34">
        <v>17.670000000000002</v>
      </c>
      <c r="P285" s="64">
        <v>1390.1</v>
      </c>
      <c r="Q285" s="34">
        <f t="shared" si="56"/>
        <v>15.225629791894852</v>
      </c>
      <c r="R285" s="34">
        <v>2240</v>
      </c>
      <c r="S285" s="34">
        <f t="shared" si="57"/>
        <v>2453.4501642935379</v>
      </c>
      <c r="T285" s="34">
        <v>2271.9</v>
      </c>
      <c r="U285" s="34">
        <f t="shared" si="58"/>
        <v>2488.3899233296825</v>
      </c>
      <c r="V285" s="118">
        <v>323630</v>
      </c>
      <c r="W285" s="118">
        <v>5241782</v>
      </c>
      <c r="X285" s="119">
        <v>9129445</v>
      </c>
      <c r="Y285" s="119">
        <v>708032</v>
      </c>
      <c r="Z285" s="34">
        <v>95.2</v>
      </c>
      <c r="AA285" s="34">
        <v>83.8</v>
      </c>
      <c r="AB285" s="34">
        <v>81.7</v>
      </c>
      <c r="AC285" s="34">
        <v>82.7</v>
      </c>
      <c r="AD285" s="34">
        <v>42325</v>
      </c>
      <c r="AE285" s="34">
        <v>6.9</v>
      </c>
      <c r="AF285" s="34">
        <v>451</v>
      </c>
      <c r="AG285" s="34">
        <v>93.1</v>
      </c>
      <c r="AH285" s="34">
        <v>91.3</v>
      </c>
      <c r="AI285" s="64">
        <v>96.8</v>
      </c>
      <c r="AJ285" s="64">
        <v>92.9</v>
      </c>
      <c r="AK285" s="64">
        <v>176.36854199999999</v>
      </c>
      <c r="AL285" s="64">
        <v>78.7</v>
      </c>
      <c r="AM285" s="123">
        <v>111.86024486340246</v>
      </c>
      <c r="AN285" s="123">
        <v>232.56945415660959</v>
      </c>
      <c r="AO285" s="123">
        <v>118.59796210675279</v>
      </c>
      <c r="AP285" s="33">
        <v>79.34</v>
      </c>
      <c r="AQ285" s="34">
        <f t="shared" ref="AQ285:AQ316" si="67">IF(ISNUMBER(AI285),AP285/$AI285,"")</f>
        <v>0.81962809917355373</v>
      </c>
      <c r="AR285" s="34">
        <v>96.4</v>
      </c>
      <c r="AS285" s="34">
        <v>97.8</v>
      </c>
      <c r="AT285" s="34">
        <v>95.1</v>
      </c>
      <c r="AU285" s="34">
        <v>96.7</v>
      </c>
      <c r="AV285" s="34">
        <v>98.3</v>
      </c>
      <c r="AW285" s="34">
        <v>95</v>
      </c>
      <c r="AX285" s="34">
        <v>6.3</v>
      </c>
      <c r="AY285" s="34">
        <v>-3.8</v>
      </c>
      <c r="AZ285" s="34">
        <v>6.1</v>
      </c>
      <c r="BA285" s="34">
        <v>5.7</v>
      </c>
      <c r="BB285" s="34">
        <v>95.7</v>
      </c>
      <c r="BC285" s="34">
        <v>96.9</v>
      </c>
      <c r="BD285" s="34">
        <v>94.5</v>
      </c>
      <c r="BE285" s="34">
        <v>8.9</v>
      </c>
      <c r="BF285" s="34">
        <v>36.4</v>
      </c>
      <c r="BG285" s="34">
        <v>-0.2</v>
      </c>
      <c r="BH285" s="34">
        <v>153.5</v>
      </c>
      <c r="BI285" s="34">
        <v>12.4</v>
      </c>
      <c r="BJ285" s="34">
        <v>49.44</v>
      </c>
      <c r="BK285" s="34">
        <v>10.975939353282952</v>
      </c>
      <c r="BL285" s="34">
        <v>-0.29199999999999998</v>
      </c>
      <c r="BM285" s="34">
        <v>99.780100000000004</v>
      </c>
      <c r="BN285" s="34">
        <v>99.812600000000003</v>
      </c>
      <c r="BO285" s="34">
        <v>-18.899999999999999</v>
      </c>
      <c r="BP285" s="34">
        <v>-17.600000000000001</v>
      </c>
      <c r="BQ285" s="34">
        <v>6.7</v>
      </c>
      <c r="BR285" s="34">
        <v>1.7</v>
      </c>
      <c r="BS285" s="34">
        <v>0.4</v>
      </c>
      <c r="BT285" s="34">
        <v>-5.9</v>
      </c>
      <c r="BU285" s="34">
        <v>-8</v>
      </c>
      <c r="BV285" s="34">
        <v>11.8</v>
      </c>
      <c r="BW285" s="34">
        <v>-4.7</v>
      </c>
      <c r="BX285" s="34">
        <v>-13.6</v>
      </c>
      <c r="BY285" s="34">
        <v>-4.3</v>
      </c>
      <c r="BZ285" s="34">
        <v>100.8</v>
      </c>
      <c r="CA285" s="34">
        <v>-4.7</v>
      </c>
      <c r="CB285" s="34">
        <v>4</v>
      </c>
      <c r="CC285" s="34">
        <v>5.4</v>
      </c>
      <c r="CD285" s="34">
        <v>-20.100000000000001</v>
      </c>
      <c r="CE285" s="34">
        <v>-20.399999999999999</v>
      </c>
      <c r="CF285" s="34">
        <v>32.200000000000003</v>
      </c>
      <c r="CG285" s="34">
        <v>35</v>
      </c>
      <c r="CH285" s="34">
        <v>25.2</v>
      </c>
      <c r="CI285" s="34">
        <v>0.8</v>
      </c>
      <c r="CJ285" s="34">
        <v>-7.9</v>
      </c>
      <c r="CK285" s="34">
        <v>3.1</v>
      </c>
      <c r="CL285" s="34">
        <v>25.8</v>
      </c>
      <c r="CM285" s="34">
        <v>2785.7691300000001</v>
      </c>
      <c r="CN285" s="34">
        <v>14700.95</v>
      </c>
      <c r="CO285" s="34">
        <v>1639.842727</v>
      </c>
      <c r="CP285" s="34">
        <v>1.655</v>
      </c>
      <c r="CQ285" s="34">
        <v>1.66</v>
      </c>
      <c r="CR285" s="34">
        <v>75.8</v>
      </c>
      <c r="CS285" s="64">
        <v>42.99</v>
      </c>
      <c r="CT285" s="34">
        <v>84</v>
      </c>
      <c r="CU285" s="34">
        <v>87.4</v>
      </c>
      <c r="CV285" s="34">
        <v>90.2</v>
      </c>
      <c r="CW285" s="34">
        <v>87.7</v>
      </c>
      <c r="CX285" s="34">
        <v>95.4</v>
      </c>
      <c r="CY285" s="34">
        <v>7.36</v>
      </c>
      <c r="CZ285" s="34">
        <v>44167.940999999999</v>
      </c>
      <c r="DA285" s="34">
        <v>4.47</v>
      </c>
      <c r="DB285" s="34">
        <v>29.27</v>
      </c>
      <c r="DC285" s="34">
        <v>44.84</v>
      </c>
      <c r="DD285" s="34">
        <v>16.57</v>
      </c>
      <c r="DE285" s="34">
        <v>14323.999</v>
      </c>
      <c r="DF285" s="34">
        <v>2840.377</v>
      </c>
      <c r="DG285" s="34">
        <v>3111.636</v>
      </c>
      <c r="DH285" s="34">
        <v>1210.057</v>
      </c>
      <c r="DI285" s="34">
        <v>5252.6909999999998</v>
      </c>
      <c r="DJ285" s="34">
        <v>100.2123</v>
      </c>
      <c r="DK285" s="34">
        <v>100.27670000000001</v>
      </c>
      <c r="DL285" s="34">
        <v>100.73</v>
      </c>
      <c r="DM285" s="34">
        <v>100.93340000000001</v>
      </c>
      <c r="DN285" s="34">
        <v>99.812600000000003</v>
      </c>
      <c r="DO285" s="34">
        <v>99.780100000000004</v>
      </c>
      <c r="DP285" s="34">
        <v>100.5121</v>
      </c>
      <c r="DQ285" s="34">
        <v>100.563</v>
      </c>
      <c r="DR285" s="34">
        <v>73877</v>
      </c>
      <c r="DS285" s="73">
        <v>29667</v>
      </c>
      <c r="DT285" s="73">
        <v>98.4</v>
      </c>
      <c r="DU285">
        <v>139.13821411132813</v>
      </c>
      <c r="DV285">
        <v>65.217132568359375</v>
      </c>
      <c r="DW285">
        <v>862</v>
      </c>
      <c r="DX285">
        <v>616125</v>
      </c>
      <c r="DY285">
        <v>80.8</v>
      </c>
      <c r="DZ285" t="s">
        <v>312</v>
      </c>
    </row>
    <row r="286" spans="1:130" x14ac:dyDescent="0.25">
      <c r="A286" s="1">
        <v>41426</v>
      </c>
      <c r="B286" s="54">
        <v>98.9</v>
      </c>
      <c r="C286" s="112">
        <v>0.09</v>
      </c>
      <c r="D286" s="54">
        <v>0.5</v>
      </c>
      <c r="E286" s="54">
        <v>0.21</v>
      </c>
      <c r="F286" s="54">
        <v>0.42</v>
      </c>
      <c r="G286" s="54">
        <v>0.89</v>
      </c>
      <c r="H286" s="54">
        <v>1.53</v>
      </c>
      <c r="I286" s="54">
        <f t="shared" si="63"/>
        <v>1.44</v>
      </c>
      <c r="J286" s="54">
        <f t="shared" si="64"/>
        <v>1.03</v>
      </c>
      <c r="K286" s="54">
        <f t="shared" si="65"/>
        <v>1.32</v>
      </c>
      <c r="L286" s="54">
        <f t="shared" si="66"/>
        <v>0.41000000000000003</v>
      </c>
      <c r="M286" s="54">
        <v>98.2</v>
      </c>
      <c r="N286" s="54">
        <v>8285.7999999999993</v>
      </c>
      <c r="O286" s="54">
        <v>21.08</v>
      </c>
      <c r="P286" s="64">
        <v>1392.8</v>
      </c>
      <c r="Q286" s="34">
        <f t="shared" si="56"/>
        <v>15.23851203501094</v>
      </c>
      <c r="R286" s="34">
        <v>2239.1</v>
      </c>
      <c r="S286" s="34">
        <f t="shared" si="57"/>
        <v>2449.7811816192561</v>
      </c>
      <c r="T286" s="34">
        <v>2266.6</v>
      </c>
      <c r="U286" s="34">
        <f t="shared" si="58"/>
        <v>2479.8687089715531</v>
      </c>
      <c r="V286" s="118">
        <v>326926</v>
      </c>
      <c r="W286" s="118">
        <v>5240787</v>
      </c>
      <c r="X286" s="119">
        <v>9126627</v>
      </c>
      <c r="Y286" s="119">
        <v>691585</v>
      </c>
      <c r="Z286" s="54">
        <v>95.5</v>
      </c>
      <c r="AA286" s="54">
        <v>87.5</v>
      </c>
      <c r="AB286" s="54">
        <v>80.900000000000006</v>
      </c>
      <c r="AC286" s="54">
        <v>89.5</v>
      </c>
      <c r="AD286" s="54">
        <v>42340</v>
      </c>
      <c r="AE286" s="54">
        <v>6.8</v>
      </c>
      <c r="AF286" s="54">
        <v>449</v>
      </c>
      <c r="AG286" s="54">
        <v>93.3</v>
      </c>
      <c r="AH286" s="54">
        <v>91.4</v>
      </c>
      <c r="AI286" s="64">
        <v>96.4</v>
      </c>
      <c r="AJ286" s="64">
        <v>92.7</v>
      </c>
      <c r="AK286" s="64">
        <v>176.17322799999999</v>
      </c>
      <c r="AL286" s="64">
        <v>77.900000000000006</v>
      </c>
      <c r="AM286" s="123">
        <v>112.10289181538379</v>
      </c>
      <c r="AN286" s="123">
        <v>229.36159961651845</v>
      </c>
      <c r="AO286" s="123">
        <v>117.38777881994918</v>
      </c>
      <c r="AP286" s="33">
        <v>78.44</v>
      </c>
      <c r="AQ286" s="54">
        <f t="shared" si="67"/>
        <v>0.81369294605809117</v>
      </c>
      <c r="AR286" s="54">
        <v>97.4</v>
      </c>
      <c r="AS286" s="54">
        <v>99.1</v>
      </c>
      <c r="AT286" s="54">
        <v>95.6</v>
      </c>
      <c r="AU286" s="54">
        <v>98</v>
      </c>
      <c r="AV286" s="54">
        <v>99.9</v>
      </c>
      <c r="AW286" s="54">
        <v>96.1</v>
      </c>
      <c r="AX286" s="54">
        <v>11.8</v>
      </c>
      <c r="AY286" s="54">
        <v>5.4</v>
      </c>
      <c r="AZ286" s="54">
        <v>7</v>
      </c>
      <c r="BA286" s="54">
        <v>6.5</v>
      </c>
      <c r="BB286" s="54">
        <v>94.6</v>
      </c>
      <c r="BC286" s="54">
        <v>96.1</v>
      </c>
      <c r="BD286" s="54">
        <v>93</v>
      </c>
      <c r="BE286" s="54">
        <v>8.6</v>
      </c>
      <c r="BF286" s="54">
        <v>38.5</v>
      </c>
      <c r="BG286" s="54">
        <v>1.1000000000000001</v>
      </c>
      <c r="BH286" s="54">
        <v>152.6</v>
      </c>
      <c r="BI286" s="54">
        <v>20</v>
      </c>
      <c r="BJ286" s="34">
        <v>48.6</v>
      </c>
      <c r="BK286" s="54">
        <v>10.876652753874872</v>
      </c>
      <c r="BL286" s="54">
        <v>-0.307</v>
      </c>
      <c r="BM286" s="54">
        <v>99.947699999999998</v>
      </c>
      <c r="BN286" s="54">
        <v>99.956500000000005</v>
      </c>
      <c r="BO286" s="54">
        <v>-14.8</v>
      </c>
      <c r="BP286" s="54">
        <v>-15.7</v>
      </c>
      <c r="BQ286" s="54">
        <v>7.5</v>
      </c>
      <c r="BR286" s="54">
        <v>5.0999999999999996</v>
      </c>
      <c r="BS286" s="54">
        <v>1.8</v>
      </c>
      <c r="BT286" s="54">
        <v>-6.7</v>
      </c>
      <c r="BU286" s="54">
        <v>-5.8</v>
      </c>
      <c r="BV286" s="54">
        <v>11.3</v>
      </c>
      <c r="BW286" s="54">
        <v>-4.5999999999999996</v>
      </c>
      <c r="BX286" s="54">
        <v>-15.4</v>
      </c>
      <c r="BY286" s="54">
        <v>-5.3</v>
      </c>
      <c r="BZ286" s="54">
        <v>101.3</v>
      </c>
      <c r="CA286" s="54">
        <v>-4.5999999999999996</v>
      </c>
      <c r="CB286" s="54">
        <v>4.0999999999999996</v>
      </c>
      <c r="CC286" s="54">
        <v>6.1</v>
      </c>
      <c r="CD286" s="54">
        <v>-18.600000000000001</v>
      </c>
      <c r="CE286" s="54">
        <v>-19.600000000000001</v>
      </c>
      <c r="CF286" s="54">
        <v>29.9</v>
      </c>
      <c r="CG286" s="54">
        <v>35.9</v>
      </c>
      <c r="CH286" s="54">
        <v>24.3</v>
      </c>
      <c r="CI286" s="54">
        <v>0.6</v>
      </c>
      <c r="CJ286" s="54">
        <v>-8.8000000000000007</v>
      </c>
      <c r="CK286" s="54">
        <v>5.6</v>
      </c>
      <c r="CL286" s="54">
        <v>24.7</v>
      </c>
      <c r="CM286" s="54">
        <v>2655.76035</v>
      </c>
      <c r="CN286" s="54">
        <v>15254.03</v>
      </c>
      <c r="CO286" s="54">
        <v>1618.7725</v>
      </c>
      <c r="CP286" s="54">
        <v>2.0070000000000001</v>
      </c>
      <c r="CQ286" s="54">
        <v>2.13</v>
      </c>
      <c r="CR286" s="54">
        <v>77.8</v>
      </c>
      <c r="CS286" s="64">
        <v>43.17</v>
      </c>
      <c r="CT286" s="54">
        <v>86.6</v>
      </c>
      <c r="CU286" s="54">
        <v>89.6</v>
      </c>
      <c r="CV286" s="54">
        <v>90.5</v>
      </c>
      <c r="CW286" s="54">
        <v>87.5</v>
      </c>
      <c r="CX286" s="54">
        <v>97.4</v>
      </c>
      <c r="CY286" s="54">
        <v>7.08</v>
      </c>
      <c r="CZ286" s="54">
        <v>47032.122000000003</v>
      </c>
      <c r="DA286" s="54">
        <v>3.99</v>
      </c>
      <c r="DB286" s="54">
        <v>29.06</v>
      </c>
      <c r="DC286" s="54">
        <v>45.93</v>
      </c>
      <c r="DD286" s="54">
        <v>16.53</v>
      </c>
      <c r="DE286" s="54">
        <v>14607.16</v>
      </c>
      <c r="DF286" s="54">
        <v>2706.8809999999999</v>
      </c>
      <c r="DG286" s="54">
        <v>2945.9520000000002</v>
      </c>
      <c r="DH286" s="54">
        <v>1323.259</v>
      </c>
      <c r="DI286" s="54">
        <v>5474.9219999999996</v>
      </c>
      <c r="DJ286" s="54">
        <v>100.2338</v>
      </c>
      <c r="DK286" s="54">
        <v>100.2907</v>
      </c>
      <c r="DL286" s="54">
        <v>100.76</v>
      </c>
      <c r="DM286" s="54">
        <v>100.9726</v>
      </c>
      <c r="DN286" s="54">
        <v>99.956500000000005</v>
      </c>
      <c r="DO286" s="54">
        <v>99.947699999999998</v>
      </c>
      <c r="DP286" s="54">
        <v>100.5934</v>
      </c>
      <c r="DQ286" s="54">
        <v>100.6524</v>
      </c>
      <c r="DR286" s="54">
        <v>86239</v>
      </c>
      <c r="DS286" s="73">
        <v>29673</v>
      </c>
      <c r="DT286" s="73">
        <v>97.3</v>
      </c>
      <c r="DU286">
        <v>177.53463745117188</v>
      </c>
      <c r="DV286">
        <v>126.39472198486328</v>
      </c>
      <c r="DW286">
        <v>806</v>
      </c>
      <c r="DX286">
        <v>614075</v>
      </c>
      <c r="DY286">
        <v>81</v>
      </c>
      <c r="DZ286" t="s">
        <v>312</v>
      </c>
    </row>
    <row r="287" spans="1:130" x14ac:dyDescent="0.25">
      <c r="A287" s="1">
        <v>41456</v>
      </c>
      <c r="B287" s="34">
        <v>97.8</v>
      </c>
      <c r="C287" s="111">
        <v>0.09</v>
      </c>
      <c r="D287" s="34">
        <v>0.5</v>
      </c>
      <c r="E287" s="34">
        <v>0.21</v>
      </c>
      <c r="F287" s="34">
        <v>0.43</v>
      </c>
      <c r="G287" s="34">
        <v>0.95</v>
      </c>
      <c r="H287" s="34">
        <v>1.56</v>
      </c>
      <c r="I287" s="34">
        <f t="shared" si="63"/>
        <v>1.47</v>
      </c>
      <c r="J287" s="34">
        <f t="shared" si="64"/>
        <v>1.06</v>
      </c>
      <c r="K287" s="34">
        <f t="shared" si="65"/>
        <v>1.35</v>
      </c>
      <c r="L287" s="34">
        <f t="shared" si="66"/>
        <v>0.41000000000000003</v>
      </c>
      <c r="M287" s="34">
        <v>98.2</v>
      </c>
      <c r="N287" s="34">
        <v>7983.92</v>
      </c>
      <c r="O287" s="34">
        <v>20.82</v>
      </c>
      <c r="P287" s="64">
        <v>1406.3</v>
      </c>
      <c r="Q287" s="34">
        <f t="shared" si="56"/>
        <v>15.369398907103825</v>
      </c>
      <c r="R287" s="34">
        <v>2247.6999999999998</v>
      </c>
      <c r="S287" s="34">
        <f t="shared" si="57"/>
        <v>2456.5027322404367</v>
      </c>
      <c r="T287" s="34">
        <v>2279.5</v>
      </c>
      <c r="U287" s="34">
        <f t="shared" si="58"/>
        <v>2491.256830601093</v>
      </c>
      <c r="V287" s="118">
        <v>310858</v>
      </c>
      <c r="W287" s="118">
        <v>5272637</v>
      </c>
      <c r="X287" s="119">
        <v>9147571</v>
      </c>
      <c r="Y287" s="119">
        <v>684758</v>
      </c>
      <c r="Z287" s="34">
        <v>95.3</v>
      </c>
      <c r="AA287" s="34">
        <v>85.5</v>
      </c>
      <c r="AB287" s="34">
        <v>82.5</v>
      </c>
      <c r="AC287" s="34">
        <v>85.1</v>
      </c>
      <c r="AD287" s="34">
        <v>42397</v>
      </c>
      <c r="AE287" s="34">
        <v>6.8</v>
      </c>
      <c r="AF287" s="34">
        <v>453</v>
      </c>
      <c r="AG287" s="34">
        <v>93.4</v>
      </c>
      <c r="AH287" s="34">
        <v>91.5</v>
      </c>
      <c r="AI287" s="64">
        <v>96.6</v>
      </c>
      <c r="AJ287" s="64">
        <v>92.6</v>
      </c>
      <c r="AK287" s="64">
        <v>175.977914</v>
      </c>
      <c r="AL287" s="64">
        <v>100.1</v>
      </c>
      <c r="AM287" s="123">
        <v>112.10289181538379</v>
      </c>
      <c r="AN287" s="123">
        <v>239.91087200244138</v>
      </c>
      <c r="AO287" s="123">
        <v>111.37600578065259</v>
      </c>
      <c r="AP287" s="33">
        <v>82.11</v>
      </c>
      <c r="AQ287" s="34">
        <f t="shared" si="67"/>
        <v>0.85000000000000009</v>
      </c>
      <c r="AR287" s="34">
        <v>97.7</v>
      </c>
      <c r="AS287" s="34">
        <v>99.3</v>
      </c>
      <c r="AT287" s="34">
        <v>96</v>
      </c>
      <c r="AU287" s="34">
        <v>98.5</v>
      </c>
      <c r="AV287" s="34">
        <v>100.4</v>
      </c>
      <c r="AW287" s="34">
        <v>96.6</v>
      </c>
      <c r="AX287" s="34">
        <v>14</v>
      </c>
      <c r="AY287" s="34">
        <v>-0.1</v>
      </c>
      <c r="AZ287" s="34">
        <v>9.8000000000000007</v>
      </c>
      <c r="BA287" s="34">
        <v>4.0999999999999996</v>
      </c>
      <c r="BB287" s="34">
        <v>94.7</v>
      </c>
      <c r="BC287" s="34">
        <v>95.7</v>
      </c>
      <c r="BD287" s="34">
        <v>93.7</v>
      </c>
      <c r="BE287" s="34">
        <v>10.6</v>
      </c>
      <c r="BF287" s="34">
        <v>36.299999999999997</v>
      </c>
      <c r="BG287" s="34">
        <v>4.3</v>
      </c>
      <c r="BH287" s="34">
        <v>151.19999999999999</v>
      </c>
      <c r="BI287" s="34">
        <v>6.8</v>
      </c>
      <c r="BJ287" s="34">
        <v>50.660000000000004</v>
      </c>
      <c r="BK287" s="34">
        <v>7.0040485749799908</v>
      </c>
      <c r="BL287" s="34">
        <v>-0.23200000000000001</v>
      </c>
      <c r="BM287" s="34">
        <v>100.1336</v>
      </c>
      <c r="BN287" s="34">
        <v>100.11620000000001</v>
      </c>
      <c r="BO287" s="34">
        <v>-16.5</v>
      </c>
      <c r="BP287" s="34">
        <v>-15.4</v>
      </c>
      <c r="BQ287" s="34">
        <v>6.9</v>
      </c>
      <c r="BR287" s="34">
        <v>4.3</v>
      </c>
      <c r="BS287" s="34">
        <v>2.1</v>
      </c>
      <c r="BT287" s="34">
        <v>-3.9</v>
      </c>
      <c r="BU287" s="34">
        <v>-6.4</v>
      </c>
      <c r="BV287" s="34">
        <v>12.5</v>
      </c>
      <c r="BW287" s="34">
        <v>-3.8</v>
      </c>
      <c r="BX287" s="34">
        <v>-13.9</v>
      </c>
      <c r="BY287" s="34">
        <v>-5.3</v>
      </c>
      <c r="BZ287" s="34">
        <v>101.9</v>
      </c>
      <c r="CA287" s="34">
        <v>-3.8</v>
      </c>
      <c r="CB287" s="34">
        <v>4.5999999999999996</v>
      </c>
      <c r="CC287" s="34">
        <v>7.1</v>
      </c>
      <c r="CD287" s="34">
        <v>-18.3</v>
      </c>
      <c r="CE287" s="34">
        <v>-18.399999999999999</v>
      </c>
      <c r="CF287" s="34">
        <v>31.1</v>
      </c>
      <c r="CG287" s="34">
        <v>37.299999999999997</v>
      </c>
      <c r="CH287" s="34">
        <v>23.1</v>
      </c>
      <c r="CI287" s="34">
        <v>2.2999999999999998</v>
      </c>
      <c r="CJ287" s="34">
        <v>-8.3000000000000007</v>
      </c>
      <c r="CK287" s="34">
        <v>8.5</v>
      </c>
      <c r="CL287" s="34">
        <v>27</v>
      </c>
      <c r="CM287" s="34">
        <v>2686.5315220000002</v>
      </c>
      <c r="CN287" s="34">
        <v>14974.96</v>
      </c>
      <c r="CO287" s="34">
        <v>1668.6754550000001</v>
      </c>
      <c r="CP287" s="34">
        <v>2.6190000000000002</v>
      </c>
      <c r="CQ287" s="34">
        <v>2.5</v>
      </c>
      <c r="CR287" s="34">
        <v>76.5</v>
      </c>
      <c r="CS287" s="64">
        <v>45.19</v>
      </c>
      <c r="CT287" s="34">
        <v>87.7</v>
      </c>
      <c r="CU287" s="34">
        <v>91.4</v>
      </c>
      <c r="CV287" s="34">
        <v>91.8</v>
      </c>
      <c r="CW287" s="34">
        <v>88.9</v>
      </c>
      <c r="CX287" s="34">
        <v>95.8</v>
      </c>
      <c r="CY287" s="34">
        <v>6.88</v>
      </c>
      <c r="CZ287" s="34">
        <v>45135.249000000003</v>
      </c>
      <c r="DA287" s="34">
        <v>3.95</v>
      </c>
      <c r="DB287" s="34">
        <v>28.61</v>
      </c>
      <c r="DC287" s="34">
        <v>44.72</v>
      </c>
      <c r="DD287" s="34">
        <v>16.350000000000001</v>
      </c>
      <c r="DE287" s="34">
        <v>15732.275</v>
      </c>
      <c r="DF287" s="34">
        <v>2478.1860000000001</v>
      </c>
      <c r="DG287" s="34">
        <v>3237.6039999999998</v>
      </c>
      <c r="DH287" s="34">
        <v>1529.5840000000001</v>
      </c>
      <c r="DI287" s="34">
        <v>6101.0950000000003</v>
      </c>
      <c r="DJ287" s="34">
        <v>100.24720000000001</v>
      </c>
      <c r="DK287" s="34">
        <v>100.2928</v>
      </c>
      <c r="DL287" s="34">
        <v>100.79</v>
      </c>
      <c r="DM287" s="34">
        <v>101.0108</v>
      </c>
      <c r="DN287" s="34">
        <v>100.11620000000001</v>
      </c>
      <c r="DO287" s="34">
        <v>100.1336</v>
      </c>
      <c r="DP287" s="34">
        <v>100.6422</v>
      </c>
      <c r="DQ287" s="34">
        <v>100.70610000000001</v>
      </c>
      <c r="DR287" s="34">
        <v>67931</v>
      </c>
      <c r="DS287" s="73">
        <v>29735</v>
      </c>
      <c r="DT287" s="73">
        <v>97.7</v>
      </c>
      <c r="DU287">
        <v>166.71267700195313</v>
      </c>
      <c r="DV287">
        <v>160.84449768066406</v>
      </c>
      <c r="DW287">
        <v>1179</v>
      </c>
      <c r="DX287">
        <v>659200</v>
      </c>
      <c r="DY287">
        <v>81.7</v>
      </c>
      <c r="DZ287" t="s">
        <v>312</v>
      </c>
    </row>
    <row r="288" spans="1:130" ht="14.25" customHeight="1" x14ac:dyDescent="0.25">
      <c r="A288" s="1">
        <v>41487</v>
      </c>
      <c r="B288" s="34">
        <v>99.4</v>
      </c>
      <c r="C288" s="111">
        <v>0.08</v>
      </c>
      <c r="D288" s="34">
        <v>0.5</v>
      </c>
      <c r="E288" s="34">
        <v>0.22</v>
      </c>
      <c r="F288" s="34">
        <v>0.56999999999999995</v>
      </c>
      <c r="G288" s="34">
        <v>1.1299999999999999</v>
      </c>
      <c r="H288" s="34">
        <v>1.73</v>
      </c>
      <c r="I288" s="34">
        <f t="shared" si="63"/>
        <v>1.65</v>
      </c>
      <c r="J288" s="34">
        <f t="shared" si="64"/>
        <v>1.23</v>
      </c>
      <c r="K288" s="34">
        <f t="shared" si="65"/>
        <v>1.51</v>
      </c>
      <c r="L288" s="34">
        <f t="shared" si="66"/>
        <v>0.42</v>
      </c>
      <c r="M288" s="34">
        <v>98.4</v>
      </c>
      <c r="N288" s="34">
        <v>8410.73</v>
      </c>
      <c r="O288" s="34">
        <v>17.309999999999999</v>
      </c>
      <c r="P288" s="64">
        <v>1417</v>
      </c>
      <c r="Q288" s="34">
        <f t="shared" si="56"/>
        <v>15.503282275711159</v>
      </c>
      <c r="R288" s="34">
        <v>2260.6</v>
      </c>
      <c r="S288" s="34">
        <f t="shared" si="57"/>
        <v>2473.3041575492339</v>
      </c>
      <c r="T288" s="34">
        <v>2288.3000000000002</v>
      </c>
      <c r="U288" s="34">
        <f t="shared" si="58"/>
        <v>2503.6105032822757</v>
      </c>
      <c r="V288" s="118">
        <v>229289</v>
      </c>
      <c r="W288" s="118">
        <v>5314438</v>
      </c>
      <c r="X288" s="119">
        <v>9183775</v>
      </c>
      <c r="Y288" s="119">
        <v>690940</v>
      </c>
      <c r="Z288" s="34">
        <v>95.2</v>
      </c>
      <c r="AA288" s="34">
        <v>86.2</v>
      </c>
      <c r="AB288" s="34">
        <v>81.2</v>
      </c>
      <c r="AC288" s="34">
        <v>86</v>
      </c>
      <c r="AD288" s="34">
        <v>42407</v>
      </c>
      <c r="AE288" s="34">
        <v>6.8</v>
      </c>
      <c r="AF288" s="34">
        <v>454</v>
      </c>
      <c r="AG288" s="34">
        <v>93.3</v>
      </c>
      <c r="AH288" s="34">
        <v>91.4</v>
      </c>
      <c r="AI288" s="64">
        <v>96.7</v>
      </c>
      <c r="AJ288" s="64">
        <v>92.7</v>
      </c>
      <c r="AK288" s="64">
        <v>175.7826</v>
      </c>
      <c r="AL288" s="64">
        <v>79.099999999999994</v>
      </c>
      <c r="AM288" s="123">
        <v>115.08567385925211</v>
      </c>
      <c r="AN288" s="123">
        <v>241.99324138026066</v>
      </c>
      <c r="AO288" s="123">
        <v>108.33946424038162</v>
      </c>
      <c r="AP288" s="33">
        <v>82.91</v>
      </c>
      <c r="AQ288" s="34">
        <f t="shared" si="67"/>
        <v>0.85739400206825223</v>
      </c>
      <c r="AR288" s="34">
        <v>99.8</v>
      </c>
      <c r="AS288" s="34">
        <v>101.4</v>
      </c>
      <c r="AT288" s="34">
        <v>98.2</v>
      </c>
      <c r="AU288" s="34">
        <v>100.5</v>
      </c>
      <c r="AV288" s="34">
        <v>102.5</v>
      </c>
      <c r="AW288" s="34">
        <v>98.5</v>
      </c>
      <c r="AX288" s="34">
        <v>20.8</v>
      </c>
      <c r="AY288" s="34">
        <v>7.3</v>
      </c>
      <c r="AZ288" s="34">
        <v>14.8</v>
      </c>
      <c r="BA288" s="34">
        <v>6.9</v>
      </c>
      <c r="BB288" s="34">
        <v>99.5</v>
      </c>
      <c r="BC288" s="34">
        <v>101.4</v>
      </c>
      <c r="BD288" s="34">
        <v>97.5</v>
      </c>
      <c r="BE288" s="34">
        <v>18.3</v>
      </c>
      <c r="BF288" s="34">
        <v>42</v>
      </c>
      <c r="BG288" s="34">
        <v>1.8</v>
      </c>
      <c r="BH288" s="34">
        <v>146.69999999999999</v>
      </c>
      <c r="BI288" s="34">
        <v>1</v>
      </c>
      <c r="BJ288" s="34">
        <v>51.800000000000004</v>
      </c>
      <c r="BK288" s="34">
        <v>9.2004474208462064</v>
      </c>
      <c r="BL288" s="34">
        <v>-7.2999999999999995E-2</v>
      </c>
      <c r="BM288" s="34">
        <v>100.3334</v>
      </c>
      <c r="BN288" s="34">
        <v>100.28789999999999</v>
      </c>
      <c r="BO288" s="34">
        <v>-9.4</v>
      </c>
      <c r="BP288" s="34">
        <v>-10.8</v>
      </c>
      <c r="BQ288" s="34">
        <v>4.0999999999999996</v>
      </c>
      <c r="BR288" s="34">
        <v>7.2</v>
      </c>
      <c r="BS288" s="34">
        <v>4</v>
      </c>
      <c r="BT288" s="34">
        <v>-3.1</v>
      </c>
      <c r="BU288" s="34">
        <v>-2.1</v>
      </c>
      <c r="BV288" s="34">
        <v>13.8</v>
      </c>
      <c r="BW288" s="34">
        <v>-3.9</v>
      </c>
      <c r="BX288" s="34">
        <v>-10.7</v>
      </c>
      <c r="BY288" s="34">
        <v>-4.2</v>
      </c>
      <c r="BZ288" s="34">
        <v>104</v>
      </c>
      <c r="CA288" s="34">
        <v>-3.9</v>
      </c>
      <c r="CB288" s="34">
        <v>4.5999999999999996</v>
      </c>
      <c r="CC288" s="34">
        <v>6.2</v>
      </c>
      <c r="CD288" s="34">
        <v>-17.100000000000001</v>
      </c>
      <c r="CE288" s="34">
        <v>-17.7</v>
      </c>
      <c r="CF288" s="34">
        <v>41.4</v>
      </c>
      <c r="CG288" s="34">
        <v>41.2</v>
      </c>
      <c r="CH288" s="34">
        <v>22</v>
      </c>
      <c r="CI288" s="34">
        <v>3</v>
      </c>
      <c r="CJ288" s="34">
        <v>-9</v>
      </c>
      <c r="CK288" s="34">
        <v>7.7</v>
      </c>
      <c r="CL288" s="34">
        <v>26.6</v>
      </c>
      <c r="CM288" s="34">
        <v>2803.8491819999999</v>
      </c>
      <c r="CN288" s="34">
        <v>15628.02</v>
      </c>
      <c r="CO288" s="34">
        <v>1670.0936360000001</v>
      </c>
      <c r="CP288" s="34">
        <v>2.5720000000000001</v>
      </c>
      <c r="CQ288" s="34">
        <v>2.74</v>
      </c>
      <c r="CR288" s="34">
        <v>73.7</v>
      </c>
      <c r="CS288" s="64">
        <v>47.1</v>
      </c>
      <c r="CT288" s="34">
        <v>88.3</v>
      </c>
      <c r="CU288" s="34">
        <v>91.7</v>
      </c>
      <c r="CV288" s="34">
        <v>94.3</v>
      </c>
      <c r="CW288" s="34">
        <v>91.4</v>
      </c>
      <c r="CX288" s="34">
        <v>101.9</v>
      </c>
      <c r="CY288" s="34">
        <v>7.69</v>
      </c>
      <c r="CZ288" s="34">
        <v>40849.650999999998</v>
      </c>
      <c r="DA288" s="34">
        <v>4.08</v>
      </c>
      <c r="DB288" s="34">
        <v>28.75</v>
      </c>
      <c r="DC288" s="34">
        <v>45.69</v>
      </c>
      <c r="DD288" s="34">
        <v>16.149999999999999</v>
      </c>
      <c r="DE288" s="34">
        <v>14716.507</v>
      </c>
      <c r="DF288" s="34">
        <v>2589.3310000000001</v>
      </c>
      <c r="DG288" s="34">
        <v>3034.759</v>
      </c>
      <c r="DH288" s="34">
        <v>1470.07</v>
      </c>
      <c r="DI288" s="34">
        <v>5662.6639999999998</v>
      </c>
      <c r="DJ288" s="34">
        <v>100.26</v>
      </c>
      <c r="DK288" s="34">
        <v>100.2941</v>
      </c>
      <c r="DL288" s="34">
        <v>100.82</v>
      </c>
      <c r="DM288" s="34">
        <v>101.0489</v>
      </c>
      <c r="DN288" s="34">
        <v>100.28789999999999</v>
      </c>
      <c r="DO288" s="34">
        <v>100.3334</v>
      </c>
      <c r="DP288" s="34">
        <v>100.6696</v>
      </c>
      <c r="DQ288" s="34">
        <v>100.7363</v>
      </c>
      <c r="DR288" s="34">
        <v>46893</v>
      </c>
      <c r="DS288" s="73">
        <v>29788</v>
      </c>
      <c r="DT288" s="73">
        <v>99.1</v>
      </c>
      <c r="DU288">
        <v>146.03974914550781</v>
      </c>
      <c r="DV288">
        <v>131.17686462402344</v>
      </c>
      <c r="DW288">
        <v>1066</v>
      </c>
      <c r="DX288">
        <v>608675</v>
      </c>
      <c r="DY288">
        <v>81.8</v>
      </c>
      <c r="DZ288" t="s">
        <v>312</v>
      </c>
    </row>
    <row r="289" spans="1:130" x14ac:dyDescent="0.25">
      <c r="A289" s="1">
        <v>41518</v>
      </c>
      <c r="B289" s="54">
        <v>99.1</v>
      </c>
      <c r="C289" s="112">
        <v>0.08</v>
      </c>
      <c r="D289" s="54">
        <v>0.5</v>
      </c>
      <c r="E289" s="54">
        <v>0.22</v>
      </c>
      <c r="F289" s="54">
        <v>0.62</v>
      </c>
      <c r="G289" s="54">
        <v>1.23</v>
      </c>
      <c r="H289" s="54">
        <v>1.89</v>
      </c>
      <c r="I289" s="54">
        <f t="shared" si="63"/>
        <v>1.8099999999999998</v>
      </c>
      <c r="J289" s="54">
        <f t="shared" si="64"/>
        <v>1.39</v>
      </c>
      <c r="K289" s="54">
        <f t="shared" si="65"/>
        <v>1.67</v>
      </c>
      <c r="L289" s="54">
        <f t="shared" si="66"/>
        <v>0.42</v>
      </c>
      <c r="M289" s="54">
        <v>98.3</v>
      </c>
      <c r="N289" s="54">
        <v>8243.8700000000008</v>
      </c>
      <c r="O289" s="54">
        <v>19.11</v>
      </c>
      <c r="P289" s="64">
        <v>1428.9</v>
      </c>
      <c r="Q289" s="34">
        <f t="shared" si="56"/>
        <v>15.599344978165941</v>
      </c>
      <c r="R289" s="34">
        <v>2267.4</v>
      </c>
      <c r="S289" s="34">
        <f t="shared" si="57"/>
        <v>2475.3275109170308</v>
      </c>
      <c r="T289" s="34">
        <v>2294.1</v>
      </c>
      <c r="U289" s="34">
        <f t="shared" si="58"/>
        <v>2504.475982532751</v>
      </c>
      <c r="V289" s="118">
        <v>229317</v>
      </c>
      <c r="W289" s="118">
        <v>5345103</v>
      </c>
      <c r="X289" s="119">
        <v>9198843</v>
      </c>
      <c r="Y289" s="119">
        <v>670134</v>
      </c>
      <c r="Z289" s="54">
        <v>95.6</v>
      </c>
      <c r="AA289" s="54">
        <v>88.5</v>
      </c>
      <c r="AB289" s="54">
        <v>85.8</v>
      </c>
      <c r="AC289" s="54">
        <v>89.4</v>
      </c>
      <c r="AD289" s="54">
        <v>42441</v>
      </c>
      <c r="AE289" s="54">
        <v>6.8</v>
      </c>
      <c r="AF289" s="54">
        <v>458</v>
      </c>
      <c r="AG289" s="54">
        <v>93.5</v>
      </c>
      <c r="AH289" s="54">
        <v>91.6</v>
      </c>
      <c r="AI289" s="64">
        <v>96.8</v>
      </c>
      <c r="AJ289" s="64">
        <v>92.9</v>
      </c>
      <c r="AK289" s="64">
        <v>176.36854199999999</v>
      </c>
      <c r="AL289" s="64">
        <v>78.8</v>
      </c>
      <c r="AM289" s="123">
        <v>119.03254236939524</v>
      </c>
      <c r="AN289" s="123">
        <v>244.51857919865725</v>
      </c>
      <c r="AO289" s="123">
        <v>110.61789671652005</v>
      </c>
      <c r="AP289" s="33">
        <v>83.47</v>
      </c>
      <c r="AQ289" s="34">
        <f t="shared" si="67"/>
        <v>0.86229338842975212</v>
      </c>
      <c r="AR289" s="54">
        <v>100.1</v>
      </c>
      <c r="AS289" s="54">
        <v>102.5</v>
      </c>
      <c r="AT289" s="54">
        <v>97.7</v>
      </c>
      <c r="AU289" s="54">
        <v>100.7</v>
      </c>
      <c r="AV289" s="54">
        <v>103.8</v>
      </c>
      <c r="AW289" s="54">
        <v>97.8</v>
      </c>
      <c r="AX289" s="54">
        <v>19.7</v>
      </c>
      <c r="AY289" s="54">
        <v>10.4</v>
      </c>
      <c r="AZ289" s="54">
        <v>15.2</v>
      </c>
      <c r="BA289" s="54">
        <v>5.7</v>
      </c>
      <c r="BB289" s="54">
        <v>98.4</v>
      </c>
      <c r="BC289" s="54">
        <v>101.2</v>
      </c>
      <c r="BD289" s="54">
        <v>95.7</v>
      </c>
      <c r="BE289" s="54">
        <v>30.6</v>
      </c>
      <c r="BF289" s="54">
        <v>49.6</v>
      </c>
      <c r="BG289" s="54">
        <v>10.7</v>
      </c>
      <c r="BH289" s="54">
        <v>148.80000000000001</v>
      </c>
      <c r="BI289" s="54">
        <v>0.7</v>
      </c>
      <c r="BJ289" s="34">
        <v>51.1</v>
      </c>
      <c r="BK289" s="54">
        <v>14.042791537276859</v>
      </c>
      <c r="BL289" s="54">
        <v>8.5000000000000006E-2</v>
      </c>
      <c r="BM289" s="54">
        <v>100.5196</v>
      </c>
      <c r="BN289" s="54">
        <v>100.4478</v>
      </c>
      <c r="BO289" s="54">
        <v>-9.9</v>
      </c>
      <c r="BP289" s="54">
        <v>-11.6</v>
      </c>
      <c r="BQ289" s="54">
        <v>4</v>
      </c>
      <c r="BR289" s="54">
        <v>8.8000000000000007</v>
      </c>
      <c r="BS289" s="54">
        <v>4.5999999999999996</v>
      </c>
      <c r="BT289" s="54">
        <v>-0.1</v>
      </c>
      <c r="BU289" s="54">
        <v>-1.7</v>
      </c>
      <c r="BV289" s="54">
        <v>15.7</v>
      </c>
      <c r="BW289" s="54">
        <v>-3</v>
      </c>
      <c r="BX289" s="54">
        <v>-8.8000000000000007</v>
      </c>
      <c r="BY289" s="54">
        <v>-3</v>
      </c>
      <c r="BZ289" s="54">
        <v>105.2</v>
      </c>
      <c r="CA289" s="54">
        <v>-3</v>
      </c>
      <c r="CB289" s="54">
        <v>5</v>
      </c>
      <c r="CC289" s="54">
        <v>5.8</v>
      </c>
      <c r="CD289" s="54">
        <v>-15.9</v>
      </c>
      <c r="CE289" s="54">
        <v>-15.4</v>
      </c>
      <c r="CF289" s="54">
        <v>40</v>
      </c>
      <c r="CG289" s="54">
        <v>40.200000000000003</v>
      </c>
      <c r="CH289" s="54">
        <v>21.6</v>
      </c>
      <c r="CI289" s="54">
        <v>3.9</v>
      </c>
      <c r="CJ289" s="54">
        <v>-7.5</v>
      </c>
      <c r="CK289" s="54">
        <v>5.5</v>
      </c>
      <c r="CL289" s="54">
        <v>25.3</v>
      </c>
      <c r="CM289" s="54">
        <v>2864.5557140000001</v>
      </c>
      <c r="CN289" s="54">
        <v>14810.3</v>
      </c>
      <c r="CO289" s="54">
        <v>1687.1735000000001</v>
      </c>
      <c r="CP289" s="54">
        <v>2.8519999999999999</v>
      </c>
      <c r="CQ289" s="54">
        <v>2.78</v>
      </c>
      <c r="CR289" s="54">
        <v>67.8</v>
      </c>
      <c r="CS289" s="64">
        <v>44.13</v>
      </c>
      <c r="CT289" s="54">
        <v>90.9</v>
      </c>
      <c r="CU289" s="54">
        <v>94.6</v>
      </c>
      <c r="CV289" s="54">
        <v>95.7</v>
      </c>
      <c r="CW289" s="54">
        <v>92.4</v>
      </c>
      <c r="CX289" s="54">
        <v>100.8</v>
      </c>
      <c r="CY289" s="54">
        <v>7.63</v>
      </c>
      <c r="CZ289" s="54">
        <v>48011.538999999997</v>
      </c>
      <c r="DA289" s="54">
        <v>4.09</v>
      </c>
      <c r="DB289" s="54">
        <v>27.75</v>
      </c>
      <c r="DC289" s="54">
        <v>46.34</v>
      </c>
      <c r="DD289" s="54">
        <v>16.079999999999998</v>
      </c>
      <c r="DE289" s="54">
        <v>15264.133</v>
      </c>
      <c r="DF289" s="54">
        <v>2697.8760000000002</v>
      </c>
      <c r="DG289" s="54">
        <v>3036.386</v>
      </c>
      <c r="DH289" s="54">
        <v>1586.0619999999999</v>
      </c>
      <c r="DI289" s="54">
        <v>5697.5690000000004</v>
      </c>
      <c r="DJ289" s="54">
        <v>100.27330000000001</v>
      </c>
      <c r="DK289" s="54">
        <v>100.29810000000001</v>
      </c>
      <c r="DL289" s="54">
        <v>100.84</v>
      </c>
      <c r="DM289" s="54">
        <v>101.0759</v>
      </c>
      <c r="DN289" s="54">
        <v>100.4478</v>
      </c>
      <c r="DO289" s="54">
        <v>100.5196</v>
      </c>
      <c r="DP289" s="54">
        <v>100.6812</v>
      </c>
      <c r="DQ289" s="54">
        <v>100.74890000000001</v>
      </c>
      <c r="DR289" s="54">
        <v>56196</v>
      </c>
      <c r="DS289" s="73">
        <v>29828</v>
      </c>
      <c r="DT289" s="73">
        <v>99</v>
      </c>
      <c r="DU289">
        <v>179.70527648925781</v>
      </c>
      <c r="DV289">
        <v>130.39103698730469</v>
      </c>
      <c r="DW289">
        <v>1139</v>
      </c>
      <c r="DX289">
        <v>602850</v>
      </c>
      <c r="DY289">
        <v>81.400000000000006</v>
      </c>
      <c r="DZ289" t="s">
        <v>312</v>
      </c>
    </row>
    <row r="290" spans="1:130" x14ac:dyDescent="0.25">
      <c r="A290" s="1">
        <v>41548</v>
      </c>
      <c r="B290" s="34">
        <v>98.5</v>
      </c>
      <c r="C290" s="111">
        <v>0.09</v>
      </c>
      <c r="D290" s="34">
        <v>0.5</v>
      </c>
      <c r="E290" s="34">
        <v>0.23</v>
      </c>
      <c r="F290" s="34">
        <v>0.51</v>
      </c>
      <c r="G290" s="34">
        <v>1.08</v>
      </c>
      <c r="H290" s="34">
        <v>1.76</v>
      </c>
      <c r="I290" s="34">
        <f t="shared" si="63"/>
        <v>1.67</v>
      </c>
      <c r="J290" s="34">
        <f t="shared" si="64"/>
        <v>1.26</v>
      </c>
      <c r="K290" s="34">
        <f t="shared" si="65"/>
        <v>1.53</v>
      </c>
      <c r="L290" s="34">
        <f t="shared" si="66"/>
        <v>0.41000000000000003</v>
      </c>
      <c r="M290" s="34">
        <v>98.8</v>
      </c>
      <c r="N290" s="34">
        <v>8689.14</v>
      </c>
      <c r="O290" s="34">
        <v>15.02</v>
      </c>
      <c r="P290" s="64">
        <v>1448.6</v>
      </c>
      <c r="Q290" s="34">
        <f t="shared" si="56"/>
        <v>15.831693989071038</v>
      </c>
      <c r="R290" s="34">
        <v>2288.9</v>
      </c>
      <c r="S290" s="34">
        <f t="shared" si="57"/>
        <v>2501.5300546448088</v>
      </c>
      <c r="T290" s="34">
        <v>2320</v>
      </c>
      <c r="U290" s="34">
        <f t="shared" si="58"/>
        <v>2535.5191256830599</v>
      </c>
      <c r="V290" s="118">
        <v>221623</v>
      </c>
      <c r="W290" s="118">
        <v>5380840</v>
      </c>
      <c r="X290" s="119">
        <v>9219721</v>
      </c>
      <c r="Y290" s="119">
        <v>658221</v>
      </c>
      <c r="Z290" s="34">
        <v>96.4</v>
      </c>
      <c r="AA290" s="34">
        <v>87.4</v>
      </c>
      <c r="AB290" s="34">
        <v>85</v>
      </c>
      <c r="AC290" s="34">
        <v>85.8</v>
      </c>
      <c r="AD290" s="34">
        <v>42492</v>
      </c>
      <c r="AE290" s="34">
        <v>6.8</v>
      </c>
      <c r="AF290" s="34">
        <v>458</v>
      </c>
      <c r="AG290" s="34">
        <v>93.3</v>
      </c>
      <c r="AH290" s="34">
        <v>91.5</v>
      </c>
      <c r="AI290" s="64">
        <v>96.4</v>
      </c>
      <c r="AJ290" s="64">
        <v>92.7</v>
      </c>
      <c r="AK290" s="64">
        <v>175.977914</v>
      </c>
      <c r="AL290" s="64">
        <v>78.8</v>
      </c>
      <c r="AM290" s="123">
        <v>113.31759489385202</v>
      </c>
      <c r="AN290" s="123">
        <v>238.68407947808191</v>
      </c>
      <c r="AO290" s="123">
        <v>106.63651327438851</v>
      </c>
      <c r="AP290" s="33">
        <v>80.150000000000006</v>
      </c>
      <c r="AQ290" s="34">
        <f t="shared" si="67"/>
        <v>0.83143153526970959</v>
      </c>
      <c r="AR290" s="34">
        <v>100.3</v>
      </c>
      <c r="AS290" s="34">
        <v>102.4</v>
      </c>
      <c r="AT290" s="34">
        <v>98.3</v>
      </c>
      <c r="AU290" s="34">
        <v>101</v>
      </c>
      <c r="AV290" s="34">
        <v>104.2</v>
      </c>
      <c r="AW290" s="34">
        <v>97.9</v>
      </c>
      <c r="AX290" s="34">
        <v>14.9</v>
      </c>
      <c r="AY290" s="34">
        <v>16</v>
      </c>
      <c r="AZ290" s="34">
        <v>16.3</v>
      </c>
      <c r="BA290" s="34">
        <v>11.8</v>
      </c>
      <c r="BB290" s="34">
        <v>100.8</v>
      </c>
      <c r="BC290" s="34">
        <v>102.6</v>
      </c>
      <c r="BD290" s="34">
        <v>99</v>
      </c>
      <c r="BE290" s="34">
        <v>29.7</v>
      </c>
      <c r="BF290" s="34">
        <v>52.8</v>
      </c>
      <c r="BG290" s="34">
        <v>11.3</v>
      </c>
      <c r="BH290" s="34">
        <v>152.19999999999999</v>
      </c>
      <c r="BI290" s="34">
        <v>3.2</v>
      </c>
      <c r="BJ290" s="34">
        <v>51.7</v>
      </c>
      <c r="BK290" s="34">
        <v>10.752961756674466</v>
      </c>
      <c r="BL290" s="34">
        <v>0.224</v>
      </c>
      <c r="BM290" s="34">
        <v>100.66849999999999</v>
      </c>
      <c r="BN290" s="34">
        <v>100.5759</v>
      </c>
      <c r="BO290" s="34">
        <v>-7.7</v>
      </c>
      <c r="BP290" s="34">
        <v>-10.1</v>
      </c>
      <c r="BQ290" s="34">
        <v>3.1</v>
      </c>
      <c r="BR290" s="34">
        <v>13.7</v>
      </c>
      <c r="BS290" s="34">
        <v>3.5</v>
      </c>
      <c r="BT290" s="34">
        <v>1</v>
      </c>
      <c r="BU290" s="34">
        <v>1</v>
      </c>
      <c r="BV290" s="34">
        <v>12.2</v>
      </c>
      <c r="BW290" s="34">
        <v>-2.6</v>
      </c>
      <c r="BX290" s="34">
        <v>-8.6999999999999993</v>
      </c>
      <c r="BY290" s="34">
        <v>-3.6</v>
      </c>
      <c r="BZ290" s="34">
        <v>105.3</v>
      </c>
      <c r="CA290" s="34">
        <v>-2.6</v>
      </c>
      <c r="CB290" s="34">
        <v>6</v>
      </c>
      <c r="CC290" s="34">
        <v>5.7</v>
      </c>
      <c r="CD290" s="34">
        <v>-13.3</v>
      </c>
      <c r="CE290" s="34">
        <v>-15</v>
      </c>
      <c r="CF290" s="34">
        <v>37.299999999999997</v>
      </c>
      <c r="CG290" s="34">
        <v>40.1</v>
      </c>
      <c r="CH290" s="34">
        <v>21.2</v>
      </c>
      <c r="CI290" s="34">
        <v>5.5</v>
      </c>
      <c r="CJ290" s="34">
        <v>-7.3</v>
      </c>
      <c r="CK290" s="34">
        <v>3.8</v>
      </c>
      <c r="CL290" s="34">
        <v>24.6</v>
      </c>
      <c r="CM290" s="34">
        <v>2988.8820000000001</v>
      </c>
      <c r="CN290" s="34">
        <v>15191.7</v>
      </c>
      <c r="CO290" s="34">
        <v>1720.0265220000001</v>
      </c>
      <c r="CP290" s="34">
        <v>2.7149999999999999</v>
      </c>
      <c r="CQ290" s="34">
        <v>2.66</v>
      </c>
      <c r="CR290" s="34">
        <v>62.5</v>
      </c>
      <c r="CS290" s="64">
        <v>47.01</v>
      </c>
      <c r="CT290" s="34">
        <v>92.3</v>
      </c>
      <c r="CU290" s="34">
        <v>91.5</v>
      </c>
      <c r="CV290" s="34">
        <v>95.7</v>
      </c>
      <c r="CW290" s="34">
        <v>94.7</v>
      </c>
      <c r="CX290" s="34">
        <v>101.6</v>
      </c>
      <c r="CY290" s="34">
        <v>7.75</v>
      </c>
      <c r="CZ290" s="34">
        <v>50486.847999999998</v>
      </c>
      <c r="DA290" s="34">
        <v>4.16</v>
      </c>
      <c r="DB290" s="34">
        <v>29.61</v>
      </c>
      <c r="DC290" s="34">
        <v>46.69</v>
      </c>
      <c r="DD290" s="34">
        <v>16.420000000000002</v>
      </c>
      <c r="DE290" s="34">
        <v>15734.22</v>
      </c>
      <c r="DF290" s="34">
        <v>2907.8339999999998</v>
      </c>
      <c r="DG290" s="34">
        <v>3184.018</v>
      </c>
      <c r="DH290" s="34">
        <v>1585.4559999999999</v>
      </c>
      <c r="DI290" s="34">
        <v>5975.4449999999997</v>
      </c>
      <c r="DJ290" s="34">
        <v>100.2824</v>
      </c>
      <c r="DK290" s="34">
        <v>100.3</v>
      </c>
      <c r="DL290" s="34">
        <v>100.84</v>
      </c>
      <c r="DM290" s="34">
        <v>101.07680000000001</v>
      </c>
      <c r="DN290" s="34">
        <v>100.5759</v>
      </c>
      <c r="DO290" s="34">
        <v>100.66849999999999</v>
      </c>
      <c r="DP290" s="34">
        <v>100.6857</v>
      </c>
      <c r="DQ290" s="34">
        <v>100.7539</v>
      </c>
      <c r="DR290" s="34">
        <v>69596</v>
      </c>
      <c r="DS290" s="73">
        <v>29861</v>
      </c>
      <c r="DT290" s="73">
        <v>99.1</v>
      </c>
      <c r="DU290">
        <v>210.525390625</v>
      </c>
      <c r="DV290">
        <v>209.00704956054688</v>
      </c>
      <c r="DW290">
        <v>1994</v>
      </c>
      <c r="DX290">
        <v>531875</v>
      </c>
      <c r="DY290">
        <v>82</v>
      </c>
      <c r="DZ290" t="s">
        <v>312</v>
      </c>
    </row>
    <row r="291" spans="1:130" x14ac:dyDescent="0.25">
      <c r="A291" s="1">
        <v>41579</v>
      </c>
      <c r="B291" s="34">
        <v>100.1</v>
      </c>
      <c r="C291" s="111">
        <v>0.1</v>
      </c>
      <c r="D291" s="34">
        <v>0.25</v>
      </c>
      <c r="E291" s="34">
        <v>0.22</v>
      </c>
      <c r="F291" s="34">
        <v>0.4</v>
      </c>
      <c r="G291" s="34">
        <v>0.97</v>
      </c>
      <c r="H291" s="34">
        <v>1.68</v>
      </c>
      <c r="I291" s="34">
        <f t="shared" si="63"/>
        <v>1.5799999999999998</v>
      </c>
      <c r="J291" s="34">
        <f t="shared" si="64"/>
        <v>1.43</v>
      </c>
      <c r="K291" s="34">
        <f t="shared" si="65"/>
        <v>1.46</v>
      </c>
      <c r="L291" s="34">
        <f t="shared" si="66"/>
        <v>0.15</v>
      </c>
      <c r="M291" s="34">
        <v>98.6</v>
      </c>
      <c r="N291" s="34">
        <v>9007.83</v>
      </c>
      <c r="O291" s="34">
        <v>14.33</v>
      </c>
      <c r="P291" s="64">
        <v>1440</v>
      </c>
      <c r="Q291" s="34">
        <f t="shared" si="56"/>
        <v>15.669205658324264</v>
      </c>
      <c r="R291" s="34">
        <v>2279.5</v>
      </c>
      <c r="S291" s="34">
        <f t="shared" si="57"/>
        <v>2480.4134929270945</v>
      </c>
      <c r="T291" s="34">
        <v>2305.6</v>
      </c>
      <c r="U291" s="34">
        <f t="shared" si="58"/>
        <v>2508.8139281828071</v>
      </c>
      <c r="V291" s="118">
        <v>218727</v>
      </c>
      <c r="W291" s="118">
        <v>5402217</v>
      </c>
      <c r="X291" s="119">
        <v>9235023</v>
      </c>
      <c r="Y291" s="119">
        <v>650274</v>
      </c>
      <c r="Z291" s="34">
        <v>96.8</v>
      </c>
      <c r="AA291" s="34">
        <v>88.3</v>
      </c>
      <c r="AB291" s="34">
        <v>87.3</v>
      </c>
      <c r="AC291" s="34">
        <v>88.5</v>
      </c>
      <c r="AD291" s="34">
        <v>42513</v>
      </c>
      <c r="AE291" s="34">
        <v>6.9</v>
      </c>
      <c r="AF291" s="34">
        <v>460</v>
      </c>
      <c r="AG291" s="34">
        <v>93.5</v>
      </c>
      <c r="AH291" s="34">
        <v>91.9</v>
      </c>
      <c r="AI291" s="64">
        <v>96.3</v>
      </c>
      <c r="AJ291" s="64">
        <v>92.7</v>
      </c>
      <c r="AK291" s="64">
        <v>175.7826</v>
      </c>
      <c r="AL291" s="64">
        <v>119.6</v>
      </c>
      <c r="AM291" s="123">
        <v>113.31759489385202</v>
      </c>
      <c r="AN291" s="123">
        <v>241.21158124051092</v>
      </c>
      <c r="AO291" s="123">
        <v>107.42474515709254</v>
      </c>
      <c r="AP291" s="33">
        <v>80.06</v>
      </c>
      <c r="AQ291" s="34">
        <f t="shared" si="67"/>
        <v>0.8313603322949118</v>
      </c>
      <c r="AR291" s="34">
        <v>101.2</v>
      </c>
      <c r="AS291" s="34">
        <v>104</v>
      </c>
      <c r="AT291" s="34">
        <v>98.5</v>
      </c>
      <c r="AU291" s="34">
        <v>102.3</v>
      </c>
      <c r="AV291" s="34">
        <v>105.8</v>
      </c>
      <c r="AW291" s="34">
        <v>99</v>
      </c>
      <c r="AX291" s="34">
        <v>18.5</v>
      </c>
      <c r="AY291" s="34">
        <v>14.5</v>
      </c>
      <c r="AZ291" s="34">
        <v>17.7</v>
      </c>
      <c r="BA291" s="34">
        <v>13</v>
      </c>
      <c r="BB291" s="34">
        <v>101.6</v>
      </c>
      <c r="BC291" s="34">
        <v>104.8</v>
      </c>
      <c r="BD291" s="34">
        <v>98.6</v>
      </c>
      <c r="BE291" s="34">
        <v>28.7</v>
      </c>
      <c r="BF291" s="34">
        <v>54.6</v>
      </c>
      <c r="BG291" s="34">
        <v>20.3</v>
      </c>
      <c r="BH291" s="34">
        <v>145.30000000000001</v>
      </c>
      <c r="BI291" s="34">
        <v>6.9</v>
      </c>
      <c r="BJ291" s="34">
        <v>52.7</v>
      </c>
      <c r="BK291" s="34">
        <v>10.391203000352103</v>
      </c>
      <c r="BL291" s="34">
        <v>0.27300000000000002</v>
      </c>
      <c r="BM291" s="34">
        <v>100.77849999999999</v>
      </c>
      <c r="BN291" s="34">
        <v>100.6703</v>
      </c>
      <c r="BO291" s="34">
        <v>-7</v>
      </c>
      <c r="BP291" s="34">
        <v>-6.4</v>
      </c>
      <c r="BQ291" s="34">
        <v>3.4</v>
      </c>
      <c r="BR291" s="34">
        <v>13</v>
      </c>
      <c r="BS291" s="34">
        <v>4.2</v>
      </c>
      <c r="BT291" s="34">
        <v>2.2000000000000002</v>
      </c>
      <c r="BU291" s="34">
        <v>0.9</v>
      </c>
      <c r="BV291" s="34">
        <v>14.2</v>
      </c>
      <c r="BW291" s="34">
        <v>-1.8</v>
      </c>
      <c r="BX291" s="34">
        <v>-8</v>
      </c>
      <c r="BY291" s="34">
        <v>-4.7</v>
      </c>
      <c r="BZ291" s="34">
        <v>106.2</v>
      </c>
      <c r="CA291" s="34">
        <v>-1.8</v>
      </c>
      <c r="CB291" s="34">
        <v>4.7</v>
      </c>
      <c r="CC291" s="34">
        <v>6.7</v>
      </c>
      <c r="CD291" s="34">
        <v>-10.8</v>
      </c>
      <c r="CE291" s="34">
        <v>-12.6</v>
      </c>
      <c r="CF291" s="34">
        <v>35.1</v>
      </c>
      <c r="CG291" s="34">
        <v>37.4</v>
      </c>
      <c r="CH291" s="34">
        <v>19.899999999999999</v>
      </c>
      <c r="CI291" s="34">
        <v>5.0999999999999996</v>
      </c>
      <c r="CJ291" s="34">
        <v>-6</v>
      </c>
      <c r="CK291" s="34">
        <v>3.9</v>
      </c>
      <c r="CL291" s="34">
        <v>25.2</v>
      </c>
      <c r="CM291" s="34">
        <v>3055.9819050000001</v>
      </c>
      <c r="CN291" s="34">
        <v>15615.55</v>
      </c>
      <c r="CO291" s="34">
        <v>1783.5409999999999</v>
      </c>
      <c r="CP291" s="34">
        <v>2.6539999999999999</v>
      </c>
      <c r="CQ291" s="34">
        <v>2.65</v>
      </c>
      <c r="CR291" s="34">
        <v>66.8</v>
      </c>
      <c r="CS291" s="64">
        <v>47.55</v>
      </c>
      <c r="CT291" s="34">
        <v>90.6</v>
      </c>
      <c r="CU291" s="34">
        <v>92.9</v>
      </c>
      <c r="CV291" s="34">
        <v>95</v>
      </c>
      <c r="CW291" s="34">
        <v>95.9</v>
      </c>
      <c r="CX291" s="34">
        <v>104.8</v>
      </c>
      <c r="CY291" s="34">
        <v>8.27</v>
      </c>
      <c r="CZ291" s="34">
        <v>46973.468999999997</v>
      </c>
      <c r="DA291" s="34">
        <v>4.1100000000000003</v>
      </c>
      <c r="DB291" s="34">
        <v>28.95</v>
      </c>
      <c r="DC291" s="34">
        <v>46.27</v>
      </c>
      <c r="DD291" s="34">
        <v>16.37</v>
      </c>
      <c r="DE291" s="34">
        <v>15676.448</v>
      </c>
      <c r="DF291" s="34">
        <v>3324.8240000000001</v>
      </c>
      <c r="DG291" s="34">
        <v>3040.3139999999999</v>
      </c>
      <c r="DH291" s="34">
        <v>1511.193</v>
      </c>
      <c r="DI291" s="34">
        <v>5864.85</v>
      </c>
      <c r="DJ291" s="34">
        <v>100.2803</v>
      </c>
      <c r="DK291" s="34">
        <v>100.29179999999999</v>
      </c>
      <c r="DL291" s="34">
        <v>100.81</v>
      </c>
      <c r="DM291" s="34">
        <v>101.0368</v>
      </c>
      <c r="DN291" s="34">
        <v>100.6703</v>
      </c>
      <c r="DO291" s="34">
        <v>100.77849999999999</v>
      </c>
      <c r="DP291" s="34">
        <v>100.69070000000001</v>
      </c>
      <c r="DQ291" s="34">
        <v>100.7594</v>
      </c>
      <c r="DR291" s="34">
        <v>66851</v>
      </c>
      <c r="DS291" s="73">
        <v>29889</v>
      </c>
      <c r="DT291" s="73">
        <v>99.8</v>
      </c>
      <c r="DU291">
        <v>156.70506286621094</v>
      </c>
      <c r="DV291">
        <v>110.15919494628906</v>
      </c>
      <c r="DW291">
        <v>1525</v>
      </c>
      <c r="DX291">
        <v>474675</v>
      </c>
      <c r="DY291">
        <v>82.4</v>
      </c>
      <c r="DZ291" t="s">
        <v>312</v>
      </c>
    </row>
    <row r="292" spans="1:130" x14ac:dyDescent="0.25">
      <c r="A292" s="1">
        <v>41609</v>
      </c>
      <c r="B292" s="54">
        <v>100.4</v>
      </c>
      <c r="C292" s="112">
        <v>0.17</v>
      </c>
      <c r="D292" s="54">
        <v>0.25</v>
      </c>
      <c r="E292" s="54">
        <v>0.24</v>
      </c>
      <c r="F292" s="54">
        <v>0.53</v>
      </c>
      <c r="G292" s="54">
        <v>1.1200000000000001</v>
      </c>
      <c r="H292" s="54">
        <v>1.8</v>
      </c>
      <c r="I292" s="54">
        <f t="shared" si="63"/>
        <v>1.6300000000000001</v>
      </c>
      <c r="J292" s="54">
        <f t="shared" si="64"/>
        <v>1.55</v>
      </c>
      <c r="K292" s="54">
        <f t="shared" si="65"/>
        <v>1.56</v>
      </c>
      <c r="L292" s="54">
        <f t="shared" si="66"/>
        <v>7.9999999999999988E-2</v>
      </c>
      <c r="M292" s="54">
        <v>99</v>
      </c>
      <c r="N292" s="54">
        <v>9401.9599999999991</v>
      </c>
      <c r="O292" s="54">
        <v>14.84</v>
      </c>
      <c r="P292" s="64">
        <v>1446</v>
      </c>
      <c r="Q292" s="34">
        <f t="shared" si="56"/>
        <v>15.751633986928105</v>
      </c>
      <c r="R292" s="34">
        <v>2287.1</v>
      </c>
      <c r="S292" s="34">
        <f t="shared" si="57"/>
        <v>2491.3943355119827</v>
      </c>
      <c r="T292" s="34">
        <v>2314.1</v>
      </c>
      <c r="U292" s="34">
        <f t="shared" si="58"/>
        <v>2520.8061002178647</v>
      </c>
      <c r="V292" s="118">
        <v>227494</v>
      </c>
      <c r="W292" s="118">
        <v>5386119</v>
      </c>
      <c r="X292" s="119">
        <v>9212026</v>
      </c>
      <c r="Y292" s="119">
        <v>620624</v>
      </c>
      <c r="Z292" s="54">
        <v>97.1</v>
      </c>
      <c r="AA292" s="54">
        <v>87.4</v>
      </c>
      <c r="AB292" s="54">
        <v>82.5</v>
      </c>
      <c r="AC292" s="54">
        <v>88</v>
      </c>
      <c r="AD292" s="54">
        <v>42527</v>
      </c>
      <c r="AE292" s="54">
        <v>6.8</v>
      </c>
      <c r="AF292" s="54">
        <v>464</v>
      </c>
      <c r="AG292" s="54">
        <v>93.6</v>
      </c>
      <c r="AH292" s="54">
        <v>91.8</v>
      </c>
      <c r="AI292" s="64">
        <v>96.3</v>
      </c>
      <c r="AJ292" s="64">
        <v>92.7</v>
      </c>
      <c r="AK292" s="64">
        <v>175.977914</v>
      </c>
      <c r="AL292" s="64">
        <v>80.3</v>
      </c>
      <c r="AM292" s="123">
        <v>118.66516678771922</v>
      </c>
      <c r="AN292" s="123">
        <v>243.96137126833253</v>
      </c>
      <c r="AO292" s="123">
        <v>107.98659005854176</v>
      </c>
      <c r="AP292" s="33">
        <v>80.87</v>
      </c>
      <c r="AQ292" s="34">
        <f t="shared" si="67"/>
        <v>0.83977154724818281</v>
      </c>
      <c r="AR292" s="54">
        <v>101.2</v>
      </c>
      <c r="AS292" s="54">
        <v>104.1</v>
      </c>
      <c r="AT292" s="54">
        <v>98.4</v>
      </c>
      <c r="AU292" s="54">
        <v>101.9</v>
      </c>
      <c r="AV292" s="54">
        <v>105.2</v>
      </c>
      <c r="AW292" s="54">
        <v>98.7</v>
      </c>
      <c r="AX292" s="54">
        <v>19</v>
      </c>
      <c r="AY292" s="54">
        <v>11.2</v>
      </c>
      <c r="AZ292" s="54">
        <v>17.100000000000001</v>
      </c>
      <c r="BA292" s="54">
        <v>10.6</v>
      </c>
      <c r="BB292" s="54">
        <v>100.4</v>
      </c>
      <c r="BC292" s="54">
        <v>103.9</v>
      </c>
      <c r="BD292" s="54">
        <v>97.1</v>
      </c>
      <c r="BE292" s="54">
        <v>32.4</v>
      </c>
      <c r="BF292" s="54">
        <v>62</v>
      </c>
      <c r="BG292" s="54">
        <v>23.3</v>
      </c>
      <c r="BH292" s="54">
        <v>144.1</v>
      </c>
      <c r="BI292" s="54">
        <v>12.9</v>
      </c>
      <c r="BJ292" s="34">
        <v>54.300000000000004</v>
      </c>
      <c r="BK292" s="54">
        <v>10.672491166211252</v>
      </c>
      <c r="BL292" s="54">
        <v>0.318</v>
      </c>
      <c r="BM292" s="54">
        <v>100.8417</v>
      </c>
      <c r="BN292" s="54">
        <v>100.7246</v>
      </c>
      <c r="BO292" s="54">
        <v>-7.4</v>
      </c>
      <c r="BP292" s="54">
        <v>-7.9</v>
      </c>
      <c r="BQ292" s="54">
        <v>3.1</v>
      </c>
      <c r="BR292" s="54">
        <v>11.2</v>
      </c>
      <c r="BS292" s="54">
        <v>4.8</v>
      </c>
      <c r="BT292" s="54">
        <v>0.5</v>
      </c>
      <c r="BU292" s="54">
        <v>0.2</v>
      </c>
      <c r="BV292" s="54">
        <v>14.8</v>
      </c>
      <c r="BW292" s="54">
        <v>-1.3</v>
      </c>
      <c r="BX292" s="54">
        <v>-6.1</v>
      </c>
      <c r="BY292" s="54">
        <v>-6.1</v>
      </c>
      <c r="BZ292" s="54">
        <v>106.1</v>
      </c>
      <c r="CA292" s="54">
        <v>-1.3</v>
      </c>
      <c r="CB292" s="54">
        <v>7.7</v>
      </c>
      <c r="CC292" s="54">
        <v>6.3</v>
      </c>
      <c r="CD292" s="54">
        <v>-10.6</v>
      </c>
      <c r="CE292" s="54">
        <v>-12.3</v>
      </c>
      <c r="CF292" s="54">
        <v>37.6</v>
      </c>
      <c r="CG292" s="54">
        <v>38.799999999999997</v>
      </c>
      <c r="CH292" s="54">
        <v>19.2</v>
      </c>
      <c r="CI292" s="54">
        <v>8.1</v>
      </c>
      <c r="CJ292" s="54">
        <v>-7</v>
      </c>
      <c r="CK292" s="54">
        <v>7.3</v>
      </c>
      <c r="CL292" s="54">
        <v>28.4</v>
      </c>
      <c r="CM292" s="54">
        <v>3010.1982499999999</v>
      </c>
      <c r="CN292" s="54">
        <v>16008.77</v>
      </c>
      <c r="CO292" s="54">
        <v>1807.7752379999999</v>
      </c>
      <c r="CP292" s="54">
        <v>2.843</v>
      </c>
      <c r="CQ292" s="54">
        <v>2.81</v>
      </c>
      <c r="CR292" s="54">
        <v>72.099999999999994</v>
      </c>
      <c r="CS292" s="64">
        <v>46.49</v>
      </c>
      <c r="CT292" s="54">
        <v>91.1</v>
      </c>
      <c r="CU292" s="54">
        <v>97.2</v>
      </c>
      <c r="CV292" s="54">
        <v>96.7</v>
      </c>
      <c r="CW292" s="54">
        <v>95.4</v>
      </c>
      <c r="CX292" s="54">
        <v>107.8</v>
      </c>
      <c r="CY292" s="54">
        <v>7.46</v>
      </c>
      <c r="CZ292" s="54">
        <v>40418.991000000002</v>
      </c>
      <c r="DA292" s="54">
        <v>3.91</v>
      </c>
      <c r="DB292" s="54">
        <v>29.89</v>
      </c>
      <c r="DC292" s="54">
        <v>47.18</v>
      </c>
      <c r="DD292" s="54">
        <v>16.46</v>
      </c>
      <c r="DE292" s="54">
        <v>15117.832</v>
      </c>
      <c r="DF292" s="54">
        <v>3193.4169999999999</v>
      </c>
      <c r="DG292" s="54">
        <v>2365.0839999999998</v>
      </c>
      <c r="DH292" s="54">
        <v>1437.17</v>
      </c>
      <c r="DI292" s="54">
        <v>5347.5649999999996</v>
      </c>
      <c r="DJ292" s="54">
        <v>100.261</v>
      </c>
      <c r="DK292" s="54">
        <v>100.2662</v>
      </c>
      <c r="DL292" s="54">
        <v>100.75</v>
      </c>
      <c r="DM292" s="54">
        <v>100.9508</v>
      </c>
      <c r="DN292" s="54">
        <v>100.7246</v>
      </c>
      <c r="DO292" s="54">
        <v>100.8417</v>
      </c>
      <c r="DP292" s="54">
        <v>100.6849</v>
      </c>
      <c r="DQ292" s="54">
        <v>100.753</v>
      </c>
      <c r="DR292" s="54">
        <v>45329</v>
      </c>
      <c r="DS292" s="73">
        <v>29921</v>
      </c>
      <c r="DT292" s="73">
        <v>99.6</v>
      </c>
      <c r="DU292">
        <v>157.99862670898438</v>
      </c>
      <c r="DV292">
        <v>166.10237121582031</v>
      </c>
      <c r="DW292">
        <v>1865</v>
      </c>
      <c r="DX292">
        <v>418750</v>
      </c>
      <c r="DY292">
        <v>82.4</v>
      </c>
      <c r="DZ292" t="s">
        <v>312</v>
      </c>
    </row>
    <row r="293" spans="1:130" x14ac:dyDescent="0.25">
      <c r="A293" s="1">
        <v>41640</v>
      </c>
      <c r="B293" s="34">
        <v>100.1</v>
      </c>
      <c r="C293" s="111">
        <v>0.2</v>
      </c>
      <c r="D293" s="34">
        <v>0.25</v>
      </c>
      <c r="E293" s="34">
        <v>0.26</v>
      </c>
      <c r="F293" s="34">
        <v>0.56999999999999995</v>
      </c>
      <c r="G293" s="34">
        <v>1.18</v>
      </c>
      <c r="H293" s="34">
        <v>1.76</v>
      </c>
      <c r="I293" s="34">
        <f t="shared" ref="I293:I304" si="68">IF(ISNUMBER(C293),IF(ISNUMBER(H293),H293-C293,""),"")</f>
        <v>1.56</v>
      </c>
      <c r="J293" s="34">
        <f t="shared" ref="J293:J304" si="69">IF(ISNUMBER(D293),IF(ISNUMBER(H293),H293-D293,""),"")</f>
        <v>1.51</v>
      </c>
      <c r="K293" s="34">
        <f t="shared" ref="K293:K304" si="70">IF(ISNUMBER(H293),IF(ISNUMBER(E293),H293-E293,""),"")</f>
        <v>1.5</v>
      </c>
      <c r="L293" s="34">
        <f t="shared" ref="L293:L304" si="71">IF(ISNUMBER(D293),IF(ISNUMBER(C293),D293-C293,""),"")</f>
        <v>4.9999999999999989E-2</v>
      </c>
      <c r="M293" s="34">
        <v>98.9</v>
      </c>
      <c r="N293" s="34">
        <v>9552.16</v>
      </c>
      <c r="O293" s="34">
        <v>21.68</v>
      </c>
      <c r="P293" s="64">
        <v>1453.4</v>
      </c>
      <c r="Q293" s="34">
        <f t="shared" si="56"/>
        <v>15.76355748373102</v>
      </c>
      <c r="R293" s="34">
        <v>2293</v>
      </c>
      <c r="S293" s="34">
        <f t="shared" si="57"/>
        <v>2486.9848156182211</v>
      </c>
      <c r="T293" s="34">
        <v>2316.9</v>
      </c>
      <c r="U293" s="34">
        <f t="shared" si="58"/>
        <v>2512.9067245119304</v>
      </c>
      <c r="V293" s="118">
        <v>216431</v>
      </c>
      <c r="W293" s="118">
        <v>5416893</v>
      </c>
      <c r="X293" s="119">
        <v>9239268</v>
      </c>
      <c r="Y293" s="119">
        <v>635213</v>
      </c>
      <c r="Z293" s="34">
        <v>96.9</v>
      </c>
      <c r="AA293" s="34">
        <v>89</v>
      </c>
      <c r="AB293" s="34">
        <v>87.8</v>
      </c>
      <c r="AC293" s="34">
        <v>88.6</v>
      </c>
      <c r="AD293" s="34">
        <v>42616</v>
      </c>
      <c r="AE293" s="34">
        <v>6.8</v>
      </c>
      <c r="AF293" s="34">
        <v>464</v>
      </c>
      <c r="AG293" s="34">
        <v>93.7</v>
      </c>
      <c r="AH293" s="34">
        <v>92.2</v>
      </c>
      <c r="AI293" s="64">
        <v>95.9</v>
      </c>
      <c r="AJ293" s="64">
        <v>92.6</v>
      </c>
      <c r="AK293" s="64">
        <v>175.7826</v>
      </c>
      <c r="AL293" s="64">
        <v>80.5</v>
      </c>
      <c r="AM293" s="123">
        <v>115.06209303259183</v>
      </c>
      <c r="AN293" s="123">
        <v>238.22610176528943</v>
      </c>
      <c r="AO293" s="123">
        <v>107.0996365467673</v>
      </c>
      <c r="AP293" s="33">
        <v>78.900000000000006</v>
      </c>
      <c r="AQ293" s="34">
        <f t="shared" si="67"/>
        <v>0.82273201251303441</v>
      </c>
      <c r="AR293" s="34">
        <v>102.6</v>
      </c>
      <c r="AS293" s="34">
        <v>105.2</v>
      </c>
      <c r="AT293" s="34">
        <v>100.1</v>
      </c>
      <c r="AU293" s="34">
        <v>102.9</v>
      </c>
      <c r="AV293" s="34">
        <v>105.8</v>
      </c>
      <c r="AW293" s="34">
        <v>100.1</v>
      </c>
      <c r="AX293" s="34">
        <v>21.4</v>
      </c>
      <c r="AY293" s="34">
        <v>8.4</v>
      </c>
      <c r="AZ293" s="34">
        <v>19.600000000000001</v>
      </c>
      <c r="BA293" s="34">
        <v>13.1</v>
      </c>
      <c r="BB293" s="34">
        <v>105</v>
      </c>
      <c r="BC293" s="34">
        <v>107.4</v>
      </c>
      <c r="BD293" s="34">
        <v>102.7</v>
      </c>
      <c r="BE293" s="34">
        <v>41.2</v>
      </c>
      <c r="BF293" s="34">
        <v>61.7</v>
      </c>
      <c r="BG293" s="34">
        <v>35.299999999999997</v>
      </c>
      <c r="BH293" s="34">
        <v>137.1</v>
      </c>
      <c r="BI293" s="34">
        <v>18</v>
      </c>
      <c r="BJ293" s="34">
        <v>56.5</v>
      </c>
      <c r="BK293" s="34">
        <v>9.5134422352234438</v>
      </c>
      <c r="BL293" s="34">
        <v>0.34899999999999998</v>
      </c>
      <c r="BM293" s="34">
        <v>100.85980000000001</v>
      </c>
      <c r="BN293" s="34">
        <v>100.7401</v>
      </c>
      <c r="BO293" s="34">
        <v>-7.6</v>
      </c>
      <c r="BP293" s="34">
        <v>-8.6999999999999993</v>
      </c>
      <c r="BQ293" s="34">
        <v>1.6</v>
      </c>
      <c r="BR293" s="34">
        <v>10.6</v>
      </c>
      <c r="BS293" s="34">
        <v>4.5999999999999996</v>
      </c>
      <c r="BT293" s="34">
        <v>1.1000000000000001</v>
      </c>
      <c r="BU293" s="34">
        <v>0.5</v>
      </c>
      <c r="BV293" s="34">
        <v>15.2</v>
      </c>
      <c r="BW293" s="34">
        <v>-0.4</v>
      </c>
      <c r="BX293" s="34">
        <v>-7.2</v>
      </c>
      <c r="BY293" s="34">
        <v>-8.5</v>
      </c>
      <c r="BZ293" s="34">
        <v>106.8</v>
      </c>
      <c r="CA293" s="34">
        <v>-0.4</v>
      </c>
      <c r="CB293" s="34">
        <v>6.3</v>
      </c>
      <c r="CC293" s="34">
        <v>7</v>
      </c>
      <c r="CD293" s="34">
        <v>-7.3</v>
      </c>
      <c r="CE293" s="34">
        <v>-9.5</v>
      </c>
      <c r="CF293" s="34">
        <v>32</v>
      </c>
      <c r="CG293" s="34">
        <v>37</v>
      </c>
      <c r="CH293" s="34">
        <v>18.100000000000001</v>
      </c>
      <c r="CI293" s="34">
        <v>6</v>
      </c>
      <c r="CJ293" s="34">
        <v>-5.3</v>
      </c>
      <c r="CK293" s="34">
        <v>5.0999999999999996</v>
      </c>
      <c r="CL293" s="34">
        <v>25.6</v>
      </c>
      <c r="CM293" s="34">
        <v>3092.4018639999999</v>
      </c>
      <c r="CN293" s="34">
        <v>16576.66</v>
      </c>
      <c r="CO293" s="34">
        <v>1822.356667</v>
      </c>
      <c r="CP293" s="34">
        <v>3.032</v>
      </c>
      <c r="CQ293" s="34">
        <v>3.04</v>
      </c>
      <c r="CR293" s="34">
        <v>71.2</v>
      </c>
      <c r="CS293" s="64">
        <v>48.11</v>
      </c>
      <c r="CT293" s="34">
        <v>93.4</v>
      </c>
      <c r="CU293" s="34">
        <v>96.6</v>
      </c>
      <c r="CV293" s="34">
        <v>96.6</v>
      </c>
      <c r="CW293" s="34">
        <v>94</v>
      </c>
      <c r="CX293" s="34">
        <v>108.3</v>
      </c>
      <c r="CY293" s="34">
        <v>7.87</v>
      </c>
      <c r="CZ293" s="34">
        <v>47381.500999999997</v>
      </c>
      <c r="DA293" s="34">
        <v>3.88</v>
      </c>
      <c r="DB293" s="34">
        <v>29.79</v>
      </c>
      <c r="DC293" s="34">
        <v>48</v>
      </c>
      <c r="DD293" s="34">
        <v>16.12</v>
      </c>
      <c r="DE293" s="34">
        <v>14220.316999999999</v>
      </c>
      <c r="DF293" s="34">
        <v>2256.4720000000002</v>
      </c>
      <c r="DG293" s="34">
        <v>2217.4630000000002</v>
      </c>
      <c r="DH293" s="34">
        <v>1604.4459999999999</v>
      </c>
      <c r="DI293" s="34">
        <v>5602.1220000000003</v>
      </c>
      <c r="DJ293" s="34">
        <v>100.2205</v>
      </c>
      <c r="DK293" s="34">
        <v>100.2184</v>
      </c>
      <c r="DL293" s="34">
        <v>100.64</v>
      </c>
      <c r="DM293" s="34">
        <v>100.8188</v>
      </c>
      <c r="DN293" s="34">
        <v>100.7401</v>
      </c>
      <c r="DO293" s="34">
        <v>100.85980000000001</v>
      </c>
      <c r="DP293" s="34">
        <v>100.6734</v>
      </c>
      <c r="DQ293" s="34">
        <v>100.74039999999999</v>
      </c>
      <c r="DR293" s="34">
        <v>63378</v>
      </c>
      <c r="DS293" s="73">
        <v>29974</v>
      </c>
      <c r="DT293" s="73">
        <v>99</v>
      </c>
      <c r="DU293">
        <v>154.50244140625</v>
      </c>
      <c r="DV293">
        <v>106.18580627441406</v>
      </c>
      <c r="DW293">
        <v>2277</v>
      </c>
      <c r="DX293">
        <v>365700</v>
      </c>
      <c r="DY293">
        <v>83.1</v>
      </c>
      <c r="DZ293" t="s">
        <v>312</v>
      </c>
    </row>
    <row r="294" spans="1:130" x14ac:dyDescent="0.25">
      <c r="A294" s="1">
        <v>41671</v>
      </c>
      <c r="B294" s="34">
        <v>100.1</v>
      </c>
      <c r="C294" s="111">
        <v>0.16</v>
      </c>
      <c r="D294" s="34">
        <v>0.25</v>
      </c>
      <c r="E294" s="34">
        <v>0.28999999999999998</v>
      </c>
      <c r="F294" s="34">
        <v>0.4</v>
      </c>
      <c r="G294" s="34">
        <v>0.95</v>
      </c>
      <c r="H294" s="34">
        <v>1.56</v>
      </c>
      <c r="I294" s="34">
        <f t="shared" si="68"/>
        <v>1.4000000000000001</v>
      </c>
      <c r="J294" s="34">
        <f t="shared" si="69"/>
        <v>1.31</v>
      </c>
      <c r="K294" s="34">
        <f t="shared" si="70"/>
        <v>1.27</v>
      </c>
      <c r="L294" s="34">
        <f t="shared" si="71"/>
        <v>0.09</v>
      </c>
      <c r="M294" s="34">
        <v>98.8</v>
      </c>
      <c r="N294" s="34">
        <v>9186.52</v>
      </c>
      <c r="O294" s="34">
        <v>21.22</v>
      </c>
      <c r="P294" s="64">
        <v>1462.9</v>
      </c>
      <c r="Q294" s="34">
        <f t="shared" si="56"/>
        <v>15.849404117009753</v>
      </c>
      <c r="R294" s="34">
        <v>2307.6999999999998</v>
      </c>
      <c r="S294" s="34">
        <f t="shared" si="57"/>
        <v>2500.2166847237268</v>
      </c>
      <c r="T294" s="34">
        <v>2332.6999999999998</v>
      </c>
      <c r="U294" s="34">
        <f t="shared" si="58"/>
        <v>2527.3022751895992</v>
      </c>
      <c r="V294" s="118">
        <v>214590</v>
      </c>
      <c r="W294" s="118">
        <v>5451336</v>
      </c>
      <c r="X294" s="119">
        <v>9267544</v>
      </c>
      <c r="Y294" s="119">
        <v>629210</v>
      </c>
      <c r="Z294" s="34">
        <v>97.6</v>
      </c>
      <c r="AA294" s="34">
        <v>89</v>
      </c>
      <c r="AB294" s="34">
        <v>87.1</v>
      </c>
      <c r="AC294" s="34">
        <v>89.2</v>
      </c>
      <c r="AD294" s="34">
        <v>42650</v>
      </c>
      <c r="AE294" s="34">
        <v>6.8</v>
      </c>
      <c r="AF294" s="34">
        <v>469</v>
      </c>
      <c r="AG294" s="34">
        <v>93.9</v>
      </c>
      <c r="AH294" s="34">
        <v>92.3</v>
      </c>
      <c r="AI294" s="64">
        <v>95.7</v>
      </c>
      <c r="AJ294" s="64">
        <v>92.6</v>
      </c>
      <c r="AK294" s="64">
        <v>175.7826</v>
      </c>
      <c r="AL294" s="64">
        <v>79.3</v>
      </c>
      <c r="AM294" s="123">
        <v>111.63093550257111</v>
      </c>
      <c r="AN294" s="123">
        <v>232.07696340196642</v>
      </c>
      <c r="AO294" s="123">
        <v>107.77463425609568</v>
      </c>
      <c r="AP294" s="33">
        <v>79.56</v>
      </c>
      <c r="AQ294" s="34">
        <f t="shared" si="67"/>
        <v>0.83134796238244513</v>
      </c>
      <c r="AR294" s="34">
        <v>103.1</v>
      </c>
      <c r="AS294" s="34">
        <v>105.2</v>
      </c>
      <c r="AT294" s="34">
        <v>100.9</v>
      </c>
      <c r="AU294" s="34">
        <v>103.3</v>
      </c>
      <c r="AV294" s="34">
        <v>105.8</v>
      </c>
      <c r="AW294" s="34">
        <v>100.8</v>
      </c>
      <c r="AX294" s="34">
        <v>22.2</v>
      </c>
      <c r="AY294" s="34">
        <v>5.5</v>
      </c>
      <c r="AZ294" s="34">
        <v>19.100000000000001</v>
      </c>
      <c r="BA294" s="34">
        <v>13.3</v>
      </c>
      <c r="BB294" s="34">
        <v>105</v>
      </c>
      <c r="BC294" s="34">
        <v>105.9</v>
      </c>
      <c r="BD294" s="34">
        <v>104</v>
      </c>
      <c r="BE294" s="34">
        <v>50</v>
      </c>
      <c r="BF294" s="34">
        <v>55.7</v>
      </c>
      <c r="BG294" s="34">
        <v>31.9</v>
      </c>
      <c r="BH294" s="34">
        <v>133.1</v>
      </c>
      <c r="BI294" s="34">
        <v>38.5</v>
      </c>
      <c r="BJ294" s="34">
        <v>54.800000000000004</v>
      </c>
      <c r="BK294" s="34">
        <v>21.424019355389223</v>
      </c>
      <c r="BL294" s="34">
        <v>0.39900000000000002</v>
      </c>
      <c r="BM294" s="34">
        <v>100.82210000000001</v>
      </c>
      <c r="BN294" s="34">
        <v>100.7077</v>
      </c>
      <c r="BO294" s="34">
        <v>-6.3</v>
      </c>
      <c r="BP294" s="34">
        <v>-7.1</v>
      </c>
      <c r="BQ294" s="34">
        <v>1.5</v>
      </c>
      <c r="BR294" s="34">
        <v>10.199999999999999</v>
      </c>
      <c r="BS294" s="34">
        <v>3.8</v>
      </c>
      <c r="BT294" s="34">
        <v>1.3</v>
      </c>
      <c r="BU294" s="34">
        <v>0.8</v>
      </c>
      <c r="BV294" s="34">
        <v>15.5</v>
      </c>
      <c r="BW294" s="34">
        <v>-0.1</v>
      </c>
      <c r="BX294" s="34">
        <v>-3.2</v>
      </c>
      <c r="BY294" s="34">
        <v>-6.4</v>
      </c>
      <c r="BZ294" s="34">
        <v>107.4</v>
      </c>
      <c r="CA294" s="34">
        <v>-0.1</v>
      </c>
      <c r="CB294" s="34">
        <v>5.8</v>
      </c>
      <c r="CC294" s="34">
        <v>8</v>
      </c>
      <c r="CD294" s="34">
        <v>-7</v>
      </c>
      <c r="CE294" s="34">
        <v>-10.3</v>
      </c>
      <c r="CF294" s="34">
        <v>32.200000000000003</v>
      </c>
      <c r="CG294" s="34">
        <v>34.6</v>
      </c>
      <c r="CH294" s="34">
        <v>16.399999999999999</v>
      </c>
      <c r="CI294" s="34">
        <v>7.3</v>
      </c>
      <c r="CJ294" s="34">
        <v>-3.7</v>
      </c>
      <c r="CK294" s="34">
        <v>3.9</v>
      </c>
      <c r="CL294" s="34">
        <v>26</v>
      </c>
      <c r="CM294" s="34">
        <v>3085.8652499999998</v>
      </c>
      <c r="CN294" s="34">
        <v>15372.8</v>
      </c>
      <c r="CO294" s="34">
        <v>1817.034737</v>
      </c>
      <c r="CP294" s="34">
        <v>2.6970000000000001</v>
      </c>
      <c r="CQ294" s="34">
        <v>2.61</v>
      </c>
      <c r="CR294" s="34">
        <v>72.7</v>
      </c>
      <c r="CS294" s="64">
        <v>48.21</v>
      </c>
      <c r="CT294" s="34">
        <v>91.6</v>
      </c>
      <c r="CU294" s="34">
        <v>96.8</v>
      </c>
      <c r="CV294" s="34">
        <v>97.4</v>
      </c>
      <c r="CW294" s="34">
        <v>95.4</v>
      </c>
      <c r="CX294" s="34">
        <v>109.5</v>
      </c>
      <c r="CY294" s="34">
        <v>7.84</v>
      </c>
      <c r="CZ294" s="34">
        <v>47108.480000000003</v>
      </c>
      <c r="DA294" s="34">
        <v>4.2</v>
      </c>
      <c r="DB294" s="34">
        <v>29.82</v>
      </c>
      <c r="DC294" s="34">
        <v>47.34</v>
      </c>
      <c r="DD294" s="34">
        <v>16.16</v>
      </c>
      <c r="DE294" s="34">
        <v>14345.875</v>
      </c>
      <c r="DF294" s="34">
        <v>2809.3879999999999</v>
      </c>
      <c r="DG294" s="34">
        <v>2422.4180000000001</v>
      </c>
      <c r="DH294" s="34">
        <v>1361.3009999999999</v>
      </c>
      <c r="DI294" s="34">
        <v>5367.1440000000002</v>
      </c>
      <c r="DJ294" s="34">
        <v>100.16500000000001</v>
      </c>
      <c r="DK294" s="34">
        <v>100.15560000000001</v>
      </c>
      <c r="DL294" s="34">
        <v>100.52</v>
      </c>
      <c r="DM294" s="34">
        <v>100.66030000000001</v>
      </c>
      <c r="DN294" s="34">
        <v>100.7077</v>
      </c>
      <c r="DO294" s="34">
        <v>100.82210000000001</v>
      </c>
      <c r="DP294" s="34">
        <v>100.688</v>
      </c>
      <c r="DQ294" s="34">
        <v>100.7565</v>
      </c>
      <c r="DR294" s="34">
        <v>56915</v>
      </c>
      <c r="DS294" s="73">
        <v>30025</v>
      </c>
      <c r="DT294" s="73">
        <v>100.3</v>
      </c>
      <c r="DU294">
        <v>148.43661499023438</v>
      </c>
      <c r="DV294">
        <v>134.59872436523438</v>
      </c>
      <c r="DW294">
        <v>1093</v>
      </c>
      <c r="DX294">
        <v>313275</v>
      </c>
      <c r="DY294">
        <v>82.3</v>
      </c>
      <c r="DZ294" t="s">
        <v>312</v>
      </c>
    </row>
    <row r="295" spans="1:130" x14ac:dyDescent="0.25">
      <c r="A295" s="1">
        <v>41699</v>
      </c>
      <c r="B295" s="54">
        <v>100</v>
      </c>
      <c r="C295" s="113">
        <v>0.19</v>
      </c>
      <c r="D295" s="54">
        <v>0.25</v>
      </c>
      <c r="E295" s="54">
        <v>0.3</v>
      </c>
      <c r="F295" s="54">
        <v>0.39</v>
      </c>
      <c r="G295" s="54">
        <v>0.91</v>
      </c>
      <c r="H295" s="54">
        <v>1.51</v>
      </c>
      <c r="I295" s="54">
        <f t="shared" si="68"/>
        <v>1.32</v>
      </c>
      <c r="J295" s="54">
        <f t="shared" si="69"/>
        <v>1.26</v>
      </c>
      <c r="K295" s="54">
        <f t="shared" si="70"/>
        <v>1.21</v>
      </c>
      <c r="L295" s="54">
        <f t="shared" si="71"/>
        <v>0.06</v>
      </c>
      <c r="M295" s="54">
        <v>99</v>
      </c>
      <c r="N295" s="54">
        <v>9358.89</v>
      </c>
      <c r="O295" s="54">
        <v>16.66</v>
      </c>
      <c r="P295" s="64">
        <v>1462</v>
      </c>
      <c r="Q295" s="34">
        <f t="shared" si="56"/>
        <v>15.856832971800433</v>
      </c>
      <c r="R295" s="34">
        <v>2308.3000000000002</v>
      </c>
      <c r="S295" s="34">
        <f t="shared" si="57"/>
        <v>2503.5791757049892</v>
      </c>
      <c r="T295" s="34">
        <v>2328.6999999999998</v>
      </c>
      <c r="U295" s="34">
        <f t="shared" si="58"/>
        <v>2525.7049891540128</v>
      </c>
      <c r="V295" s="118">
        <v>217040</v>
      </c>
      <c r="W295" s="118">
        <v>5475017</v>
      </c>
      <c r="X295" s="119">
        <v>9284719</v>
      </c>
      <c r="Y295" s="119">
        <v>607130</v>
      </c>
      <c r="Z295" s="54">
        <v>97.5</v>
      </c>
      <c r="AA295" s="54">
        <v>87</v>
      </c>
      <c r="AB295" s="54">
        <v>81.599999999999994</v>
      </c>
      <c r="AC295" s="54">
        <v>86.6</v>
      </c>
      <c r="AD295" s="54">
        <v>42674</v>
      </c>
      <c r="AE295" s="54">
        <v>6.8</v>
      </c>
      <c r="AF295" s="54">
        <v>473</v>
      </c>
      <c r="AG295" s="54">
        <v>93.8</v>
      </c>
      <c r="AH295" s="54">
        <v>92.2</v>
      </c>
      <c r="AI295" s="64">
        <v>95</v>
      </c>
      <c r="AJ295" s="64">
        <v>92.5</v>
      </c>
      <c r="AK295" s="64">
        <v>175.39197200000001</v>
      </c>
      <c r="AL295" s="64">
        <v>79.8</v>
      </c>
      <c r="AM295" s="123">
        <v>112.74046440320404</v>
      </c>
      <c r="AN295" s="123">
        <v>225.31025467407306</v>
      </c>
      <c r="AO295" s="123">
        <v>110.76199085594482</v>
      </c>
      <c r="AP295" s="33">
        <v>77.91</v>
      </c>
      <c r="AQ295" s="34">
        <f t="shared" si="67"/>
        <v>0.82010526315789467</v>
      </c>
      <c r="AR295" s="54">
        <v>103.5</v>
      </c>
      <c r="AS295" s="54">
        <v>104.2</v>
      </c>
      <c r="AT295" s="54">
        <v>102.9</v>
      </c>
      <c r="AU295" s="54">
        <v>103.6</v>
      </c>
      <c r="AV295" s="54">
        <v>104.9</v>
      </c>
      <c r="AW295" s="54">
        <v>102.3</v>
      </c>
      <c r="AX295" s="54">
        <v>23.8</v>
      </c>
      <c r="AY295" s="54">
        <v>15.7</v>
      </c>
      <c r="AZ295" s="54">
        <v>22.5</v>
      </c>
      <c r="BA295" s="54">
        <v>13.3</v>
      </c>
      <c r="BB295" s="54">
        <v>106.6</v>
      </c>
      <c r="BC295" s="54">
        <v>106.3</v>
      </c>
      <c r="BD295" s="54">
        <v>106.9</v>
      </c>
      <c r="BE295" s="54">
        <v>51.3</v>
      </c>
      <c r="BF295" s="54">
        <v>46.6</v>
      </c>
      <c r="BG295" s="54">
        <v>33.200000000000003</v>
      </c>
      <c r="BH295" s="54">
        <v>133</v>
      </c>
      <c r="BI295" s="54">
        <v>14.8</v>
      </c>
      <c r="BJ295" s="34">
        <v>53.7</v>
      </c>
      <c r="BK295" s="54">
        <v>13.920999525425458</v>
      </c>
      <c r="BL295" s="54">
        <v>0.38700000000000001</v>
      </c>
      <c r="BM295" s="54">
        <v>100.7285</v>
      </c>
      <c r="BN295" s="54">
        <v>100.62730000000001</v>
      </c>
      <c r="BO295" s="54">
        <v>-5.4</v>
      </c>
      <c r="BP295" s="54">
        <v>-7.8</v>
      </c>
      <c r="BQ295" s="54">
        <v>1.2</v>
      </c>
      <c r="BR295" s="54">
        <v>10.4</v>
      </c>
      <c r="BS295" s="54">
        <v>3.8</v>
      </c>
      <c r="BT295" s="54">
        <v>2.4</v>
      </c>
      <c r="BU295" s="54">
        <v>1.3</v>
      </c>
      <c r="BV295" s="54">
        <v>15.5</v>
      </c>
      <c r="BW295" s="54">
        <v>-0.6</v>
      </c>
      <c r="BX295" s="54">
        <v>-2.1</v>
      </c>
      <c r="BY295" s="54">
        <v>-7.9</v>
      </c>
      <c r="BZ295" s="54">
        <v>107.2</v>
      </c>
      <c r="CA295" s="54">
        <v>-0.6</v>
      </c>
      <c r="CB295" s="54">
        <v>6.3</v>
      </c>
      <c r="CC295" s="54">
        <v>7.5</v>
      </c>
      <c r="CD295" s="54">
        <v>-3.6</v>
      </c>
      <c r="CE295" s="54">
        <v>-9.6</v>
      </c>
      <c r="CF295" s="54">
        <v>29.1</v>
      </c>
      <c r="CG295" s="54">
        <v>33.1</v>
      </c>
      <c r="CH295" s="54">
        <v>15.2</v>
      </c>
      <c r="CI295" s="54">
        <v>10.5</v>
      </c>
      <c r="CJ295" s="54">
        <v>-6.5</v>
      </c>
      <c r="CK295" s="54">
        <v>9.3000000000000007</v>
      </c>
      <c r="CL295" s="54">
        <v>26.2</v>
      </c>
      <c r="CM295" s="54">
        <v>3093.9668569999999</v>
      </c>
      <c r="CN295" s="54">
        <v>16168.04</v>
      </c>
      <c r="CO295" s="54">
        <v>1863.5233330000001</v>
      </c>
      <c r="CP295" s="54">
        <v>2.6539999999999999</v>
      </c>
      <c r="CQ295" s="54">
        <v>2.6</v>
      </c>
      <c r="CR295" s="54">
        <v>70</v>
      </c>
      <c r="CS295" s="64">
        <v>48.75</v>
      </c>
      <c r="CT295" s="54">
        <v>93.2</v>
      </c>
      <c r="CU295" s="54">
        <v>98.2</v>
      </c>
      <c r="CV295" s="54">
        <v>97.9</v>
      </c>
      <c r="CW295" s="54">
        <v>98.4</v>
      </c>
      <c r="CX295" s="54">
        <v>108.3</v>
      </c>
      <c r="CY295" s="54">
        <v>7.3</v>
      </c>
      <c r="CZ295" s="54">
        <v>48105.699000000001</v>
      </c>
      <c r="DA295" s="54">
        <v>4.01</v>
      </c>
      <c r="DB295" s="54">
        <v>29.4</v>
      </c>
      <c r="DC295" s="54">
        <v>45.8</v>
      </c>
      <c r="DD295" s="54">
        <v>16.07</v>
      </c>
      <c r="DE295" s="54">
        <v>15813.619000000001</v>
      </c>
      <c r="DF295" s="54">
        <v>3066.6529999999998</v>
      </c>
      <c r="DG295" s="54">
        <v>2909.1759999999999</v>
      </c>
      <c r="DH295" s="54">
        <v>1360.9960000000001</v>
      </c>
      <c r="DI295" s="54">
        <v>6027.027</v>
      </c>
      <c r="DJ295" s="54">
        <v>100.10169999999999</v>
      </c>
      <c r="DK295" s="54">
        <v>100.0849</v>
      </c>
      <c r="DL295" s="54">
        <v>100.38</v>
      </c>
      <c r="DM295" s="54">
        <v>100.4907</v>
      </c>
      <c r="DN295" s="54">
        <v>100.62730000000001</v>
      </c>
      <c r="DO295" s="54">
        <v>100.7285</v>
      </c>
      <c r="DP295" s="54">
        <v>100.7296</v>
      </c>
      <c r="DQ295" s="54">
        <v>100.8022</v>
      </c>
      <c r="DR295" s="54">
        <v>55126</v>
      </c>
      <c r="DS295" s="73">
        <v>30077</v>
      </c>
      <c r="DT295" s="73">
        <v>100.7</v>
      </c>
      <c r="DU295">
        <v>156.84341430664063</v>
      </c>
      <c r="DV295">
        <v>130.77835083007813</v>
      </c>
      <c r="DW295">
        <v>1276</v>
      </c>
      <c r="DX295">
        <v>275200</v>
      </c>
      <c r="DY295">
        <v>83.7</v>
      </c>
      <c r="DZ295" t="s">
        <v>312</v>
      </c>
    </row>
    <row r="296" spans="1:130" x14ac:dyDescent="0.25">
      <c r="A296" s="1">
        <v>41730</v>
      </c>
      <c r="B296" s="34">
        <v>99.7</v>
      </c>
      <c r="C296" s="114">
        <v>0.25</v>
      </c>
      <c r="D296" s="34">
        <v>0.25</v>
      </c>
      <c r="E296" s="34">
        <v>0.31</v>
      </c>
      <c r="F296" s="34">
        <v>0.4</v>
      </c>
      <c r="G296" s="34">
        <v>0.88</v>
      </c>
      <c r="H296" s="34">
        <v>1.46</v>
      </c>
      <c r="I296" s="34">
        <f t="shared" si="68"/>
        <v>1.21</v>
      </c>
      <c r="J296" s="34">
        <f t="shared" si="69"/>
        <v>1.21</v>
      </c>
      <c r="K296" s="34">
        <f t="shared" si="70"/>
        <v>1.1499999999999999</v>
      </c>
      <c r="L296" s="34">
        <f t="shared" si="71"/>
        <v>0</v>
      </c>
      <c r="M296" s="34">
        <v>98.9</v>
      </c>
      <c r="N296" s="34">
        <v>9603.7099999999991</v>
      </c>
      <c r="O296" s="34">
        <v>17.04</v>
      </c>
      <c r="P296" s="64">
        <v>1492</v>
      </c>
      <c r="Q296" s="34">
        <f t="shared" si="56"/>
        <v>16.147186147186147</v>
      </c>
      <c r="R296" s="34">
        <v>2335.6</v>
      </c>
      <c r="S296" s="34">
        <f t="shared" si="57"/>
        <v>2527.7056277056276</v>
      </c>
      <c r="T296" s="34">
        <v>2356.6</v>
      </c>
      <c r="U296" s="34">
        <f t="shared" si="58"/>
        <v>2550.4329004329002</v>
      </c>
      <c r="V296" s="118">
        <v>214553</v>
      </c>
      <c r="W296" s="118">
        <v>5479764</v>
      </c>
      <c r="X296" s="119">
        <v>9287884</v>
      </c>
      <c r="Y296" s="119">
        <v>591931</v>
      </c>
      <c r="Z296" s="34">
        <v>97.5</v>
      </c>
      <c r="AA296" s="34">
        <v>89</v>
      </c>
      <c r="AB296" s="34">
        <v>85.8</v>
      </c>
      <c r="AC296" s="34">
        <v>89.1</v>
      </c>
      <c r="AD296" s="34">
        <v>42729</v>
      </c>
      <c r="AE296" s="34">
        <v>6.7</v>
      </c>
      <c r="AF296" s="34">
        <v>479</v>
      </c>
      <c r="AG296" s="34">
        <v>94</v>
      </c>
      <c r="AH296" s="34">
        <v>92.4</v>
      </c>
      <c r="AI296" s="64">
        <v>94.9</v>
      </c>
      <c r="AJ296" s="64">
        <v>92.4</v>
      </c>
      <c r="AK296" s="64">
        <v>175.19665800000001</v>
      </c>
      <c r="AL296" s="64">
        <v>80.5</v>
      </c>
      <c r="AM296" s="123">
        <v>106.4034939973009</v>
      </c>
      <c r="AN296" s="123">
        <v>219.47045071220973</v>
      </c>
      <c r="AO296" s="123">
        <v>111.55073341544798</v>
      </c>
      <c r="AP296" s="33">
        <v>78.28</v>
      </c>
      <c r="AQ296" s="34">
        <f t="shared" si="67"/>
        <v>0.82486828240252896</v>
      </c>
      <c r="AR296" s="34">
        <v>103.2</v>
      </c>
      <c r="AS296" s="34">
        <v>103.7</v>
      </c>
      <c r="AT296" s="34">
        <v>102.7</v>
      </c>
      <c r="AU296" s="34">
        <v>104</v>
      </c>
      <c r="AV296" s="34">
        <v>105.2</v>
      </c>
      <c r="AW296" s="34">
        <v>102.8</v>
      </c>
      <c r="AX296" s="34">
        <v>28.1</v>
      </c>
      <c r="AY296" s="34">
        <v>12.4</v>
      </c>
      <c r="AZ296" s="34">
        <v>20.399999999999999</v>
      </c>
      <c r="BA296" s="34">
        <v>10.7</v>
      </c>
      <c r="BB296" s="34">
        <v>106.4</v>
      </c>
      <c r="BC296" s="34">
        <v>105.9</v>
      </c>
      <c r="BD296" s="34">
        <v>106.8</v>
      </c>
      <c r="BE296" s="34">
        <v>59.5</v>
      </c>
      <c r="BF296" s="34">
        <v>43.2</v>
      </c>
      <c r="BG296" s="34">
        <v>32.1</v>
      </c>
      <c r="BH296" s="34">
        <v>131.69999999999999</v>
      </c>
      <c r="BI296" s="34">
        <v>3.2</v>
      </c>
      <c r="BJ296" s="34">
        <v>54.1</v>
      </c>
      <c r="BK296" s="34">
        <v>18.735170556953264</v>
      </c>
      <c r="BL296" s="34">
        <v>0.35399999999999998</v>
      </c>
      <c r="BM296" s="34">
        <v>100.5885</v>
      </c>
      <c r="BN296" s="34">
        <v>100.50709999999999</v>
      </c>
      <c r="BO296" s="34">
        <v>-6.2</v>
      </c>
      <c r="BP296" s="34">
        <v>-10.4</v>
      </c>
      <c r="BQ296" s="34">
        <v>0.8</v>
      </c>
      <c r="BR296" s="34">
        <v>8.5</v>
      </c>
      <c r="BS296" s="34">
        <v>3.5</v>
      </c>
      <c r="BT296" s="34">
        <v>1.2</v>
      </c>
      <c r="BU296" s="34">
        <v>0.5</v>
      </c>
      <c r="BV296" s="34">
        <v>16.100000000000001</v>
      </c>
      <c r="BW296" s="34">
        <v>-0.4</v>
      </c>
      <c r="BX296" s="34">
        <v>0</v>
      </c>
      <c r="BY296" s="34">
        <v>-9.3000000000000007</v>
      </c>
      <c r="BZ296" s="34">
        <v>107.3</v>
      </c>
      <c r="CA296" s="34">
        <v>-0.4</v>
      </c>
      <c r="CB296" s="34">
        <v>7</v>
      </c>
      <c r="CC296" s="34">
        <v>8.6999999999999993</v>
      </c>
      <c r="CD296" s="34">
        <v>-5</v>
      </c>
      <c r="CE296" s="34">
        <v>-9.9</v>
      </c>
      <c r="CF296" s="34">
        <v>27.8</v>
      </c>
      <c r="CG296" s="34">
        <v>32.9</v>
      </c>
      <c r="CH296" s="34">
        <v>14.2</v>
      </c>
      <c r="CI296" s="34">
        <v>6.1</v>
      </c>
      <c r="CJ296" s="34">
        <v>-7.6</v>
      </c>
      <c r="CK296" s="34">
        <v>10.3</v>
      </c>
      <c r="CL296" s="34">
        <v>28.4</v>
      </c>
      <c r="CM296" s="34">
        <v>3171.5316499999999</v>
      </c>
      <c r="CN296" s="34">
        <v>16532.61</v>
      </c>
      <c r="CO296" s="34">
        <v>1864.2633330000001</v>
      </c>
      <c r="CP296" s="34">
        <v>2.74</v>
      </c>
      <c r="CQ296" s="34">
        <v>2.77</v>
      </c>
      <c r="CR296" s="34">
        <v>74.7</v>
      </c>
      <c r="CS296" s="64">
        <v>51.41</v>
      </c>
      <c r="CT296" s="34">
        <v>93.6</v>
      </c>
      <c r="CU296" s="34">
        <v>97</v>
      </c>
      <c r="CV296" s="34">
        <v>98.6</v>
      </c>
      <c r="CW296" s="34">
        <v>99.4</v>
      </c>
      <c r="CX296" s="34">
        <v>112.2</v>
      </c>
      <c r="CY296" s="34">
        <v>7.78</v>
      </c>
      <c r="CZ296" s="34">
        <v>47798.972999999998</v>
      </c>
      <c r="DA296" s="34">
        <v>4.49</v>
      </c>
      <c r="DB296" s="34">
        <v>29.26</v>
      </c>
      <c r="DC296" s="34">
        <v>47.36</v>
      </c>
      <c r="DD296" s="34">
        <v>15.9</v>
      </c>
      <c r="DE296" s="34">
        <v>15366.948</v>
      </c>
      <c r="DF296" s="34">
        <v>2705.7069999999999</v>
      </c>
      <c r="DG296" s="34">
        <v>2654.7</v>
      </c>
      <c r="DH296" s="34">
        <v>1295.6669999999999</v>
      </c>
      <c r="DI296" s="34">
        <v>6237.9589999999998</v>
      </c>
      <c r="DJ296" s="34">
        <v>100.03570000000001</v>
      </c>
      <c r="DK296" s="34">
        <v>100.01179999999999</v>
      </c>
      <c r="DL296" s="34">
        <v>100.26</v>
      </c>
      <c r="DM296" s="34">
        <v>100.3274</v>
      </c>
      <c r="DN296" s="34">
        <v>100.50709999999999</v>
      </c>
      <c r="DO296" s="34">
        <v>100.5885</v>
      </c>
      <c r="DP296" s="34">
        <v>100.7812</v>
      </c>
      <c r="DQ296" s="34">
        <v>100.85890000000001</v>
      </c>
      <c r="DR296" s="34">
        <v>59866</v>
      </c>
      <c r="DS296" s="73">
        <v>30131</v>
      </c>
      <c r="DT296" s="73">
        <v>100.6</v>
      </c>
      <c r="DU296">
        <v>116.48548126220703</v>
      </c>
      <c r="DV296">
        <v>93.582237243652344</v>
      </c>
      <c r="DW296">
        <v>1316</v>
      </c>
      <c r="DX296">
        <v>261375</v>
      </c>
      <c r="DY296">
        <v>83.7</v>
      </c>
      <c r="DZ296" t="s">
        <v>312</v>
      </c>
    </row>
    <row r="297" spans="1:130" x14ac:dyDescent="0.25">
      <c r="A297" s="1">
        <v>41760</v>
      </c>
      <c r="B297" s="34">
        <v>98.9</v>
      </c>
      <c r="C297" s="114">
        <v>0.25</v>
      </c>
      <c r="D297" s="34">
        <v>0.25</v>
      </c>
      <c r="E297" s="34">
        <v>0.32</v>
      </c>
      <c r="F297" s="34">
        <v>0.27</v>
      </c>
      <c r="G297" s="34">
        <v>0.72</v>
      </c>
      <c r="H297" s="34">
        <v>1.33</v>
      </c>
      <c r="I297" s="34">
        <f t="shared" si="68"/>
        <v>1.08</v>
      </c>
      <c r="J297" s="34">
        <f t="shared" si="69"/>
        <v>1.08</v>
      </c>
      <c r="K297" s="34">
        <f t="shared" si="70"/>
        <v>1.01</v>
      </c>
      <c r="L297" s="34">
        <f t="shared" si="71"/>
        <v>0</v>
      </c>
      <c r="M297" s="34">
        <v>98.5</v>
      </c>
      <c r="N297" s="34">
        <v>9603.23</v>
      </c>
      <c r="O297" s="34">
        <v>15.77</v>
      </c>
      <c r="P297" s="64">
        <v>1500.5</v>
      </c>
      <c r="Q297" s="34">
        <f t="shared" si="56"/>
        <v>16.274403470715836</v>
      </c>
      <c r="R297" s="34">
        <v>2349.4</v>
      </c>
      <c r="S297" s="34">
        <f t="shared" si="57"/>
        <v>2548.1561822125814</v>
      </c>
      <c r="T297" s="34">
        <v>2370.5</v>
      </c>
      <c r="U297" s="34">
        <f t="shared" si="58"/>
        <v>2571.0412147505422</v>
      </c>
      <c r="V297" s="118">
        <v>212419</v>
      </c>
      <c r="W297" s="118">
        <v>5516258</v>
      </c>
      <c r="X297" s="119">
        <v>9337820</v>
      </c>
      <c r="Y297" s="119">
        <v>603768</v>
      </c>
      <c r="Z297" s="34">
        <v>95.8</v>
      </c>
      <c r="AA297" s="34">
        <v>85.9</v>
      </c>
      <c r="AB297" s="34">
        <v>84.7</v>
      </c>
      <c r="AC297" s="34">
        <v>85.5</v>
      </c>
      <c r="AD297" s="34">
        <v>42735</v>
      </c>
      <c r="AE297" s="34">
        <v>6.7</v>
      </c>
      <c r="AF297" s="34">
        <v>478</v>
      </c>
      <c r="AG297" s="34">
        <v>93.9</v>
      </c>
      <c r="AH297" s="34">
        <v>92.2</v>
      </c>
      <c r="AI297" s="64">
        <v>94.9</v>
      </c>
      <c r="AJ297" s="64">
        <v>92.3</v>
      </c>
      <c r="AK297" s="64">
        <v>174.80602999999999</v>
      </c>
      <c r="AL297" s="64">
        <v>81.2</v>
      </c>
      <c r="AM297" s="123">
        <v>106.58758308726163</v>
      </c>
      <c r="AN297" s="123">
        <v>220.23668171220251</v>
      </c>
      <c r="AO297" s="123">
        <v>113.83426941167005</v>
      </c>
      <c r="AP297" s="33">
        <v>79.7</v>
      </c>
      <c r="AQ297" s="34">
        <f t="shared" si="67"/>
        <v>0.83983140147523705</v>
      </c>
      <c r="AR297" s="34">
        <v>102</v>
      </c>
      <c r="AS297" s="34">
        <v>102.5</v>
      </c>
      <c r="AT297" s="34">
        <v>101.6</v>
      </c>
      <c r="AU297" s="34">
        <v>102.8</v>
      </c>
      <c r="AV297" s="34">
        <v>103.4</v>
      </c>
      <c r="AW297" s="34">
        <v>102.1</v>
      </c>
      <c r="AX297" s="34">
        <v>23.5</v>
      </c>
      <c r="AY297" s="34">
        <v>13.2</v>
      </c>
      <c r="AZ297" s="34">
        <v>18.3</v>
      </c>
      <c r="BA297" s="34">
        <v>12.2</v>
      </c>
      <c r="BB297" s="34">
        <v>103.3</v>
      </c>
      <c r="BC297" s="34">
        <v>103.8</v>
      </c>
      <c r="BD297" s="34">
        <v>102.8</v>
      </c>
      <c r="BE297" s="34">
        <v>62.1</v>
      </c>
      <c r="BF297" s="34">
        <v>33.1</v>
      </c>
      <c r="BG297" s="34">
        <v>38.5</v>
      </c>
      <c r="BH297" s="34">
        <v>137.19999999999999</v>
      </c>
      <c r="BI297" s="34">
        <v>2.7</v>
      </c>
      <c r="BJ297" s="34">
        <v>52.300000000000004</v>
      </c>
      <c r="BK297" s="34">
        <v>21.603964899605504</v>
      </c>
      <c r="BL297" s="34">
        <v>0.3</v>
      </c>
      <c r="BM297" s="34">
        <v>100.4089</v>
      </c>
      <c r="BN297" s="34">
        <v>100.3528</v>
      </c>
      <c r="BO297" s="34">
        <v>-6.3</v>
      </c>
      <c r="BP297" s="34">
        <v>-8.9</v>
      </c>
      <c r="BQ297" s="34">
        <v>1.2</v>
      </c>
      <c r="BR297" s="34">
        <v>9.6999999999999993</v>
      </c>
      <c r="BS297" s="34">
        <v>2.5</v>
      </c>
      <c r="BT297" s="34">
        <v>1</v>
      </c>
      <c r="BU297" s="34">
        <v>0.8</v>
      </c>
      <c r="BV297" s="34">
        <v>14.9</v>
      </c>
      <c r="BW297" s="34">
        <v>0</v>
      </c>
      <c r="BX297" s="34">
        <v>-3.1</v>
      </c>
      <c r="BY297" s="34">
        <v>-10.9</v>
      </c>
      <c r="BZ297" s="34">
        <v>107</v>
      </c>
      <c r="CA297" s="34">
        <v>0</v>
      </c>
      <c r="CB297" s="34">
        <v>6.5</v>
      </c>
      <c r="CC297" s="34">
        <v>7.9</v>
      </c>
      <c r="CD297" s="34">
        <v>-3.4</v>
      </c>
      <c r="CE297" s="34">
        <v>-8.5</v>
      </c>
      <c r="CF297" s="34">
        <v>25.2</v>
      </c>
      <c r="CG297" s="34">
        <v>30.3</v>
      </c>
      <c r="CH297" s="34">
        <v>13.6</v>
      </c>
      <c r="CI297" s="34">
        <v>7.4</v>
      </c>
      <c r="CJ297" s="34">
        <v>-5.8</v>
      </c>
      <c r="CK297" s="34">
        <v>12.1</v>
      </c>
      <c r="CL297" s="34">
        <v>28.5</v>
      </c>
      <c r="CM297" s="34">
        <v>3197.398682</v>
      </c>
      <c r="CN297" s="34">
        <v>16558.88</v>
      </c>
      <c r="CO297" s="34">
        <v>1889.767143</v>
      </c>
      <c r="CP297" s="34">
        <v>2.6440000000000001</v>
      </c>
      <c r="CQ297" s="34">
        <v>2.63</v>
      </c>
      <c r="CR297" s="34">
        <v>73.7</v>
      </c>
      <c r="CS297" s="64">
        <v>51.01</v>
      </c>
      <c r="CT297" s="34">
        <v>92</v>
      </c>
      <c r="CU297" s="34">
        <v>97.6</v>
      </c>
      <c r="CV297" s="34">
        <v>98.5</v>
      </c>
      <c r="CW297" s="34">
        <v>98.2</v>
      </c>
      <c r="CX297" s="34">
        <v>109.7</v>
      </c>
      <c r="CY297" s="34">
        <v>7.86</v>
      </c>
      <c r="CZ297" s="34">
        <v>46087.608999999997</v>
      </c>
      <c r="DA297" s="34">
        <v>4.0999999999999996</v>
      </c>
      <c r="DB297" s="34">
        <v>28</v>
      </c>
      <c r="DC297" s="34">
        <v>45.86</v>
      </c>
      <c r="DD297" s="34">
        <v>15.94</v>
      </c>
      <c r="DE297" s="34">
        <v>15359.416999999999</v>
      </c>
      <c r="DF297" s="34">
        <v>2947.6179999999999</v>
      </c>
      <c r="DG297" s="34">
        <v>2595.8879999999999</v>
      </c>
      <c r="DH297" s="34">
        <v>1251.69</v>
      </c>
      <c r="DI297" s="34">
        <v>6183.9179999999997</v>
      </c>
      <c r="DJ297" s="34">
        <v>99.978300000000004</v>
      </c>
      <c r="DK297" s="34">
        <v>99.948999999999998</v>
      </c>
      <c r="DL297" s="34">
        <v>100.14</v>
      </c>
      <c r="DM297" s="34">
        <v>100.182</v>
      </c>
      <c r="DN297" s="34">
        <v>100.3528</v>
      </c>
      <c r="DO297" s="34">
        <v>100.4089</v>
      </c>
      <c r="DP297" s="34">
        <v>100.8261</v>
      </c>
      <c r="DQ297" s="34">
        <v>100.9084</v>
      </c>
      <c r="DR297" s="34">
        <v>56174</v>
      </c>
      <c r="DS297" s="73">
        <v>30158</v>
      </c>
      <c r="DT297" s="73">
        <v>99.6</v>
      </c>
      <c r="DU297">
        <v>146.29191589355469</v>
      </c>
      <c r="DV297">
        <v>129.21800231933594</v>
      </c>
      <c r="DW297">
        <v>993</v>
      </c>
      <c r="DX297">
        <v>229800</v>
      </c>
      <c r="DY297">
        <v>82.2</v>
      </c>
      <c r="DZ297" t="s">
        <v>312</v>
      </c>
    </row>
    <row r="298" spans="1:130" x14ac:dyDescent="0.25">
      <c r="A298" s="1">
        <v>41791</v>
      </c>
      <c r="B298" s="54">
        <v>99.2</v>
      </c>
      <c r="C298" s="113">
        <v>0.08</v>
      </c>
      <c r="D298" s="54">
        <v>0.15</v>
      </c>
      <c r="E298" s="54">
        <v>0.3</v>
      </c>
      <c r="F298" s="54">
        <v>0.2</v>
      </c>
      <c r="G298" s="54">
        <v>0.63</v>
      </c>
      <c r="H298" s="54">
        <v>1.26</v>
      </c>
      <c r="I298" s="54">
        <f t="shared" si="68"/>
        <v>1.18</v>
      </c>
      <c r="J298" s="54">
        <f t="shared" si="69"/>
        <v>1.1100000000000001</v>
      </c>
      <c r="K298" s="54">
        <f t="shared" si="70"/>
        <v>0.96</v>
      </c>
      <c r="L298" s="54">
        <f t="shared" si="71"/>
        <v>6.9999999999999993E-2</v>
      </c>
      <c r="M298" s="54">
        <v>98.4</v>
      </c>
      <c r="N298" s="54">
        <v>9950.1200000000008</v>
      </c>
      <c r="O298" s="54">
        <v>14.01</v>
      </c>
      <c r="P298" s="64">
        <v>1496.5</v>
      </c>
      <c r="Q298" s="34">
        <f t="shared" si="56"/>
        <v>16.195887445887443</v>
      </c>
      <c r="R298" s="34">
        <v>2344.1</v>
      </c>
      <c r="S298" s="34">
        <f t="shared" si="57"/>
        <v>2536.9047619047615</v>
      </c>
      <c r="T298" s="34">
        <v>2369.1</v>
      </c>
      <c r="U298" s="34">
        <f t="shared" si="58"/>
        <v>2563.9610389610384</v>
      </c>
      <c r="V298" s="118">
        <v>213557</v>
      </c>
      <c r="W298" s="118">
        <v>5548049</v>
      </c>
      <c r="X298" s="119">
        <v>9362807</v>
      </c>
      <c r="Y298" s="119">
        <v>610725</v>
      </c>
      <c r="Z298" s="54">
        <v>96.4</v>
      </c>
      <c r="AA298" s="54">
        <v>85.8</v>
      </c>
      <c r="AB298" s="54">
        <v>84.6</v>
      </c>
      <c r="AC298" s="54">
        <v>84.1</v>
      </c>
      <c r="AD298" s="54">
        <v>42759</v>
      </c>
      <c r="AE298" s="54">
        <v>6.7</v>
      </c>
      <c r="AF298" s="54">
        <v>486</v>
      </c>
      <c r="AG298" s="54">
        <v>93.9</v>
      </c>
      <c r="AH298" s="54">
        <v>92.4</v>
      </c>
      <c r="AI298" s="64">
        <v>95.3</v>
      </c>
      <c r="AJ298" s="64">
        <v>92.6</v>
      </c>
      <c r="AK298" s="64">
        <v>174.80602999999999</v>
      </c>
      <c r="AL298" s="64">
        <v>80.5</v>
      </c>
      <c r="AM298" s="123">
        <v>107.20369628429783</v>
      </c>
      <c r="AN298" s="123">
        <v>222.2178212778295</v>
      </c>
      <c r="AO298" s="123">
        <v>112.17970154231438</v>
      </c>
      <c r="AP298" s="33">
        <v>82.49</v>
      </c>
      <c r="AQ298" s="34">
        <f t="shared" si="67"/>
        <v>0.86558237145855188</v>
      </c>
      <c r="AR298" s="54">
        <v>101.2</v>
      </c>
      <c r="AS298" s="54">
        <v>101.1</v>
      </c>
      <c r="AT298" s="54">
        <v>101.2</v>
      </c>
      <c r="AU298" s="54">
        <v>101.3</v>
      </c>
      <c r="AV298" s="54">
        <v>101.4</v>
      </c>
      <c r="AW298" s="54">
        <v>101.2</v>
      </c>
      <c r="AX298" s="54">
        <v>21</v>
      </c>
      <c r="AY298" s="54">
        <v>2.5</v>
      </c>
      <c r="AZ298" s="54">
        <v>16.5</v>
      </c>
      <c r="BA298" s="54">
        <v>9.6</v>
      </c>
      <c r="BB298" s="54">
        <v>102.8</v>
      </c>
      <c r="BC298" s="54">
        <v>101.5</v>
      </c>
      <c r="BD298" s="54">
        <v>104.1</v>
      </c>
      <c r="BE298" s="54">
        <v>67.7</v>
      </c>
      <c r="BF298" s="54">
        <v>29.8</v>
      </c>
      <c r="BG298" s="54">
        <v>46.2</v>
      </c>
      <c r="BH298" s="54">
        <v>142</v>
      </c>
      <c r="BI298" s="54">
        <v>1.5</v>
      </c>
      <c r="BJ298" s="34">
        <v>52</v>
      </c>
      <c r="BK298" s="54">
        <v>28.000310814907362</v>
      </c>
      <c r="BL298" s="54">
        <v>0.28899999999999998</v>
      </c>
      <c r="BM298" s="54">
        <v>100.2071</v>
      </c>
      <c r="BN298" s="54">
        <v>100.1794</v>
      </c>
      <c r="BO298" s="54">
        <v>-6.9</v>
      </c>
      <c r="BP298" s="54">
        <v>-9</v>
      </c>
      <c r="BQ298" s="54">
        <v>1.4</v>
      </c>
      <c r="BR298" s="54">
        <v>4.8</v>
      </c>
      <c r="BS298" s="54">
        <v>1.9</v>
      </c>
      <c r="BT298" s="54">
        <v>-0.6</v>
      </c>
      <c r="BU298" s="54">
        <v>-1.2</v>
      </c>
      <c r="BV298" s="54">
        <v>13</v>
      </c>
      <c r="BW298" s="54">
        <v>-0.5</v>
      </c>
      <c r="BX298" s="54">
        <v>-5</v>
      </c>
      <c r="BY298" s="54">
        <v>-8.5</v>
      </c>
      <c r="BZ298" s="54">
        <v>105.4</v>
      </c>
      <c r="CA298" s="54">
        <v>-0.5</v>
      </c>
      <c r="CB298" s="54">
        <v>5.3</v>
      </c>
      <c r="CC298" s="54">
        <v>8.1999999999999993</v>
      </c>
      <c r="CD298" s="54">
        <v>-2.5</v>
      </c>
      <c r="CE298" s="54">
        <v>-8</v>
      </c>
      <c r="CF298" s="54">
        <v>21.6</v>
      </c>
      <c r="CG298" s="54">
        <v>27</v>
      </c>
      <c r="CH298" s="54">
        <v>13.9</v>
      </c>
      <c r="CI298" s="54">
        <v>11.2</v>
      </c>
      <c r="CJ298" s="54">
        <v>-7.4</v>
      </c>
      <c r="CK298" s="54">
        <v>4.0999999999999996</v>
      </c>
      <c r="CL298" s="54">
        <v>24.6</v>
      </c>
      <c r="CM298" s="54">
        <v>3271.6898569999998</v>
      </c>
      <c r="CN298" s="54">
        <v>16743.63</v>
      </c>
      <c r="CO298" s="54">
        <v>1947.0876189999999</v>
      </c>
      <c r="CP298" s="54">
        <v>2.6160000000000001</v>
      </c>
      <c r="CQ298" s="54">
        <v>2.54</v>
      </c>
      <c r="CR298" s="54">
        <v>73.5</v>
      </c>
      <c r="CS298" s="64">
        <v>48.66</v>
      </c>
      <c r="CT298" s="54">
        <v>89.4</v>
      </c>
      <c r="CU298" s="54">
        <v>100.8</v>
      </c>
      <c r="CV298" s="54">
        <v>99.5</v>
      </c>
      <c r="CW298" s="54">
        <v>99.9</v>
      </c>
      <c r="CX298" s="54">
        <v>110.2</v>
      </c>
      <c r="CY298" s="54">
        <v>7.63</v>
      </c>
      <c r="CZ298" s="54">
        <v>47850.76</v>
      </c>
      <c r="DA298" s="54">
        <v>4.43</v>
      </c>
      <c r="DB298" s="34">
        <v>30.39</v>
      </c>
      <c r="DC298" s="34">
        <v>47.72</v>
      </c>
      <c r="DD298" s="54">
        <v>16.07</v>
      </c>
      <c r="DE298" s="54">
        <v>15373.576999999999</v>
      </c>
      <c r="DF298" s="34">
        <v>2647.63</v>
      </c>
      <c r="DG298" s="34">
        <v>2319.2730000000001</v>
      </c>
      <c r="DH298" s="34">
        <v>1324.9369999999999</v>
      </c>
      <c r="DI298" s="34">
        <v>6267.6360000000004</v>
      </c>
      <c r="DJ298" s="34">
        <v>99.936000000000007</v>
      </c>
      <c r="DK298" s="54">
        <v>99.903599999999997</v>
      </c>
      <c r="DL298" s="54">
        <v>100.04</v>
      </c>
      <c r="DM298" s="54">
        <v>100.05970000000001</v>
      </c>
      <c r="DN298" s="54">
        <v>100.1794</v>
      </c>
      <c r="DO298" s="54">
        <v>100.2071</v>
      </c>
      <c r="DP298" s="54">
        <v>100.85809999999999</v>
      </c>
      <c r="DQ298" s="54">
        <v>100.9436</v>
      </c>
      <c r="DR298" s="54">
        <v>51814</v>
      </c>
      <c r="DS298" s="73">
        <v>30232</v>
      </c>
      <c r="DT298" s="73">
        <v>98.8</v>
      </c>
      <c r="DU298">
        <v>111.79610443115234</v>
      </c>
      <c r="DV298">
        <v>70.298324584960938</v>
      </c>
      <c r="DW298">
        <v>934</v>
      </c>
      <c r="DX298">
        <v>168825</v>
      </c>
      <c r="DY298">
        <v>83.2</v>
      </c>
      <c r="DZ298" t="s">
        <v>312</v>
      </c>
    </row>
    <row r="299" spans="1:130" x14ac:dyDescent="0.25">
      <c r="A299" s="1">
        <v>41821</v>
      </c>
      <c r="B299" s="34">
        <v>100.7</v>
      </c>
      <c r="C299" s="111">
        <v>0.04</v>
      </c>
      <c r="D299" s="34">
        <v>0.15</v>
      </c>
      <c r="E299" s="34">
        <v>0.26</v>
      </c>
      <c r="F299" s="34">
        <v>0.18</v>
      </c>
      <c r="G299" s="34">
        <v>0.6</v>
      </c>
      <c r="H299" s="34">
        <v>1.1100000000000001</v>
      </c>
      <c r="I299" s="34">
        <f t="shared" si="68"/>
        <v>1.07</v>
      </c>
      <c r="J299" s="34">
        <f t="shared" si="69"/>
        <v>0.96000000000000008</v>
      </c>
      <c r="K299" s="34">
        <f t="shared" si="70"/>
        <v>0.85000000000000009</v>
      </c>
      <c r="L299" s="34">
        <f t="shared" si="71"/>
        <v>0.10999999999999999</v>
      </c>
      <c r="M299" s="34">
        <v>98.3</v>
      </c>
      <c r="N299" s="34">
        <v>9902.41</v>
      </c>
      <c r="O299" s="34">
        <v>19.21</v>
      </c>
      <c r="P299" s="64">
        <v>1506.5</v>
      </c>
      <c r="Q299" s="34">
        <f t="shared" si="56"/>
        <v>16.304112554112553</v>
      </c>
      <c r="R299" s="34">
        <v>2352.1</v>
      </c>
      <c r="S299" s="34">
        <f t="shared" si="57"/>
        <v>2545.5627705627703</v>
      </c>
      <c r="T299" s="34">
        <v>2378.6</v>
      </c>
      <c r="U299" s="34">
        <f t="shared" si="58"/>
        <v>2574.242424242424</v>
      </c>
      <c r="V299" s="118">
        <v>207358</v>
      </c>
      <c r="W299" s="118">
        <v>5580718</v>
      </c>
      <c r="X299" s="119">
        <v>9390708</v>
      </c>
      <c r="Y299" s="119">
        <v>616622</v>
      </c>
      <c r="Z299" s="34">
        <v>97.3</v>
      </c>
      <c r="AA299" s="34">
        <v>91.5</v>
      </c>
      <c r="AB299" s="34">
        <v>84</v>
      </c>
      <c r="AC299" s="34">
        <v>93.8</v>
      </c>
      <c r="AD299" s="34">
        <v>42801</v>
      </c>
      <c r="AE299" s="34">
        <v>6.7</v>
      </c>
      <c r="AF299" s="34">
        <v>488</v>
      </c>
      <c r="AG299" s="34">
        <v>94.1</v>
      </c>
      <c r="AH299" s="34">
        <v>92.4</v>
      </c>
      <c r="AI299" s="64">
        <v>94.9</v>
      </c>
      <c r="AJ299" s="64">
        <v>92.7</v>
      </c>
      <c r="AK299" s="64">
        <v>174.610716</v>
      </c>
      <c r="AL299" s="64">
        <v>102.5</v>
      </c>
      <c r="AM299" s="123">
        <v>105.99235508334533</v>
      </c>
      <c r="AN299" s="123">
        <v>212.41562737819746</v>
      </c>
      <c r="AO299" s="123">
        <v>108.70798930889652</v>
      </c>
      <c r="AP299" s="33">
        <v>79.91</v>
      </c>
      <c r="AQ299" s="34">
        <f t="shared" si="67"/>
        <v>0.84204425711275022</v>
      </c>
      <c r="AR299" s="34">
        <v>100</v>
      </c>
      <c r="AS299" s="34">
        <v>99.9</v>
      </c>
      <c r="AT299" s="34">
        <v>100.1</v>
      </c>
      <c r="AU299" s="34">
        <v>101</v>
      </c>
      <c r="AV299" s="34">
        <v>101</v>
      </c>
      <c r="AW299" s="34">
        <v>100.9</v>
      </c>
      <c r="AX299" s="34">
        <v>18.5</v>
      </c>
      <c r="AY299" s="34">
        <v>5.5</v>
      </c>
      <c r="AZ299" s="34">
        <v>16.100000000000001</v>
      </c>
      <c r="BA299" s="34">
        <v>10.199999999999999</v>
      </c>
      <c r="BB299" s="34">
        <v>100</v>
      </c>
      <c r="BC299" s="34">
        <v>99.6</v>
      </c>
      <c r="BD299" s="34">
        <v>100.4</v>
      </c>
      <c r="BE299" s="34">
        <v>61.8</v>
      </c>
      <c r="BF299" s="34">
        <v>27.1</v>
      </c>
      <c r="BG299" s="34">
        <v>45.9</v>
      </c>
      <c r="BH299" s="34">
        <v>145.5</v>
      </c>
      <c r="BI299" s="34">
        <v>1.2</v>
      </c>
      <c r="BJ299" s="34">
        <v>52.400000000000006</v>
      </c>
      <c r="BK299" s="34">
        <v>31.188083332177044</v>
      </c>
      <c r="BL299" s="34">
        <v>0.29399999999999998</v>
      </c>
      <c r="BM299" s="34">
        <v>100.0018</v>
      </c>
      <c r="BN299" s="34">
        <v>100.003</v>
      </c>
      <c r="BO299" s="34">
        <v>-8</v>
      </c>
      <c r="BP299" s="34">
        <v>-11.4</v>
      </c>
      <c r="BQ299" s="34">
        <v>2.6</v>
      </c>
      <c r="BR299" s="34">
        <v>8.1</v>
      </c>
      <c r="BS299" s="34">
        <v>1.7</v>
      </c>
      <c r="BT299" s="34">
        <v>-1.2</v>
      </c>
      <c r="BU299" s="34">
        <v>-0.9</v>
      </c>
      <c r="BV299" s="34">
        <v>12.9</v>
      </c>
      <c r="BW299" s="34">
        <v>-0.1</v>
      </c>
      <c r="BX299" s="34">
        <v>-10.4</v>
      </c>
      <c r="BY299" s="34">
        <v>-11.3</v>
      </c>
      <c r="BZ299" s="34">
        <v>105.1</v>
      </c>
      <c r="CA299" s="34">
        <v>-0.1</v>
      </c>
      <c r="CB299" s="34">
        <v>7.5</v>
      </c>
      <c r="CC299" s="34">
        <v>8.4</v>
      </c>
      <c r="CD299" s="34">
        <v>-2.9</v>
      </c>
      <c r="CE299" s="34">
        <v>-7.7</v>
      </c>
      <c r="CF299" s="34">
        <v>19.600000000000001</v>
      </c>
      <c r="CG299" s="34">
        <v>27.4</v>
      </c>
      <c r="CH299" s="34">
        <v>14.9</v>
      </c>
      <c r="CI299" s="34">
        <v>8.6</v>
      </c>
      <c r="CJ299" s="34">
        <v>-8.8000000000000007</v>
      </c>
      <c r="CK299" s="34">
        <v>8.6999999999999993</v>
      </c>
      <c r="CL299" s="34">
        <v>27.3</v>
      </c>
      <c r="CM299" s="34">
        <v>3192.3085219999998</v>
      </c>
      <c r="CN299" s="34">
        <v>16956.07</v>
      </c>
      <c r="CO299" s="34">
        <v>1973.1</v>
      </c>
      <c r="CP299" s="34">
        <v>2.8220000000000001</v>
      </c>
      <c r="CQ299" s="34">
        <v>2.58</v>
      </c>
      <c r="CR299" s="34">
        <v>71.8</v>
      </c>
      <c r="CS299" s="64">
        <v>49.71</v>
      </c>
      <c r="CT299" s="34">
        <v>90.6</v>
      </c>
      <c r="CU299" s="34">
        <v>101.1</v>
      </c>
      <c r="CV299" s="34">
        <v>98.7</v>
      </c>
      <c r="CW299" s="34">
        <v>99.4</v>
      </c>
      <c r="CX299" s="34">
        <v>106.2</v>
      </c>
      <c r="CY299" s="34">
        <v>7.98</v>
      </c>
      <c r="CZ299" s="34">
        <v>48717.758000000002</v>
      </c>
      <c r="DA299" s="34">
        <v>3.69</v>
      </c>
      <c r="DB299" s="34">
        <v>28.74</v>
      </c>
      <c r="DC299" s="34">
        <v>48.28</v>
      </c>
      <c r="DD299" s="34">
        <v>16.510000000000002</v>
      </c>
      <c r="DE299" s="34">
        <v>18113.845000000001</v>
      </c>
      <c r="DF299" s="34">
        <v>3335.1179999999999</v>
      </c>
      <c r="DG299" s="34">
        <v>2791.9549999999999</v>
      </c>
      <c r="DH299" s="34">
        <v>1621.627</v>
      </c>
      <c r="DI299" s="34">
        <v>7105.28</v>
      </c>
      <c r="DJ299" s="34">
        <v>99.912400000000005</v>
      </c>
      <c r="DK299" s="34">
        <v>99.879900000000006</v>
      </c>
      <c r="DL299" s="34">
        <v>99.97</v>
      </c>
      <c r="DM299" s="34">
        <v>99.969099999999997</v>
      </c>
      <c r="DN299" s="34">
        <v>100.003</v>
      </c>
      <c r="DO299" s="34">
        <v>100.0018</v>
      </c>
      <c r="DP299" s="34">
        <v>100.8733</v>
      </c>
      <c r="DQ299" s="34">
        <v>100.9603</v>
      </c>
      <c r="DR299" s="34">
        <v>40407</v>
      </c>
      <c r="DS299" s="73">
        <v>30264</v>
      </c>
      <c r="DT299" s="73">
        <v>98.6</v>
      </c>
      <c r="DU299">
        <v>119.93392944335938</v>
      </c>
      <c r="DV299">
        <v>105.19635009765625</v>
      </c>
      <c r="DW299">
        <v>894</v>
      </c>
      <c r="DX299">
        <v>156775</v>
      </c>
      <c r="DY299">
        <v>84.5</v>
      </c>
      <c r="DZ299" t="s">
        <v>312</v>
      </c>
    </row>
    <row r="300" spans="1:130" x14ac:dyDescent="0.25">
      <c r="A300" s="1">
        <v>41852</v>
      </c>
      <c r="B300" s="34">
        <v>97.4</v>
      </c>
      <c r="C300" s="111">
        <v>0.02</v>
      </c>
      <c r="D300" s="34">
        <v>0.15</v>
      </c>
      <c r="E300" s="34">
        <v>0.21</v>
      </c>
      <c r="F300" s="34">
        <v>0.12</v>
      </c>
      <c r="G300" s="34">
        <v>0.48</v>
      </c>
      <c r="H300" s="34">
        <v>0.95</v>
      </c>
      <c r="I300" s="34">
        <f t="shared" si="68"/>
        <v>0.92999999999999994</v>
      </c>
      <c r="J300" s="34">
        <f t="shared" si="69"/>
        <v>0.79999999999999993</v>
      </c>
      <c r="K300" s="34">
        <f t="shared" si="70"/>
        <v>0.74</v>
      </c>
      <c r="L300" s="34">
        <f t="shared" si="71"/>
        <v>0.13</v>
      </c>
      <c r="M300" s="34">
        <v>98</v>
      </c>
      <c r="N300" s="34">
        <v>9210.08</v>
      </c>
      <c r="O300" s="34">
        <v>18.04</v>
      </c>
      <c r="P300" s="64">
        <v>1519.3</v>
      </c>
      <c r="Q300" s="34">
        <f t="shared" si="56"/>
        <v>16.424864864864865</v>
      </c>
      <c r="R300" s="34">
        <v>2368.4</v>
      </c>
      <c r="S300" s="34">
        <f t="shared" si="57"/>
        <v>2560.4324324324325</v>
      </c>
      <c r="T300" s="34">
        <v>2398.5</v>
      </c>
      <c r="U300" s="34">
        <f t="shared" si="58"/>
        <v>2592.9729729729729</v>
      </c>
      <c r="V300" s="118">
        <v>221021</v>
      </c>
      <c r="W300" s="118">
        <v>5626751</v>
      </c>
      <c r="X300" s="119">
        <v>9433034</v>
      </c>
      <c r="Y300" s="119">
        <v>616790</v>
      </c>
      <c r="Z300" s="34">
        <v>95.7</v>
      </c>
      <c r="AA300" s="34">
        <v>86.8</v>
      </c>
      <c r="AB300" s="34">
        <v>85.6</v>
      </c>
      <c r="AC300" s="34">
        <v>86.5</v>
      </c>
      <c r="AD300" s="34">
        <v>42786</v>
      </c>
      <c r="AE300" s="34">
        <v>6.7</v>
      </c>
      <c r="AF300" s="34">
        <v>498</v>
      </c>
      <c r="AG300" s="34">
        <v>94.2</v>
      </c>
      <c r="AH300" s="34">
        <v>92.5</v>
      </c>
      <c r="AI300" s="64">
        <v>94.9</v>
      </c>
      <c r="AJ300" s="64">
        <v>92.8</v>
      </c>
      <c r="AK300" s="64">
        <v>174.415402</v>
      </c>
      <c r="AL300" s="64">
        <v>81</v>
      </c>
      <c r="AM300" s="123">
        <v>103.36345788849347</v>
      </c>
      <c r="AN300" s="123">
        <v>210.14438085327782</v>
      </c>
      <c r="AO300" s="123">
        <v>108.93259259259258</v>
      </c>
      <c r="AP300" s="33">
        <v>77.34</v>
      </c>
      <c r="AQ300" s="34">
        <f t="shared" si="67"/>
        <v>0.81496311907270813</v>
      </c>
      <c r="AR300" s="34">
        <v>98.8</v>
      </c>
      <c r="AS300" s="34">
        <v>99</v>
      </c>
      <c r="AT300" s="34">
        <v>98.6</v>
      </c>
      <c r="AU300" s="34">
        <v>99.7</v>
      </c>
      <c r="AV300" s="34">
        <v>99.6</v>
      </c>
      <c r="AW300" s="34">
        <v>99.8</v>
      </c>
      <c r="AX300" s="34">
        <v>16.5</v>
      </c>
      <c r="AY300" s="34">
        <v>-0.6</v>
      </c>
      <c r="AZ300" s="34">
        <v>13.8</v>
      </c>
      <c r="BA300" s="34">
        <v>6.2</v>
      </c>
      <c r="BB300" s="34">
        <v>98</v>
      </c>
      <c r="BC300" s="34">
        <v>98</v>
      </c>
      <c r="BD300" s="34">
        <v>98</v>
      </c>
      <c r="BE300" s="34">
        <v>44.3</v>
      </c>
      <c r="BF300" s="34">
        <v>8.6</v>
      </c>
      <c r="BG300" s="34">
        <v>10.4</v>
      </c>
      <c r="BH300" s="34">
        <v>148.19999999999999</v>
      </c>
      <c r="BI300" s="34">
        <v>3.1</v>
      </c>
      <c r="BJ300" s="34">
        <v>51.400000000000006</v>
      </c>
      <c r="BK300" s="34">
        <v>40.041514425278436</v>
      </c>
      <c r="BL300" s="34">
        <v>0.28999999999999998</v>
      </c>
      <c r="BM300" s="34">
        <v>99.809600000000003</v>
      </c>
      <c r="BN300" s="34">
        <v>99.837900000000005</v>
      </c>
      <c r="BO300" s="34">
        <v>-8.5</v>
      </c>
      <c r="BP300" s="34">
        <v>-11.1</v>
      </c>
      <c r="BQ300" s="34">
        <v>3.1</v>
      </c>
      <c r="BR300" s="34">
        <v>2.7</v>
      </c>
      <c r="BS300" s="34">
        <v>2.4</v>
      </c>
      <c r="BT300" s="34">
        <v>-2.6</v>
      </c>
      <c r="BU300" s="34">
        <v>-2.9</v>
      </c>
      <c r="BV300" s="34">
        <v>12.4</v>
      </c>
      <c r="BW300" s="34">
        <v>-1.5</v>
      </c>
      <c r="BX300" s="34">
        <v>-10.3</v>
      </c>
      <c r="BY300" s="34">
        <v>-11</v>
      </c>
      <c r="BZ300" s="34">
        <v>103.8</v>
      </c>
      <c r="CA300" s="34">
        <v>-1.5</v>
      </c>
      <c r="CB300" s="34">
        <v>5.9</v>
      </c>
      <c r="CC300" s="34">
        <v>7.6</v>
      </c>
      <c r="CD300" s="34">
        <v>-6.6</v>
      </c>
      <c r="CE300" s="34">
        <v>-13</v>
      </c>
      <c r="CF300" s="34">
        <v>19.600000000000001</v>
      </c>
      <c r="CG300" s="34">
        <v>27.2</v>
      </c>
      <c r="CH300" s="34">
        <v>16</v>
      </c>
      <c r="CI300" s="34">
        <v>6.1</v>
      </c>
      <c r="CJ300" s="34">
        <v>-6.6</v>
      </c>
      <c r="CK300" s="34">
        <v>8.5</v>
      </c>
      <c r="CL300" s="34">
        <v>28.1</v>
      </c>
      <c r="CM300" s="34">
        <v>3089.0545240000001</v>
      </c>
      <c r="CN300" s="34">
        <v>16493.37</v>
      </c>
      <c r="CO300" s="34">
        <v>1961.5319050000001</v>
      </c>
      <c r="CP300" s="34">
        <v>2.681</v>
      </c>
      <c r="CQ300" s="34">
        <v>2.52</v>
      </c>
      <c r="CR300" s="34">
        <v>71.3</v>
      </c>
      <c r="CS300" s="64">
        <v>51.79</v>
      </c>
      <c r="CT300" s="34">
        <v>88.8</v>
      </c>
      <c r="CU300" s="34">
        <v>100.2</v>
      </c>
      <c r="CV300" s="34">
        <v>98.9</v>
      </c>
      <c r="CW300" s="34">
        <v>100.3</v>
      </c>
      <c r="CX300" s="34">
        <v>106.5</v>
      </c>
      <c r="CY300" s="34">
        <v>7.88</v>
      </c>
      <c r="CZ300" s="34">
        <v>41117.701000000001</v>
      </c>
      <c r="DA300" s="34">
        <v>4.4400000000000004</v>
      </c>
      <c r="DB300" s="34">
        <v>28.76</v>
      </c>
      <c r="DC300" s="34">
        <v>47.35</v>
      </c>
      <c r="DD300" s="34">
        <v>15.77</v>
      </c>
      <c r="DE300" s="34">
        <v>14522.004000000001</v>
      </c>
      <c r="DF300" s="34">
        <v>2444.4079999999999</v>
      </c>
      <c r="DG300" s="34">
        <v>2237.989</v>
      </c>
      <c r="DH300" s="34">
        <v>1247.6110000000001</v>
      </c>
      <c r="DI300" s="34">
        <v>5727.1909999999998</v>
      </c>
      <c r="DJ300" s="34">
        <v>99.909400000000005</v>
      </c>
      <c r="DK300" s="34">
        <v>99.880499999999998</v>
      </c>
      <c r="DL300" s="34">
        <v>99.93</v>
      </c>
      <c r="DM300" s="34">
        <v>99.915400000000005</v>
      </c>
      <c r="DN300" s="34">
        <v>99.837900000000005</v>
      </c>
      <c r="DO300" s="34">
        <v>99.809600000000003</v>
      </c>
      <c r="DP300" s="34">
        <v>100.87390000000001</v>
      </c>
      <c r="DQ300" s="34">
        <v>100.961</v>
      </c>
      <c r="DR300" s="34">
        <v>31760</v>
      </c>
      <c r="DS300" s="73">
        <v>30263</v>
      </c>
      <c r="DT300" s="73">
        <v>99</v>
      </c>
      <c r="DU300">
        <v>133.31536865234375</v>
      </c>
      <c r="DV300">
        <v>142.96778869628906</v>
      </c>
      <c r="DW300">
        <v>751</v>
      </c>
      <c r="DX300">
        <v>146175</v>
      </c>
      <c r="DY300">
        <v>82.4</v>
      </c>
      <c r="DZ300" t="s">
        <v>312</v>
      </c>
    </row>
    <row r="301" spans="1:130" x14ac:dyDescent="0.25">
      <c r="A301" s="1">
        <v>41883</v>
      </c>
      <c r="B301" s="54">
        <v>99.6</v>
      </c>
      <c r="C301" s="113">
        <v>0.01</v>
      </c>
      <c r="D301" s="54">
        <v>0.05</v>
      </c>
      <c r="E301" s="54">
        <v>0.17</v>
      </c>
      <c r="F301" s="54">
        <v>0.06</v>
      </c>
      <c r="G301" s="54">
        <v>0.44</v>
      </c>
      <c r="H301" s="54">
        <v>0.92</v>
      </c>
      <c r="I301" s="54">
        <f t="shared" si="68"/>
        <v>0.91</v>
      </c>
      <c r="J301" s="54">
        <f t="shared" si="69"/>
        <v>0.87</v>
      </c>
      <c r="K301" s="54">
        <f t="shared" si="70"/>
        <v>0.75</v>
      </c>
      <c r="L301" s="54">
        <f t="shared" si="71"/>
        <v>0.04</v>
      </c>
      <c r="M301" s="54">
        <v>97.6</v>
      </c>
      <c r="N301" s="54">
        <v>9479.0300000000007</v>
      </c>
      <c r="O301" s="54">
        <v>18.16</v>
      </c>
      <c r="P301" s="64">
        <v>1526.8</v>
      </c>
      <c r="Q301" s="34">
        <f t="shared" si="56"/>
        <v>16.452586206896552</v>
      </c>
      <c r="R301" s="34">
        <v>2373.1999999999998</v>
      </c>
      <c r="S301" s="34">
        <f t="shared" si="57"/>
        <v>2557.3275862068963</v>
      </c>
      <c r="T301" s="34">
        <v>2401.3000000000002</v>
      </c>
      <c r="U301" s="34">
        <f t="shared" si="58"/>
        <v>2587.6077586206902</v>
      </c>
      <c r="V301" s="118">
        <v>223876</v>
      </c>
      <c r="W301" s="118">
        <v>5683788</v>
      </c>
      <c r="X301" s="119">
        <v>9482753</v>
      </c>
      <c r="Y301" s="119">
        <v>615892</v>
      </c>
      <c r="Z301" s="54">
        <v>96.1</v>
      </c>
      <c r="AA301" s="54">
        <v>88</v>
      </c>
      <c r="AB301" s="54">
        <v>85.4</v>
      </c>
      <c r="AC301" s="54">
        <v>88.4</v>
      </c>
      <c r="AD301" s="54">
        <v>42816</v>
      </c>
      <c r="AE301" s="54">
        <v>6.7</v>
      </c>
      <c r="AF301" s="54">
        <v>504</v>
      </c>
      <c r="AG301" s="54">
        <v>94.3</v>
      </c>
      <c r="AH301" s="54">
        <v>92.8</v>
      </c>
      <c r="AI301" s="64">
        <v>95.3</v>
      </c>
      <c r="AJ301" s="64">
        <v>92.9</v>
      </c>
      <c r="AK301" s="64">
        <v>174.415402</v>
      </c>
      <c r="AL301" s="64">
        <v>80.8</v>
      </c>
      <c r="AM301" s="34">
        <v>108.31</v>
      </c>
      <c r="AN301" s="33">
        <v>217.5</v>
      </c>
      <c r="AO301" s="33">
        <v>110.64</v>
      </c>
      <c r="AP301" s="33">
        <v>76.239999999999995</v>
      </c>
      <c r="AQ301" s="34">
        <f t="shared" si="67"/>
        <v>0.79999999999999993</v>
      </c>
      <c r="AR301" s="54">
        <v>97.9</v>
      </c>
      <c r="AS301" s="54">
        <v>97.1</v>
      </c>
      <c r="AT301" s="54">
        <v>98.7</v>
      </c>
      <c r="AU301" s="54">
        <v>98.5</v>
      </c>
      <c r="AV301" s="54">
        <v>97.4</v>
      </c>
      <c r="AW301" s="54">
        <v>99.5</v>
      </c>
      <c r="AX301" s="54">
        <v>12.1</v>
      </c>
      <c r="AY301" s="54">
        <v>-2</v>
      </c>
      <c r="AZ301" s="54">
        <v>10.6</v>
      </c>
      <c r="BA301" s="54">
        <v>3.6</v>
      </c>
      <c r="BB301" s="54">
        <v>96</v>
      </c>
      <c r="BC301" s="54">
        <v>96.4</v>
      </c>
      <c r="BD301" s="54">
        <v>95.6</v>
      </c>
      <c r="BE301" s="54">
        <v>25.4</v>
      </c>
      <c r="BF301" s="54">
        <v>6.9</v>
      </c>
      <c r="BG301" s="54">
        <v>4.4000000000000004</v>
      </c>
      <c r="BH301" s="54">
        <v>155.30000000000001</v>
      </c>
      <c r="BI301" s="54">
        <v>3.9</v>
      </c>
      <c r="BJ301" s="34">
        <v>49.900000000000006</v>
      </c>
      <c r="BK301" s="54">
        <v>41.865161254784127</v>
      </c>
      <c r="BL301" s="54">
        <v>0.24299999999999999</v>
      </c>
      <c r="BM301" s="54">
        <v>99.659400000000005</v>
      </c>
      <c r="BN301" s="54">
        <v>99.7089</v>
      </c>
      <c r="BO301" s="54">
        <v>-12</v>
      </c>
      <c r="BP301" s="54">
        <v>-13.9</v>
      </c>
      <c r="BQ301" s="54">
        <v>6.1</v>
      </c>
      <c r="BR301" s="54">
        <v>2.1</v>
      </c>
      <c r="BS301" s="54">
        <v>1.7</v>
      </c>
      <c r="BT301" s="54">
        <v>-0.5</v>
      </c>
      <c r="BU301" s="54">
        <v>-5.3</v>
      </c>
      <c r="BV301" s="54">
        <v>12.6</v>
      </c>
      <c r="BW301" s="54">
        <v>-2.1</v>
      </c>
      <c r="BX301" s="54">
        <v>-10.9</v>
      </c>
      <c r="BY301" s="54">
        <v>-10.1</v>
      </c>
      <c r="BZ301" s="54">
        <v>102.5</v>
      </c>
      <c r="CA301" s="54">
        <v>-2.1</v>
      </c>
      <c r="CB301" s="54">
        <v>7</v>
      </c>
      <c r="CC301" s="54">
        <v>6.8</v>
      </c>
      <c r="CD301" s="54">
        <v>-9.3000000000000007</v>
      </c>
      <c r="CE301" s="54">
        <v>-13.7</v>
      </c>
      <c r="CF301" s="54">
        <v>15.9</v>
      </c>
      <c r="CG301" s="54">
        <v>22.2</v>
      </c>
      <c r="CH301" s="54">
        <v>16.2</v>
      </c>
      <c r="CI301" s="54">
        <v>4.7</v>
      </c>
      <c r="CJ301" s="54">
        <v>-8.6</v>
      </c>
      <c r="CK301" s="54">
        <v>7</v>
      </c>
      <c r="CL301" s="54">
        <v>26.9</v>
      </c>
      <c r="CM301" s="54">
        <v>3233.3777730000002</v>
      </c>
      <c r="CN301" s="54">
        <v>17098.45</v>
      </c>
      <c r="CO301" s="54">
        <v>1993.2261900000001</v>
      </c>
      <c r="CP301" s="54">
        <v>2.39</v>
      </c>
      <c r="CQ301" s="54">
        <v>2.35</v>
      </c>
      <c r="CR301" s="54">
        <v>75.400000000000006</v>
      </c>
      <c r="CS301" s="64">
        <v>50.94</v>
      </c>
      <c r="CT301" s="54">
        <v>89.4</v>
      </c>
      <c r="CU301" s="54">
        <v>101.6</v>
      </c>
      <c r="CV301" s="54">
        <v>97.8</v>
      </c>
      <c r="CW301" s="54">
        <v>100</v>
      </c>
      <c r="CX301" s="54">
        <v>108.4</v>
      </c>
      <c r="CY301" s="54">
        <v>8.92</v>
      </c>
      <c r="CZ301" s="34">
        <v>50648.712</v>
      </c>
      <c r="DA301" s="34">
        <v>3.99</v>
      </c>
      <c r="DB301" s="34">
        <v>29.9</v>
      </c>
      <c r="DC301" s="34">
        <v>47.57</v>
      </c>
      <c r="DD301" s="34">
        <v>16.079999999999998</v>
      </c>
      <c r="DE301" s="34">
        <v>17591.948</v>
      </c>
      <c r="DF301" s="54">
        <v>3411.1529999999998</v>
      </c>
      <c r="DG301" s="54">
        <v>2525.56</v>
      </c>
      <c r="DH301" s="54">
        <v>1602.9259999999999</v>
      </c>
      <c r="DI301" s="54">
        <v>6671.9880000000003</v>
      </c>
      <c r="DJ301" s="54">
        <v>99.922499999999999</v>
      </c>
      <c r="DK301" s="54">
        <v>99.9</v>
      </c>
      <c r="DL301" s="54">
        <v>99.91</v>
      </c>
      <c r="DM301" s="54">
        <v>99.891400000000004</v>
      </c>
      <c r="DN301" s="54">
        <v>99.7089</v>
      </c>
      <c r="DO301" s="54">
        <v>99.659400000000005</v>
      </c>
      <c r="DP301" s="54">
        <v>100.8621</v>
      </c>
      <c r="DQ301" s="54">
        <v>100.94799999999999</v>
      </c>
      <c r="DR301" s="54">
        <v>38612</v>
      </c>
      <c r="DS301" s="73">
        <v>30331</v>
      </c>
      <c r="DT301" s="73">
        <v>99</v>
      </c>
      <c r="DU301">
        <v>190.215576171875</v>
      </c>
      <c r="DV301">
        <v>177.00502014160156</v>
      </c>
      <c r="DW301">
        <v>1151</v>
      </c>
      <c r="DX301">
        <v>147825</v>
      </c>
      <c r="DY301">
        <v>83.3</v>
      </c>
      <c r="DZ301" t="s">
        <v>312</v>
      </c>
    </row>
    <row r="302" spans="1:130" x14ac:dyDescent="0.25">
      <c r="A302" s="1">
        <v>41913</v>
      </c>
      <c r="B302" s="34">
        <v>99.8</v>
      </c>
      <c r="C302" s="114">
        <v>0</v>
      </c>
      <c r="D302" s="34">
        <v>0.05</v>
      </c>
      <c r="E302" s="34">
        <v>0.12</v>
      </c>
      <c r="F302" s="34">
        <v>0.03</v>
      </c>
      <c r="G302" s="34">
        <v>0.35</v>
      </c>
      <c r="H302" s="34">
        <v>0.79</v>
      </c>
      <c r="I302" s="34">
        <f t="shared" si="68"/>
        <v>0.79</v>
      </c>
      <c r="J302" s="34">
        <f t="shared" si="69"/>
        <v>0.74</v>
      </c>
      <c r="K302" s="34">
        <f t="shared" si="70"/>
        <v>0.67</v>
      </c>
      <c r="L302" s="34">
        <f t="shared" si="71"/>
        <v>0.05</v>
      </c>
      <c r="M302" s="34">
        <v>97.2</v>
      </c>
      <c r="N302" s="34">
        <v>9382.0300000000007</v>
      </c>
      <c r="O302" s="34">
        <v>21.06</v>
      </c>
      <c r="P302" s="64">
        <v>1544.5</v>
      </c>
      <c r="Q302" s="34">
        <f t="shared" si="56"/>
        <v>16.661272923408845</v>
      </c>
      <c r="R302" s="34">
        <v>2384.3000000000002</v>
      </c>
      <c r="S302" s="34">
        <f t="shared" si="57"/>
        <v>2572.0604099244879</v>
      </c>
      <c r="T302" s="34">
        <v>2413.5</v>
      </c>
      <c r="U302" s="34">
        <f t="shared" si="58"/>
        <v>2603.5598705501616</v>
      </c>
      <c r="V302" s="118">
        <v>216756</v>
      </c>
      <c r="W302" s="118">
        <v>5723293</v>
      </c>
      <c r="X302" s="119">
        <v>9500212</v>
      </c>
      <c r="Y302" s="119">
        <v>624858</v>
      </c>
      <c r="Z302" s="34">
        <v>96.6</v>
      </c>
      <c r="AA302" s="34">
        <v>90</v>
      </c>
      <c r="AB302" s="34">
        <v>86.2</v>
      </c>
      <c r="AC302" s="34">
        <v>90.2</v>
      </c>
      <c r="AD302" s="34">
        <v>42858</v>
      </c>
      <c r="AE302" s="34">
        <v>6.6</v>
      </c>
      <c r="AF302" s="34">
        <v>507</v>
      </c>
      <c r="AG302" s="34">
        <v>94.2</v>
      </c>
      <c r="AH302" s="34">
        <v>92.7</v>
      </c>
      <c r="AI302" s="64">
        <v>95.1</v>
      </c>
      <c r="AJ302" s="64">
        <v>93.1</v>
      </c>
      <c r="AK302" s="64">
        <v>174.415402</v>
      </c>
      <c r="AL302" s="64">
        <v>81.2</v>
      </c>
      <c r="AM302" s="34">
        <v>105.04</v>
      </c>
      <c r="AN302" s="33">
        <v>202.75</v>
      </c>
      <c r="AO302" s="33">
        <v>108.54</v>
      </c>
      <c r="AP302" s="33">
        <v>69.319999999999993</v>
      </c>
      <c r="AQ302" s="34">
        <f t="shared" si="67"/>
        <v>0.72891692954784437</v>
      </c>
      <c r="AR302" s="34">
        <v>95.9</v>
      </c>
      <c r="AS302" s="34">
        <v>95.4</v>
      </c>
      <c r="AT302" s="34">
        <v>96.4</v>
      </c>
      <c r="AU302" s="34">
        <v>95.8</v>
      </c>
      <c r="AV302" s="34">
        <v>94.9</v>
      </c>
      <c r="AW302" s="34">
        <v>96.6</v>
      </c>
      <c r="AX302" s="34">
        <v>3.4</v>
      </c>
      <c r="AY302" s="34">
        <v>-1.1000000000000001</v>
      </c>
      <c r="AZ302" s="34">
        <v>4.7</v>
      </c>
      <c r="BA302" s="34">
        <v>0.9</v>
      </c>
      <c r="BB302" s="34">
        <v>95.9</v>
      </c>
      <c r="BC302" s="34">
        <v>95.3</v>
      </c>
      <c r="BD302" s="34">
        <v>96.4</v>
      </c>
      <c r="BE302" s="34">
        <v>3.2</v>
      </c>
      <c r="BF302" s="34">
        <v>-3.6</v>
      </c>
      <c r="BG302" s="34">
        <v>4.3</v>
      </c>
      <c r="BH302" s="34">
        <v>160.80000000000001</v>
      </c>
      <c r="BI302" s="34">
        <v>3.2</v>
      </c>
      <c r="BJ302" s="34">
        <v>51.400000000000006</v>
      </c>
      <c r="BK302" s="34">
        <v>51.625279438239872</v>
      </c>
      <c r="BL302" s="34">
        <v>0.17899999999999999</v>
      </c>
      <c r="BM302" s="34">
        <v>99.573899999999995</v>
      </c>
      <c r="BN302" s="34">
        <v>99.635400000000004</v>
      </c>
      <c r="BO302" s="34">
        <v>-13.6</v>
      </c>
      <c r="BP302" s="34">
        <v>-15</v>
      </c>
      <c r="BQ302" s="34">
        <v>7.1</v>
      </c>
      <c r="BR302" s="34">
        <v>1.4</v>
      </c>
      <c r="BS302" s="34">
        <v>1.1000000000000001</v>
      </c>
      <c r="BT302" s="34">
        <v>-4.7</v>
      </c>
      <c r="BU302" s="34">
        <v>-6.4</v>
      </c>
      <c r="BV302" s="34">
        <v>12.5</v>
      </c>
      <c r="BW302" s="34">
        <v>-1.3</v>
      </c>
      <c r="BX302" s="34">
        <v>-13.8</v>
      </c>
      <c r="BY302" s="34">
        <v>-9.1999999999999993</v>
      </c>
      <c r="BZ302" s="34">
        <v>102.4</v>
      </c>
      <c r="CA302" s="34">
        <v>-1.3</v>
      </c>
      <c r="CB302" s="34">
        <v>7.6</v>
      </c>
      <c r="CC302" s="34">
        <v>8.5</v>
      </c>
      <c r="CD302" s="34">
        <v>-10.6</v>
      </c>
      <c r="CE302" s="34">
        <v>-14.4</v>
      </c>
      <c r="CF302" s="34">
        <v>15.5</v>
      </c>
      <c r="CG302" s="34">
        <v>24.2</v>
      </c>
      <c r="CH302" s="34">
        <v>16.2</v>
      </c>
      <c r="CI302" s="34">
        <v>6.5</v>
      </c>
      <c r="CJ302" s="34">
        <v>-6.8</v>
      </c>
      <c r="CK302" s="34">
        <v>7</v>
      </c>
      <c r="CL302" s="34">
        <v>26.7</v>
      </c>
      <c r="CM302" s="34">
        <v>3029.5748699999999</v>
      </c>
      <c r="CN302" s="34">
        <v>16804.71</v>
      </c>
      <c r="CO302" s="34">
        <v>1937.2743479999999</v>
      </c>
      <c r="CP302" s="34">
        <v>2.3730000000000002</v>
      </c>
      <c r="CQ302" s="34">
        <v>2.42</v>
      </c>
      <c r="CR302" s="34">
        <v>79.599999999999994</v>
      </c>
      <c r="CS302" s="64">
        <v>51.27</v>
      </c>
      <c r="CT302" s="34">
        <v>91.6</v>
      </c>
      <c r="CU302" s="34">
        <v>99.9</v>
      </c>
      <c r="CV302" s="34">
        <v>99.4</v>
      </c>
      <c r="CW302" s="34">
        <v>101.2</v>
      </c>
      <c r="CX302" s="34">
        <v>112.2</v>
      </c>
      <c r="CY302" s="34">
        <v>8.32</v>
      </c>
      <c r="CZ302" s="34">
        <v>51975.358999999997</v>
      </c>
      <c r="DA302" s="34">
        <v>4.13</v>
      </c>
      <c r="DB302" s="34">
        <v>29.17</v>
      </c>
      <c r="DC302" s="34">
        <v>48.15</v>
      </c>
      <c r="DD302" s="34">
        <v>16.2</v>
      </c>
      <c r="DE302" s="34">
        <v>18010.796999999999</v>
      </c>
      <c r="DF302" s="34">
        <v>3593.069</v>
      </c>
      <c r="DG302" s="34">
        <v>2469.2190000000001</v>
      </c>
      <c r="DH302" s="34">
        <v>1579.64</v>
      </c>
      <c r="DI302" s="34">
        <v>6836.9849999999997</v>
      </c>
      <c r="DJ302" s="34">
        <v>99.953500000000005</v>
      </c>
      <c r="DK302" s="34">
        <v>99.941000000000003</v>
      </c>
      <c r="DL302" s="34">
        <v>99.92</v>
      </c>
      <c r="DM302" s="34">
        <v>99.905199999999994</v>
      </c>
      <c r="DN302" s="34">
        <v>99.635400000000004</v>
      </c>
      <c r="DO302" s="34">
        <v>99.573899999999995</v>
      </c>
      <c r="DP302" s="34">
        <v>100.8338</v>
      </c>
      <c r="DQ302" s="34">
        <v>100.91679999999999</v>
      </c>
      <c r="DR302" s="34">
        <v>48784</v>
      </c>
      <c r="DS302" s="73">
        <v>30364</v>
      </c>
      <c r="DT302" s="73">
        <v>98.5</v>
      </c>
      <c r="DU302">
        <v>150.0306396484375</v>
      </c>
      <c r="DV302">
        <v>150.62701416015625</v>
      </c>
      <c r="DW302">
        <v>1055</v>
      </c>
      <c r="DX302">
        <v>151375</v>
      </c>
      <c r="DY302">
        <v>83.4</v>
      </c>
      <c r="DZ302" t="s">
        <v>312</v>
      </c>
    </row>
    <row r="303" spans="1:130" x14ac:dyDescent="0.25">
      <c r="A303" s="1">
        <v>41944</v>
      </c>
      <c r="B303" s="34">
        <v>99.8</v>
      </c>
      <c r="C303" s="114">
        <v>-0.01</v>
      </c>
      <c r="D303" s="34">
        <v>0.05</v>
      </c>
      <c r="E303" s="34">
        <v>0.09</v>
      </c>
      <c r="F303" s="34">
        <v>0.02</v>
      </c>
      <c r="G303" s="34">
        <v>0.28999999999999998</v>
      </c>
      <c r="H303" s="34">
        <v>0.72</v>
      </c>
      <c r="I303" s="34">
        <f t="shared" si="68"/>
        <v>0.73</v>
      </c>
      <c r="J303" s="34">
        <f t="shared" si="69"/>
        <v>0.66999999999999993</v>
      </c>
      <c r="K303" s="34">
        <f t="shared" si="70"/>
        <v>0.63</v>
      </c>
      <c r="L303" s="34">
        <f t="shared" si="71"/>
        <v>6.0000000000000005E-2</v>
      </c>
      <c r="M303" s="34">
        <v>97.2</v>
      </c>
      <c r="N303" s="34">
        <v>9251.7000000000007</v>
      </c>
      <c r="O303" s="34">
        <v>18.690000000000001</v>
      </c>
      <c r="P303" s="64">
        <v>1552.9</v>
      </c>
      <c r="Q303" s="34">
        <f t="shared" si="56"/>
        <v>16.733836206896552</v>
      </c>
      <c r="R303" s="34">
        <v>2393.6</v>
      </c>
      <c r="S303" s="34">
        <f t="shared" si="57"/>
        <v>2579.3103448275861</v>
      </c>
      <c r="T303" s="34">
        <v>2423.4</v>
      </c>
      <c r="U303" s="34">
        <f t="shared" si="58"/>
        <v>2611.4224137931037</v>
      </c>
      <c r="V303" s="118">
        <v>218398</v>
      </c>
      <c r="W303" s="118">
        <v>5788176</v>
      </c>
      <c r="X303" s="119">
        <v>9559214</v>
      </c>
      <c r="Y303" s="119">
        <v>625707</v>
      </c>
      <c r="Z303" s="34">
        <v>96.3</v>
      </c>
      <c r="AA303" s="34">
        <v>87.8</v>
      </c>
      <c r="AB303" s="34">
        <v>86.9</v>
      </c>
      <c r="AC303" s="34">
        <v>88.6</v>
      </c>
      <c r="AD303" s="34">
        <v>42828</v>
      </c>
      <c r="AE303" s="34">
        <v>6.6</v>
      </c>
      <c r="AF303" s="34">
        <v>514</v>
      </c>
      <c r="AG303" s="34">
        <v>94.1</v>
      </c>
      <c r="AH303" s="34">
        <v>92.8</v>
      </c>
      <c r="AI303" s="64">
        <v>94.4</v>
      </c>
      <c r="AJ303" s="64">
        <v>92.9</v>
      </c>
      <c r="AK303" s="64">
        <v>174.415402</v>
      </c>
      <c r="AL303" s="64">
        <v>123</v>
      </c>
      <c r="AM303" s="34">
        <v>104.2</v>
      </c>
      <c r="AN303" s="33">
        <v>189.98</v>
      </c>
      <c r="AO303" s="33">
        <v>108.67</v>
      </c>
      <c r="AP303" s="33">
        <v>63.84</v>
      </c>
      <c r="AQ303" s="34">
        <f t="shared" si="67"/>
        <v>0.67627118644067796</v>
      </c>
      <c r="AR303" s="34">
        <v>96.3</v>
      </c>
      <c r="AS303" s="34">
        <v>95.9</v>
      </c>
      <c r="AT303" s="34">
        <v>96.7</v>
      </c>
      <c r="AU303" s="34">
        <v>96.3</v>
      </c>
      <c r="AV303" s="34">
        <v>95.5</v>
      </c>
      <c r="AW303" s="34">
        <v>97.2</v>
      </c>
      <c r="AX303" s="34">
        <v>4.8</v>
      </c>
      <c r="AY303" s="34">
        <v>5.5</v>
      </c>
      <c r="AZ303" s="34">
        <v>6.2</v>
      </c>
      <c r="BA303" s="34">
        <v>0.8</v>
      </c>
      <c r="BB303" s="34">
        <v>97.1</v>
      </c>
      <c r="BC303" s="34">
        <v>97.5</v>
      </c>
      <c r="BD303" s="34">
        <v>96.7</v>
      </c>
      <c r="BE303" s="34">
        <v>3.3</v>
      </c>
      <c r="BF303" s="34">
        <v>11.5</v>
      </c>
      <c r="BG303" s="34">
        <v>1.6</v>
      </c>
      <c r="BH303" s="34">
        <v>159.19999999999999</v>
      </c>
      <c r="BI303" s="34">
        <v>2.6</v>
      </c>
      <c r="BJ303" s="34">
        <v>50</v>
      </c>
      <c r="BK303" s="34">
        <v>53.400247103713802</v>
      </c>
      <c r="BL303" s="34">
        <v>0.129</v>
      </c>
      <c r="BM303" s="34">
        <v>99.558499999999995</v>
      </c>
      <c r="BN303" s="34">
        <v>99.622200000000007</v>
      </c>
      <c r="BO303" s="34">
        <v>-10.4</v>
      </c>
      <c r="BP303" s="34">
        <v>-12.9</v>
      </c>
      <c r="BQ303" s="34">
        <v>6.3</v>
      </c>
      <c r="BR303" s="34">
        <v>3</v>
      </c>
      <c r="BS303" s="34">
        <v>-0.8</v>
      </c>
      <c r="BT303" s="34">
        <v>-5</v>
      </c>
      <c r="BU303" s="34">
        <v>-4.5999999999999996</v>
      </c>
      <c r="BV303" s="34">
        <v>11.4</v>
      </c>
      <c r="BW303" s="34">
        <v>-1.9</v>
      </c>
      <c r="BX303" s="34">
        <v>-13.2</v>
      </c>
      <c r="BY303" s="34">
        <v>-12.7</v>
      </c>
      <c r="BZ303" s="34">
        <v>102.3</v>
      </c>
      <c r="CA303" s="34">
        <v>-1.9</v>
      </c>
      <c r="CB303" s="34">
        <v>7.2</v>
      </c>
      <c r="CC303" s="34">
        <v>8</v>
      </c>
      <c r="CD303" s="34">
        <v>-13.2</v>
      </c>
      <c r="CE303" s="34">
        <v>-14.2</v>
      </c>
      <c r="CF303" s="34">
        <v>11.7</v>
      </c>
      <c r="CG303" s="34">
        <v>21.3</v>
      </c>
      <c r="CH303" s="34">
        <v>16.2</v>
      </c>
      <c r="CI303" s="34">
        <v>6.8</v>
      </c>
      <c r="CJ303" s="34">
        <v>-8.6</v>
      </c>
      <c r="CK303" s="34">
        <v>5.8</v>
      </c>
      <c r="CL303" s="34">
        <v>25.9</v>
      </c>
      <c r="CM303" s="34">
        <v>3126.1448500000001</v>
      </c>
      <c r="CN303" s="34">
        <v>17366.240000000002</v>
      </c>
      <c r="CO303" s="34">
        <v>2044.572105</v>
      </c>
      <c r="CP303" s="34">
        <v>2.2890000000000001</v>
      </c>
      <c r="CQ303" s="34">
        <v>2.36</v>
      </c>
      <c r="CR303" s="34">
        <v>79.900000000000006</v>
      </c>
      <c r="CS303" s="64">
        <v>51.5</v>
      </c>
      <c r="CT303" s="34">
        <v>91.9</v>
      </c>
      <c r="CU303" s="34">
        <v>101.7</v>
      </c>
      <c r="CV303" s="34">
        <v>99.9</v>
      </c>
      <c r="CW303" s="34">
        <v>101.8</v>
      </c>
      <c r="CX303" s="34">
        <v>111.7</v>
      </c>
      <c r="CY303" s="34">
        <v>8.15</v>
      </c>
      <c r="CZ303" s="34">
        <v>48552.692000000003</v>
      </c>
      <c r="DA303" s="34">
        <v>3.79</v>
      </c>
      <c r="DB303" s="34">
        <v>29.96</v>
      </c>
      <c r="DC303" s="34">
        <v>48.15</v>
      </c>
      <c r="DD303" s="34">
        <v>16.16</v>
      </c>
      <c r="DE303" s="34">
        <v>15716.257</v>
      </c>
      <c r="DF303" s="34">
        <v>2807.3119999999999</v>
      </c>
      <c r="DG303" s="34">
        <v>2313.866</v>
      </c>
      <c r="DH303" s="34">
        <v>1344.4369999999999</v>
      </c>
      <c r="DI303" s="34">
        <v>6099.741</v>
      </c>
      <c r="DJ303" s="34">
        <v>100.0035</v>
      </c>
      <c r="DK303" s="34">
        <v>100.0052</v>
      </c>
      <c r="DL303" s="34">
        <v>99.97</v>
      </c>
      <c r="DM303" s="34">
        <v>99.960499999999996</v>
      </c>
      <c r="DN303" s="34">
        <v>99.622200000000007</v>
      </c>
      <c r="DO303" s="34">
        <v>99.558499999999995</v>
      </c>
      <c r="DP303" s="34">
        <v>100.7878</v>
      </c>
      <c r="DQ303" s="34">
        <v>100.8663</v>
      </c>
      <c r="DR303" s="34">
        <v>51663</v>
      </c>
      <c r="DS303" s="73">
        <v>30379</v>
      </c>
      <c r="DT303" s="73">
        <v>97.3</v>
      </c>
      <c r="DU303">
        <v>152.42488098144531</v>
      </c>
      <c r="DV303">
        <v>109.457275390625</v>
      </c>
      <c r="DW303">
        <v>1456</v>
      </c>
      <c r="DX303">
        <v>162100</v>
      </c>
      <c r="DY303">
        <v>83</v>
      </c>
      <c r="DZ303" t="s">
        <v>312</v>
      </c>
    </row>
    <row r="304" spans="1:130" s="91" customFormat="1" ht="15.75" thickBot="1" x14ac:dyDescent="0.3">
      <c r="A304" s="90">
        <v>41974</v>
      </c>
      <c r="B304" s="92">
        <v>101.4</v>
      </c>
      <c r="C304" s="115">
        <v>-0.03</v>
      </c>
      <c r="D304" s="92">
        <v>0.05</v>
      </c>
      <c r="E304" s="92">
        <v>0.08</v>
      </c>
      <c r="F304" s="92">
        <v>0</v>
      </c>
      <c r="G304" s="92">
        <v>0.22</v>
      </c>
      <c r="H304" s="92">
        <v>0.59</v>
      </c>
      <c r="I304" s="92">
        <f t="shared" si="68"/>
        <v>0.62</v>
      </c>
      <c r="J304" s="92">
        <f t="shared" si="69"/>
        <v>0.53999999999999992</v>
      </c>
      <c r="K304" s="92">
        <f t="shared" si="70"/>
        <v>0.51</v>
      </c>
      <c r="L304" s="92">
        <f t="shared" si="71"/>
        <v>0.08</v>
      </c>
      <c r="M304" s="92">
        <v>97</v>
      </c>
      <c r="N304" s="92">
        <v>9963.51</v>
      </c>
      <c r="O304" s="92">
        <v>22.95</v>
      </c>
      <c r="P304" s="64">
        <v>1555.8</v>
      </c>
      <c r="Q304" s="34">
        <f t="shared" si="56"/>
        <v>16.765086206896552</v>
      </c>
      <c r="R304" s="34">
        <v>2401.1999999999998</v>
      </c>
      <c r="S304" s="34">
        <f t="shared" si="57"/>
        <v>2587.5</v>
      </c>
      <c r="T304" s="34">
        <v>2426.8000000000002</v>
      </c>
      <c r="U304" s="34">
        <f t="shared" si="58"/>
        <v>2615.0862068965521</v>
      </c>
      <c r="V304" s="118">
        <v>221191</v>
      </c>
      <c r="W304" s="118">
        <v>5941966</v>
      </c>
      <c r="X304" s="119">
        <v>9676028</v>
      </c>
      <c r="Y304" s="119">
        <v>650569</v>
      </c>
      <c r="Z304" s="92">
        <v>97.8</v>
      </c>
      <c r="AA304" s="92">
        <v>90.9</v>
      </c>
      <c r="AB304" s="92">
        <v>84.3</v>
      </c>
      <c r="AC304" s="92">
        <v>91.9</v>
      </c>
      <c r="AD304" s="92">
        <v>42843</v>
      </c>
      <c r="AE304" s="92">
        <v>6.5</v>
      </c>
      <c r="AF304" s="92">
        <v>521</v>
      </c>
      <c r="AG304" s="92">
        <v>93.7</v>
      </c>
      <c r="AH304" s="92">
        <v>92.8</v>
      </c>
      <c r="AI304" s="64">
        <v>92.7</v>
      </c>
      <c r="AJ304" s="64">
        <v>92.7</v>
      </c>
      <c r="AK304" s="64">
        <v>173.048204</v>
      </c>
      <c r="AL304" s="64">
        <v>82.5</v>
      </c>
      <c r="AM304" s="92">
        <v>99.76</v>
      </c>
      <c r="AN304" s="33">
        <v>159.65</v>
      </c>
      <c r="AO304" s="33">
        <v>106.14</v>
      </c>
      <c r="AP304" s="33">
        <v>51.18</v>
      </c>
      <c r="AQ304" s="92">
        <f t="shared" si="67"/>
        <v>0.55210355987055015</v>
      </c>
      <c r="AR304" s="92">
        <v>97.5</v>
      </c>
      <c r="AS304" s="92">
        <v>97.4</v>
      </c>
      <c r="AT304" s="92">
        <v>97.6</v>
      </c>
      <c r="AU304" s="92">
        <v>98</v>
      </c>
      <c r="AV304" s="92">
        <v>97.5</v>
      </c>
      <c r="AW304" s="92">
        <v>98.4</v>
      </c>
      <c r="AX304" s="92">
        <v>5.8</v>
      </c>
      <c r="AY304" s="92">
        <v>0.4</v>
      </c>
      <c r="AZ304" s="92">
        <v>10.1</v>
      </c>
      <c r="BA304" s="92">
        <v>2.2000000000000002</v>
      </c>
      <c r="BB304" s="92">
        <v>97.7</v>
      </c>
      <c r="BC304" s="92">
        <v>99</v>
      </c>
      <c r="BD304" s="92">
        <v>96.4</v>
      </c>
      <c r="BE304" s="92">
        <v>10</v>
      </c>
      <c r="BF304" s="92">
        <v>34.9</v>
      </c>
      <c r="BG304" s="92">
        <v>14.5</v>
      </c>
      <c r="BH304" s="92">
        <v>153.30000000000001</v>
      </c>
      <c r="BI304" s="92">
        <v>6.6</v>
      </c>
      <c r="BJ304" s="34">
        <v>51.2</v>
      </c>
      <c r="BK304" s="92">
        <v>52.391985606425322</v>
      </c>
      <c r="BL304" s="92">
        <v>0.115</v>
      </c>
      <c r="BM304" s="92">
        <v>99.6023</v>
      </c>
      <c r="BN304" s="92">
        <v>99.659800000000004</v>
      </c>
      <c r="BO304" s="92">
        <v>-9.6999999999999993</v>
      </c>
      <c r="BP304" s="92">
        <v>-11.9</v>
      </c>
      <c r="BQ304" s="92">
        <v>6.1</v>
      </c>
      <c r="BR304" s="92">
        <v>2.5</v>
      </c>
      <c r="BS304" s="92">
        <v>-3.7</v>
      </c>
      <c r="BT304" s="92">
        <v>-3.5</v>
      </c>
      <c r="BU304" s="92">
        <v>-4.5</v>
      </c>
      <c r="BV304" s="92">
        <v>12.3</v>
      </c>
      <c r="BW304" s="92">
        <v>-1.4</v>
      </c>
      <c r="BX304" s="92">
        <v>-11.2</v>
      </c>
      <c r="BY304" s="92">
        <v>-11.3</v>
      </c>
      <c r="BZ304" s="92">
        <v>103</v>
      </c>
      <c r="CA304" s="92">
        <v>-1.4</v>
      </c>
      <c r="CB304" s="92">
        <v>6.3</v>
      </c>
      <c r="CC304" s="92">
        <v>7.2</v>
      </c>
      <c r="CD304" s="92">
        <v>-9.9</v>
      </c>
      <c r="CE304" s="92">
        <v>-12.9</v>
      </c>
      <c r="CF304" s="92">
        <v>9.6999999999999993</v>
      </c>
      <c r="CG304" s="92">
        <v>19.7</v>
      </c>
      <c r="CH304" s="92">
        <v>15.1</v>
      </c>
      <c r="CI304" s="92">
        <v>10.5</v>
      </c>
      <c r="CJ304" s="92">
        <v>-6.2</v>
      </c>
      <c r="CK304" s="92">
        <v>3.7</v>
      </c>
      <c r="CL304" s="92">
        <v>26.1</v>
      </c>
      <c r="CM304" s="92">
        <v>3159.7749050000002</v>
      </c>
      <c r="CN304" s="92">
        <v>17776.8</v>
      </c>
      <c r="CO304" s="92">
        <v>2054.2663640000001</v>
      </c>
      <c r="CP304" s="92">
        <v>1.887</v>
      </c>
      <c r="CQ304" s="92">
        <v>2.2200000000000002</v>
      </c>
      <c r="CR304" s="92">
        <v>86.4</v>
      </c>
      <c r="CS304" s="64">
        <v>50.75</v>
      </c>
      <c r="CT304" s="92">
        <v>90.3</v>
      </c>
      <c r="CU304" s="92">
        <v>102.7</v>
      </c>
      <c r="CV304" s="92">
        <v>99.7</v>
      </c>
      <c r="CW304" s="92">
        <v>104.2</v>
      </c>
      <c r="CX304" s="92">
        <v>111</v>
      </c>
      <c r="CY304" s="92">
        <v>8.83</v>
      </c>
      <c r="CZ304" s="34">
        <v>43937.482000000004</v>
      </c>
      <c r="DA304" s="34">
        <v>4.3099999999999996</v>
      </c>
      <c r="DB304" s="34">
        <v>29.23</v>
      </c>
      <c r="DC304" s="34">
        <v>49.91</v>
      </c>
      <c r="DD304" s="34">
        <v>16.559999999999999</v>
      </c>
      <c r="DE304" s="34">
        <v>16538.098000000002</v>
      </c>
      <c r="DF304" s="92">
        <v>3437.6590000000001</v>
      </c>
      <c r="DG304" s="92">
        <v>1765.933</v>
      </c>
      <c r="DH304" s="92">
        <v>1314.5260000000001</v>
      </c>
      <c r="DI304" s="92">
        <v>6241.8209999999999</v>
      </c>
      <c r="DJ304" s="92">
        <v>100.069</v>
      </c>
      <c r="DK304" s="92">
        <v>100.0882</v>
      </c>
      <c r="DL304" s="92">
        <v>100.04</v>
      </c>
      <c r="DM304" s="92">
        <v>100.0573</v>
      </c>
      <c r="DN304" s="92">
        <v>99.659800000000004</v>
      </c>
      <c r="DO304" s="92">
        <v>99.6023</v>
      </c>
      <c r="DP304" s="92">
        <v>100.7193</v>
      </c>
      <c r="DQ304" s="92">
        <v>100.79089999999999</v>
      </c>
      <c r="DR304" s="92">
        <v>38643</v>
      </c>
      <c r="DS304" s="73">
        <v>30434</v>
      </c>
      <c r="DT304" s="73">
        <v>98.2</v>
      </c>
      <c r="DU304">
        <v>176.02394104003906</v>
      </c>
      <c r="DV304">
        <v>152.41960144042969</v>
      </c>
      <c r="DW304">
        <v>1137</v>
      </c>
      <c r="DX304">
        <v>166025</v>
      </c>
      <c r="DY304">
        <v>84.9</v>
      </c>
      <c r="DZ304" t="s">
        <v>312</v>
      </c>
    </row>
    <row r="305" spans="1:130" x14ac:dyDescent="0.25">
      <c r="A305" s="1">
        <v>42005</v>
      </c>
      <c r="B305" s="34">
        <v>99.8</v>
      </c>
      <c r="C305" s="111">
        <v>-0.05</v>
      </c>
      <c r="D305" s="34">
        <v>0.05</v>
      </c>
      <c r="E305" s="34">
        <v>0.08</v>
      </c>
      <c r="F305" s="34">
        <v>-0.08</v>
      </c>
      <c r="G305" s="34">
        <v>0.09</v>
      </c>
      <c r="H305" s="34">
        <v>0.39</v>
      </c>
      <c r="I305" s="34">
        <f>IF(ISNUMBER(C305),IF(ISNUMBER(H305),H305-C305,""),"")</f>
        <v>0.44</v>
      </c>
      <c r="J305" s="34">
        <f>IF(ISNUMBER(D305),IF(ISNUMBER(H305),H305-D305,""),"")</f>
        <v>0.34</v>
      </c>
      <c r="K305" s="34">
        <f>IF(ISNUMBER(H305),IF(ISNUMBER(E305),H305-E305,""),"")</f>
        <v>0.31</v>
      </c>
      <c r="L305" s="34">
        <f>IF(ISNUMBER(D305),IF(ISNUMBER(C305),D305-C305,""),"")</f>
        <v>0.1</v>
      </c>
      <c r="M305" s="34">
        <v>95.7</v>
      </c>
      <c r="N305" s="34">
        <v>9805.5499999999993</v>
      </c>
      <c r="O305" s="34">
        <v>24.06</v>
      </c>
      <c r="P305" s="64">
        <v>1586.4</v>
      </c>
      <c r="Q305" s="34">
        <f t="shared" si="56"/>
        <v>16.985010706638114</v>
      </c>
      <c r="R305" s="34">
        <v>2425.6</v>
      </c>
      <c r="S305" s="34">
        <f t="shared" si="57"/>
        <v>2597.0021413276227</v>
      </c>
      <c r="T305" s="34">
        <v>2454.9</v>
      </c>
      <c r="U305" s="34">
        <f t="shared" si="58"/>
        <v>2628.3725910064236</v>
      </c>
      <c r="V305" s="118">
        <v>217709</v>
      </c>
      <c r="W305" s="118">
        <v>6037612</v>
      </c>
      <c r="X305" s="119">
        <v>9745960</v>
      </c>
      <c r="Y305" s="119">
        <v>659488</v>
      </c>
      <c r="Z305" s="34">
        <v>96.1</v>
      </c>
      <c r="AA305" s="34">
        <v>89.5</v>
      </c>
      <c r="AB305" s="34">
        <v>86.4</v>
      </c>
      <c r="AC305" s="34">
        <v>89.8</v>
      </c>
      <c r="AD305" s="34">
        <v>42876</v>
      </c>
      <c r="AE305" s="34">
        <v>6.5</v>
      </c>
      <c r="AF305" s="34">
        <v>525</v>
      </c>
      <c r="AG305" s="34">
        <v>94</v>
      </c>
      <c r="AH305" s="34">
        <v>93.4</v>
      </c>
      <c r="AI305" s="64">
        <v>91.6</v>
      </c>
      <c r="AJ305" s="64">
        <v>93</v>
      </c>
      <c r="AK305" s="64">
        <v>172.07163399999999</v>
      </c>
      <c r="AL305" s="64">
        <v>81.3</v>
      </c>
      <c r="AM305" s="34">
        <v>95.62</v>
      </c>
      <c r="AN305" s="33">
        <v>129.83000000000001</v>
      </c>
      <c r="AO305" s="33">
        <v>101.93</v>
      </c>
      <c r="AP305" s="33">
        <v>42.46</v>
      </c>
      <c r="AQ305" s="34">
        <f t="shared" si="67"/>
        <v>0.46353711790393015</v>
      </c>
      <c r="AR305" s="34">
        <v>98.6</v>
      </c>
      <c r="AS305" s="34">
        <v>98.2</v>
      </c>
      <c r="AT305" s="34">
        <v>99.1</v>
      </c>
      <c r="AU305" s="34">
        <v>98.7</v>
      </c>
      <c r="AV305" s="34">
        <v>98.3</v>
      </c>
      <c r="AW305" s="34">
        <v>99.2</v>
      </c>
      <c r="AX305" s="34">
        <v>10.5</v>
      </c>
      <c r="AY305" s="34">
        <v>2.2999999999999998</v>
      </c>
      <c r="AZ305" s="34">
        <v>8.6999999999999993</v>
      </c>
      <c r="BA305" s="34">
        <v>4.3</v>
      </c>
      <c r="BB305" s="34">
        <v>99.5</v>
      </c>
      <c r="BC305" s="34">
        <v>99.1</v>
      </c>
      <c r="BD305" s="34">
        <v>100</v>
      </c>
      <c r="BE305" s="34">
        <v>22.4</v>
      </c>
      <c r="BF305" s="34">
        <v>48.4</v>
      </c>
      <c r="BG305" s="34">
        <v>22.5</v>
      </c>
      <c r="BH305" s="34">
        <v>150.9</v>
      </c>
      <c r="BI305" s="34">
        <v>19.600000000000001</v>
      </c>
      <c r="BJ305" s="34">
        <v>50.9</v>
      </c>
      <c r="BK305" s="34">
        <v>61.375265513013559</v>
      </c>
      <c r="BL305" s="34">
        <v>0.13</v>
      </c>
      <c r="BM305" s="34">
        <v>99.686999999999998</v>
      </c>
      <c r="BN305" s="34">
        <v>99.732600000000005</v>
      </c>
      <c r="BO305" s="34">
        <v>-8.8000000000000007</v>
      </c>
      <c r="BP305" s="34">
        <v>-10.8</v>
      </c>
      <c r="BQ305" s="34">
        <v>4.8</v>
      </c>
      <c r="BR305" s="34">
        <v>4.5</v>
      </c>
      <c r="BS305" s="34">
        <v>-4.7</v>
      </c>
      <c r="BT305" s="34">
        <v>-2.2000000000000002</v>
      </c>
      <c r="BU305" s="34">
        <v>-3</v>
      </c>
      <c r="BV305" s="34">
        <v>12.9</v>
      </c>
      <c r="BW305" s="34">
        <v>-0.5</v>
      </c>
      <c r="BX305" s="34">
        <v>-10</v>
      </c>
      <c r="BY305" s="34">
        <v>-11.7</v>
      </c>
      <c r="BZ305" s="34">
        <v>104.1</v>
      </c>
      <c r="CA305" s="34">
        <v>-0.5</v>
      </c>
      <c r="CB305" s="34">
        <v>7.2</v>
      </c>
      <c r="CC305" s="34">
        <v>8</v>
      </c>
      <c r="CD305" s="34">
        <v>-7.8</v>
      </c>
      <c r="CE305" s="34">
        <v>-11.5</v>
      </c>
      <c r="CF305" s="34">
        <v>0.3</v>
      </c>
      <c r="CG305" s="34">
        <v>12.3</v>
      </c>
      <c r="CH305" s="34">
        <v>13.5</v>
      </c>
      <c r="CI305" s="34">
        <v>13.1</v>
      </c>
      <c r="CJ305" s="34">
        <v>-5.6</v>
      </c>
      <c r="CK305" s="34">
        <v>6.7</v>
      </c>
      <c r="CL305" s="34">
        <v>27.4</v>
      </c>
      <c r="CM305" s="34">
        <v>3207.2583810000001</v>
      </c>
      <c r="CN305" s="34">
        <v>17823.07</v>
      </c>
      <c r="CO305" s="34">
        <v>2028.1785</v>
      </c>
      <c r="CP305" s="34">
        <v>1.7549999999999999</v>
      </c>
      <c r="CQ305" s="34">
        <v>2.17</v>
      </c>
      <c r="CR305" s="34">
        <v>91</v>
      </c>
      <c r="CS305" s="64">
        <v>53.6</v>
      </c>
      <c r="CT305" s="34">
        <v>92.1</v>
      </c>
      <c r="CU305" s="34">
        <v>104.4</v>
      </c>
      <c r="CV305" s="34">
        <v>97.7</v>
      </c>
      <c r="CW305" s="34">
        <v>103.7</v>
      </c>
      <c r="CX305" s="34">
        <v>108.2</v>
      </c>
      <c r="CY305" s="34">
        <v>8.76</v>
      </c>
      <c r="CZ305" s="34">
        <v>47183.254999999997</v>
      </c>
      <c r="DA305" s="34">
        <v>4.63</v>
      </c>
      <c r="DB305" s="34">
        <v>28.92</v>
      </c>
      <c r="DC305" s="34">
        <v>49.1</v>
      </c>
      <c r="DD305" s="34">
        <v>16.260000000000002</v>
      </c>
      <c r="DE305" s="34">
        <v>14187.316000000001</v>
      </c>
      <c r="DF305" s="34">
        <v>2478.3139999999999</v>
      </c>
      <c r="DG305" s="34">
        <v>1430.7539999999999</v>
      </c>
      <c r="DH305" s="34">
        <v>1382.683</v>
      </c>
      <c r="DI305" s="34">
        <v>5480.88</v>
      </c>
      <c r="DJ305" s="34">
        <v>100.1397</v>
      </c>
      <c r="DK305" s="34">
        <v>100.1768</v>
      </c>
      <c r="DL305" s="34">
        <v>100.13</v>
      </c>
      <c r="DM305" s="34">
        <v>100.1733</v>
      </c>
      <c r="DN305" s="34">
        <v>99.732600000000005</v>
      </c>
      <c r="DO305" s="34">
        <v>99.686999999999998</v>
      </c>
      <c r="DP305" s="34">
        <v>100.63120000000001</v>
      </c>
      <c r="DQ305" s="34">
        <v>100.694</v>
      </c>
      <c r="DR305" s="34">
        <v>49708</v>
      </c>
      <c r="DS305" s="73">
        <v>30508</v>
      </c>
      <c r="DT305" s="73">
        <v>98.5</v>
      </c>
      <c r="DU305">
        <v>168.9852294921875</v>
      </c>
      <c r="DV305">
        <v>201.27247619628906</v>
      </c>
      <c r="DW305">
        <v>782</v>
      </c>
      <c r="DX305">
        <v>177025</v>
      </c>
      <c r="DY305">
        <v>84.7</v>
      </c>
      <c r="DZ305" t="s">
        <v>312</v>
      </c>
    </row>
    <row r="306" spans="1:130" x14ac:dyDescent="0.25">
      <c r="A306" s="1">
        <v>42036</v>
      </c>
      <c r="B306" s="34">
        <v>100.2</v>
      </c>
      <c r="C306" s="111">
        <v>-0.04</v>
      </c>
      <c r="D306" s="34">
        <v>0.05</v>
      </c>
      <c r="E306" s="34">
        <v>0.06</v>
      </c>
      <c r="F306" s="34">
        <v>-0.16</v>
      </c>
      <c r="G306" s="34">
        <v>0.03</v>
      </c>
      <c r="H306" s="34">
        <v>0.3</v>
      </c>
      <c r="I306" s="34">
        <f>IF(ISNUMBER(C306),IF(ISNUMBER(H306),H306-C306,""),"")</f>
        <v>0.33999999999999997</v>
      </c>
      <c r="J306" s="34">
        <f>IF(ISNUMBER(D306),IF(ISNUMBER(H306),H306-D306,""),"")</f>
        <v>0.25</v>
      </c>
      <c r="K306" s="34">
        <f>IF(ISNUMBER(H306),IF(ISNUMBER(E306),H306-E306,""),"")</f>
        <v>0.24</v>
      </c>
      <c r="L306" s="34">
        <f>IF(ISNUMBER(D306),IF(ISNUMBER(C306),D306-C306,""),"")</f>
        <v>0.09</v>
      </c>
      <c r="M306" s="34">
        <v>95</v>
      </c>
      <c r="N306" s="34">
        <v>10828.01</v>
      </c>
      <c r="O306" s="34">
        <v>17.5</v>
      </c>
      <c r="P306" s="64">
        <v>1611.3</v>
      </c>
      <c r="Q306" s="34">
        <f t="shared" si="56"/>
        <v>17.214743589743591</v>
      </c>
      <c r="R306" s="34">
        <v>2451.9</v>
      </c>
      <c r="S306" s="34">
        <f t="shared" si="57"/>
        <v>2619.5512820512827</v>
      </c>
      <c r="T306" s="34">
        <v>2483.9</v>
      </c>
      <c r="U306" s="34">
        <f t="shared" si="58"/>
        <v>2653.7393162393164</v>
      </c>
      <c r="V306" s="118">
        <v>217247</v>
      </c>
      <c r="W306" s="118">
        <v>6091007</v>
      </c>
      <c r="X306" s="119">
        <v>9761926</v>
      </c>
      <c r="Y306" s="119">
        <v>676331</v>
      </c>
      <c r="Z306" s="34">
        <v>96.2</v>
      </c>
      <c r="AA306" s="34">
        <v>88.2</v>
      </c>
      <c r="AB306" s="34">
        <v>87.7</v>
      </c>
      <c r="AC306" s="34">
        <v>88.5</v>
      </c>
      <c r="AD306" s="34">
        <v>42905</v>
      </c>
      <c r="AE306" s="34">
        <v>6.5</v>
      </c>
      <c r="AF306" s="34">
        <v>533</v>
      </c>
      <c r="AG306" s="34">
        <v>94.3</v>
      </c>
      <c r="AH306" s="34">
        <v>93.6</v>
      </c>
      <c r="AI306" s="64">
        <v>92.6</v>
      </c>
      <c r="AJ306" s="64">
        <v>93.4</v>
      </c>
      <c r="AK306" s="64">
        <v>172.26694800000001</v>
      </c>
      <c r="AL306" s="64">
        <v>81.400000000000006</v>
      </c>
      <c r="AM306" s="34">
        <v>92.79</v>
      </c>
      <c r="AN306" s="33">
        <v>141.88999999999999</v>
      </c>
      <c r="AO306" s="33">
        <v>99.29</v>
      </c>
      <c r="AP306" s="33">
        <v>51.55</v>
      </c>
      <c r="AQ306" s="34">
        <f t="shared" si="67"/>
        <v>0.556695464362851</v>
      </c>
      <c r="AR306" s="34">
        <v>98.8</v>
      </c>
      <c r="AS306" s="34">
        <v>99.3</v>
      </c>
      <c r="AT306" s="34">
        <v>98.2</v>
      </c>
      <c r="AU306" s="34">
        <v>99.2</v>
      </c>
      <c r="AV306" s="34">
        <v>99.8</v>
      </c>
      <c r="AW306" s="34">
        <v>98.5</v>
      </c>
      <c r="AX306" s="34">
        <v>11.8</v>
      </c>
      <c r="AY306" s="34">
        <v>10.9</v>
      </c>
      <c r="AZ306" s="34">
        <v>11.7</v>
      </c>
      <c r="BA306" s="34">
        <v>4.9000000000000004</v>
      </c>
      <c r="BB306" s="34">
        <v>97.5</v>
      </c>
      <c r="BC306" s="34">
        <v>98.1</v>
      </c>
      <c r="BD306" s="34">
        <v>96.9</v>
      </c>
      <c r="BE306" s="34">
        <v>45.5</v>
      </c>
      <c r="BF306" s="34">
        <v>53</v>
      </c>
      <c r="BG306" s="34">
        <v>27.2</v>
      </c>
      <c r="BH306" s="34">
        <v>145.6</v>
      </c>
      <c r="BI306" s="34">
        <v>50.2</v>
      </c>
      <c r="BJ306" s="34">
        <v>51.1</v>
      </c>
      <c r="BK306" s="34">
        <v>61.172015372645554</v>
      </c>
      <c r="BL306" s="34">
        <v>0.14399999999999999</v>
      </c>
      <c r="BM306" s="34">
        <v>99.790800000000004</v>
      </c>
      <c r="BN306" s="34">
        <v>99.821700000000007</v>
      </c>
      <c r="BO306" s="34">
        <v>-8</v>
      </c>
      <c r="BP306" s="34">
        <v>-10.3</v>
      </c>
      <c r="BQ306" s="34">
        <v>5.0999999999999996</v>
      </c>
      <c r="BR306" s="34">
        <v>7</v>
      </c>
      <c r="BS306" s="34">
        <v>-1.1000000000000001</v>
      </c>
      <c r="BT306" s="34">
        <v>-0.8</v>
      </c>
      <c r="BU306" s="34">
        <v>-2</v>
      </c>
      <c r="BV306" s="34">
        <v>12.2</v>
      </c>
      <c r="BW306" s="34">
        <v>-0.1</v>
      </c>
      <c r="BX306" s="34">
        <v>-8.1</v>
      </c>
      <c r="BY306" s="34">
        <v>-11.6</v>
      </c>
      <c r="BZ306" s="34">
        <v>104.6</v>
      </c>
      <c r="CA306" s="34">
        <v>-0.1</v>
      </c>
      <c r="CB306" s="34">
        <v>7</v>
      </c>
      <c r="CC306" s="34">
        <v>8.1999999999999993</v>
      </c>
      <c r="CD306" s="34">
        <v>-2.8</v>
      </c>
      <c r="CE306" s="34">
        <v>-11.2</v>
      </c>
      <c r="CF306" s="34">
        <v>-7.1</v>
      </c>
      <c r="CG306" s="34">
        <v>11.4</v>
      </c>
      <c r="CH306" s="34">
        <v>11.8</v>
      </c>
      <c r="CI306" s="34">
        <v>16</v>
      </c>
      <c r="CJ306" s="34">
        <v>-4.5999999999999996</v>
      </c>
      <c r="CK306" s="34">
        <v>6.7</v>
      </c>
      <c r="CL306" s="34">
        <v>26.3</v>
      </c>
      <c r="CM306" s="34">
        <v>3453.7856499999998</v>
      </c>
      <c r="CN306" s="34">
        <v>17361.04</v>
      </c>
      <c r="CO306" s="34">
        <v>2082.1957889999999</v>
      </c>
      <c r="CP306" s="34">
        <v>1.3879999999999999</v>
      </c>
      <c r="CQ306" s="34">
        <v>1.68</v>
      </c>
      <c r="CR306" s="34">
        <v>88</v>
      </c>
      <c r="CS306" s="64">
        <v>53.11</v>
      </c>
      <c r="CT306" s="34">
        <v>95.1</v>
      </c>
      <c r="CU306" s="34">
        <v>105.7</v>
      </c>
      <c r="CV306" s="34">
        <v>98.7</v>
      </c>
      <c r="CW306" s="34">
        <v>100.3</v>
      </c>
      <c r="CX306" s="34">
        <v>109</v>
      </c>
      <c r="CY306" s="34">
        <v>9.2200000000000006</v>
      </c>
      <c r="CZ306" s="34">
        <v>48917.332000000002</v>
      </c>
      <c r="DA306" s="34">
        <v>5</v>
      </c>
      <c r="DB306" s="34">
        <v>29.43</v>
      </c>
      <c r="DC306" s="34">
        <v>49.61</v>
      </c>
      <c r="DD306" s="34">
        <v>16.420000000000002</v>
      </c>
      <c r="DE306" s="34">
        <v>15404.063</v>
      </c>
      <c r="DF306" s="34">
        <v>2999.491</v>
      </c>
      <c r="DG306" s="34">
        <v>1596.8420000000001</v>
      </c>
      <c r="DH306" s="34">
        <v>1389.0119999999999</v>
      </c>
      <c r="DI306" s="34">
        <v>5697.3329999999996</v>
      </c>
      <c r="DJ306" s="34">
        <v>100.21</v>
      </c>
      <c r="DK306" s="34">
        <v>100.26309999999999</v>
      </c>
      <c r="DL306" s="34">
        <v>100.23</v>
      </c>
      <c r="DM306" s="34">
        <v>100.29819999999999</v>
      </c>
      <c r="DN306" s="34">
        <v>99.821700000000007</v>
      </c>
      <c r="DO306" s="34">
        <v>99.790800000000004</v>
      </c>
      <c r="DP306" s="34">
        <v>100.5321</v>
      </c>
      <c r="DQ306" s="34">
        <v>100.58499999999999</v>
      </c>
      <c r="DR306" s="34">
        <v>52247</v>
      </c>
      <c r="DS306" s="73">
        <v>30571</v>
      </c>
      <c r="DT306" s="73">
        <v>98.6</v>
      </c>
      <c r="DU306">
        <v>155.09365844726563</v>
      </c>
      <c r="DV306">
        <v>161.298828125</v>
      </c>
      <c r="DW306">
        <v>590</v>
      </c>
      <c r="DX306">
        <v>248125</v>
      </c>
      <c r="DY306">
        <v>84.4</v>
      </c>
      <c r="DZ306" t="s">
        <v>312</v>
      </c>
    </row>
    <row r="307" spans="1:130" x14ac:dyDescent="0.25">
      <c r="A307" s="1">
        <v>42064</v>
      </c>
      <c r="B307" s="34">
        <v>100.3</v>
      </c>
      <c r="C307" s="111">
        <v>-0.05</v>
      </c>
      <c r="D307" s="34">
        <v>0.05</v>
      </c>
      <c r="E307" s="34">
        <v>0.05</v>
      </c>
      <c r="F307" s="34">
        <v>-0.17</v>
      </c>
      <c r="G307" s="34">
        <v>-0.02</v>
      </c>
      <c r="H307" s="34">
        <v>0.23</v>
      </c>
      <c r="I307" s="34">
        <f t="shared" ref="I307:I314" si="72">IF(ISNUMBER(C307),IF(ISNUMBER(H307),H307-C307,""),"")</f>
        <v>0.28000000000000003</v>
      </c>
      <c r="J307" s="34">
        <f t="shared" ref="J307:J315" si="73">IF(ISNUMBER(D307),IF(ISNUMBER(H307),H307-D307,""),"")</f>
        <v>0.18</v>
      </c>
      <c r="K307" s="34">
        <f t="shared" ref="K307:K314" si="74">IF(ISNUMBER(H307),IF(ISNUMBER(E307),H307-E307,""),"")</f>
        <v>0.18</v>
      </c>
      <c r="L307" s="34">
        <f t="shared" ref="L307:L314" si="75">IF(ISNUMBER(D307),IF(ISNUMBER(C307),D307-C307,""),"")</f>
        <v>0.1</v>
      </c>
      <c r="M307" s="34">
        <v>93.9</v>
      </c>
      <c r="N307" s="34">
        <v>11410.36</v>
      </c>
      <c r="O307" s="34">
        <v>22.05</v>
      </c>
      <c r="P307" s="64">
        <v>1626</v>
      </c>
      <c r="Q307" s="34">
        <f t="shared" si="56"/>
        <v>17.353255069370331</v>
      </c>
      <c r="R307" s="34">
        <v>2465.1</v>
      </c>
      <c r="S307" s="34">
        <f t="shared" si="57"/>
        <v>2630.8431163287087</v>
      </c>
      <c r="T307" s="34">
        <v>2498.1</v>
      </c>
      <c r="U307" s="34">
        <f t="shared" si="58"/>
        <v>2666.0618996798294</v>
      </c>
      <c r="V307" s="118">
        <v>215396</v>
      </c>
      <c r="W307" s="118">
        <v>6151855</v>
      </c>
      <c r="X307" s="119">
        <v>9815782</v>
      </c>
      <c r="Y307" s="119">
        <v>659683</v>
      </c>
      <c r="Z307" s="34">
        <v>96.3</v>
      </c>
      <c r="AA307" s="34">
        <v>88.9</v>
      </c>
      <c r="AB307" s="34">
        <v>84.3</v>
      </c>
      <c r="AC307" s="34">
        <v>89.7</v>
      </c>
      <c r="AD307" s="34">
        <v>42980</v>
      </c>
      <c r="AE307" s="34">
        <v>6.5</v>
      </c>
      <c r="AF307" s="34">
        <v>542</v>
      </c>
      <c r="AG307" s="34">
        <v>94.6</v>
      </c>
      <c r="AH307" s="34">
        <v>93.7</v>
      </c>
      <c r="AI307" s="64">
        <v>93.4</v>
      </c>
      <c r="AJ307" s="64">
        <v>93.9</v>
      </c>
      <c r="AK307" s="64">
        <v>172.46226200000001</v>
      </c>
      <c r="AL307" s="64">
        <v>82.2</v>
      </c>
      <c r="AM307" s="34">
        <v>90.49</v>
      </c>
      <c r="AN307" s="33">
        <v>137.03</v>
      </c>
      <c r="AO307" s="33">
        <v>96.68</v>
      </c>
      <c r="AP307" s="33">
        <v>52.24</v>
      </c>
      <c r="AQ307" s="34">
        <f t="shared" si="67"/>
        <v>0.55931477516059958</v>
      </c>
      <c r="AR307" s="34">
        <v>99.9</v>
      </c>
      <c r="AS307" s="34">
        <v>100.9</v>
      </c>
      <c r="AT307" s="34">
        <v>98.9</v>
      </c>
      <c r="AU307" s="34">
        <v>100.7</v>
      </c>
      <c r="AV307" s="34">
        <v>102.1</v>
      </c>
      <c r="AW307" s="34">
        <v>99.4</v>
      </c>
      <c r="AX307" s="34">
        <v>14.1</v>
      </c>
      <c r="AY307" s="34">
        <v>15.2</v>
      </c>
      <c r="AZ307" s="34">
        <v>16</v>
      </c>
      <c r="BA307" s="34">
        <v>13.5</v>
      </c>
      <c r="BB307" s="34">
        <v>98.5</v>
      </c>
      <c r="BC307" s="34">
        <v>98.1</v>
      </c>
      <c r="BD307" s="34">
        <v>98.9</v>
      </c>
      <c r="BE307" s="34">
        <v>55.1</v>
      </c>
      <c r="BF307" s="34">
        <v>54.8</v>
      </c>
      <c r="BG307" s="34">
        <v>36.799999999999997</v>
      </c>
      <c r="BH307" s="34">
        <v>143.19999999999999</v>
      </c>
      <c r="BI307" s="34">
        <v>43.8</v>
      </c>
      <c r="BJ307" s="34">
        <v>52.8</v>
      </c>
      <c r="BK307" s="34">
        <v>64.301508220546665</v>
      </c>
      <c r="BL307" s="34">
        <v>0.183</v>
      </c>
      <c r="BM307" s="34">
        <v>99.896199999999993</v>
      </c>
      <c r="BN307" s="34">
        <v>99.912300000000002</v>
      </c>
      <c r="BO307" s="34">
        <v>-4.8</v>
      </c>
      <c r="BP307" s="34">
        <v>-10.3</v>
      </c>
      <c r="BQ307" s="34">
        <v>5.3</v>
      </c>
      <c r="BR307" s="34">
        <v>10</v>
      </c>
      <c r="BS307" s="34">
        <v>-0.5</v>
      </c>
      <c r="BT307" s="34">
        <v>1</v>
      </c>
      <c r="BU307" s="34">
        <v>-0.1</v>
      </c>
      <c r="BV307" s="34">
        <v>15.1</v>
      </c>
      <c r="BW307" s="34">
        <v>0.5</v>
      </c>
      <c r="BX307" s="34">
        <v>-6</v>
      </c>
      <c r="BY307" s="34">
        <v>-12.1</v>
      </c>
      <c r="BZ307" s="34">
        <v>106.3</v>
      </c>
      <c r="CA307" s="34">
        <v>0.5</v>
      </c>
      <c r="CB307" s="34">
        <v>8.1999999999999993</v>
      </c>
      <c r="CC307" s="34">
        <v>8.5</v>
      </c>
      <c r="CD307" s="34">
        <v>0.9</v>
      </c>
      <c r="CE307" s="34">
        <v>-9.3000000000000007</v>
      </c>
      <c r="CF307" s="34">
        <v>-3</v>
      </c>
      <c r="CG307" s="34">
        <v>15.3</v>
      </c>
      <c r="CH307" s="34">
        <v>10.3</v>
      </c>
      <c r="CI307" s="34">
        <v>19.2</v>
      </c>
      <c r="CJ307" s="34">
        <v>-5.6</v>
      </c>
      <c r="CK307" s="34">
        <v>6.9</v>
      </c>
      <c r="CL307" s="34">
        <v>26.8</v>
      </c>
      <c r="CM307" s="34">
        <v>3655.3062730000001</v>
      </c>
      <c r="CN307" s="34">
        <v>18288.63</v>
      </c>
      <c r="CO307" s="34">
        <v>2079.9904550000001</v>
      </c>
      <c r="CP307" s="34">
        <v>1.8140000000000001</v>
      </c>
      <c r="CQ307" s="34">
        <v>2.08</v>
      </c>
      <c r="CR307" s="34">
        <v>85.3</v>
      </c>
      <c r="CS307" s="64">
        <v>53.73</v>
      </c>
      <c r="CT307" s="34">
        <v>96.2</v>
      </c>
      <c r="CU307" s="34">
        <v>107.5</v>
      </c>
      <c r="CV307" s="34">
        <v>99.7</v>
      </c>
      <c r="CW307" s="34">
        <v>102.2</v>
      </c>
      <c r="CX307" s="34">
        <v>108.8</v>
      </c>
      <c r="CY307" s="34">
        <v>9.3800000000000008</v>
      </c>
      <c r="CZ307" s="34">
        <v>53532.523999999998</v>
      </c>
      <c r="DA307" s="34">
        <v>4.99</v>
      </c>
      <c r="DB307" s="34">
        <v>29.36</v>
      </c>
      <c r="DC307" s="34">
        <v>48.97</v>
      </c>
      <c r="DD307" s="34">
        <v>16.79</v>
      </c>
      <c r="DE307" s="34">
        <v>17606.240000000002</v>
      </c>
      <c r="DF307" s="34">
        <v>3057.3879999999999</v>
      </c>
      <c r="DG307" s="34">
        <v>1895.1379999999999</v>
      </c>
      <c r="DH307" s="34">
        <v>1504.653</v>
      </c>
      <c r="DI307" s="34">
        <v>6649.9790000000003</v>
      </c>
      <c r="DJ307" s="34">
        <v>100.2723</v>
      </c>
      <c r="DK307" s="34">
        <v>100.33750000000001</v>
      </c>
      <c r="DL307" s="34">
        <v>100.33</v>
      </c>
      <c r="DM307" s="34">
        <v>100.4239</v>
      </c>
      <c r="DN307" s="34">
        <v>99.912300000000002</v>
      </c>
      <c r="DO307" s="34">
        <v>99.896199999999993</v>
      </c>
      <c r="DP307" s="34">
        <v>100.4346</v>
      </c>
      <c r="DQ307" s="34">
        <v>100.4778</v>
      </c>
      <c r="DR307" s="34">
        <v>50410</v>
      </c>
      <c r="DS307" s="73">
        <v>30659</v>
      </c>
      <c r="DT307" s="73">
        <v>99.9</v>
      </c>
      <c r="DU307">
        <v>131.74543762207031</v>
      </c>
      <c r="DV307">
        <v>80.555389404296875</v>
      </c>
      <c r="DW307">
        <v>548</v>
      </c>
      <c r="DX307">
        <v>297400</v>
      </c>
      <c r="DY307">
        <v>84.6</v>
      </c>
      <c r="DZ307" t="s">
        <v>312</v>
      </c>
    </row>
    <row r="308" spans="1:130" s="23" customFormat="1" x14ac:dyDescent="0.25">
      <c r="A308" s="89">
        <v>42095</v>
      </c>
      <c r="B308" s="64">
        <v>101</v>
      </c>
      <c r="C308" s="110">
        <v>-7.0000000000000007E-2</v>
      </c>
      <c r="D308" s="64">
        <v>0.05</v>
      </c>
      <c r="E308" s="64">
        <v>0.03</v>
      </c>
      <c r="F308" s="64">
        <v>-0.19</v>
      </c>
      <c r="G308" s="64">
        <v>-0.06</v>
      </c>
      <c r="H308" s="64">
        <v>0.12</v>
      </c>
      <c r="I308" s="64">
        <f t="shared" si="72"/>
        <v>0.19</v>
      </c>
      <c r="J308" s="64">
        <f t="shared" si="73"/>
        <v>6.9999999999999993E-2</v>
      </c>
      <c r="K308" s="64">
        <f t="shared" si="74"/>
        <v>0.09</v>
      </c>
      <c r="L308" s="64">
        <f t="shared" si="75"/>
        <v>0.12000000000000001</v>
      </c>
      <c r="M308" s="64">
        <v>93.6</v>
      </c>
      <c r="N308" s="64">
        <v>12001.38</v>
      </c>
      <c r="O308" s="64">
        <v>25.62</v>
      </c>
      <c r="P308" s="64">
        <v>1649</v>
      </c>
      <c r="Q308" s="34">
        <f t="shared" si="56"/>
        <v>17.598719316969049</v>
      </c>
      <c r="R308" s="34">
        <v>2489.5</v>
      </c>
      <c r="S308" s="34">
        <f t="shared" si="57"/>
        <v>2656.8836712913553</v>
      </c>
      <c r="T308" s="34">
        <v>2528.3000000000002</v>
      </c>
      <c r="U308" s="34">
        <f t="shared" si="58"/>
        <v>2698.2924226254004</v>
      </c>
      <c r="V308" s="118">
        <v>212874</v>
      </c>
      <c r="W308" s="118">
        <v>6206168</v>
      </c>
      <c r="X308" s="119">
        <v>9865617</v>
      </c>
      <c r="Y308" s="119">
        <v>679486</v>
      </c>
      <c r="Z308" s="64">
        <v>97</v>
      </c>
      <c r="AA308" s="64">
        <v>90.4</v>
      </c>
      <c r="AB308" s="64">
        <v>87</v>
      </c>
      <c r="AC308" s="64">
        <v>92.7</v>
      </c>
      <c r="AD308" s="64">
        <v>43036</v>
      </c>
      <c r="AE308" s="64">
        <v>6.5</v>
      </c>
      <c r="AF308" s="64">
        <v>548</v>
      </c>
      <c r="AG308" s="64">
        <v>94.6</v>
      </c>
      <c r="AH308" s="64">
        <v>93.7</v>
      </c>
      <c r="AI308" s="64">
        <v>93.8</v>
      </c>
      <c r="AJ308" s="64">
        <v>94</v>
      </c>
      <c r="AK308" s="64">
        <v>172.65757600000001</v>
      </c>
      <c r="AL308" s="64">
        <v>82.6</v>
      </c>
      <c r="AM308" s="64">
        <v>90.33</v>
      </c>
      <c r="AN308" s="33">
        <v>141.91</v>
      </c>
      <c r="AO308" s="33">
        <v>96.14</v>
      </c>
      <c r="AP308" s="33">
        <v>55.71</v>
      </c>
      <c r="AQ308" s="64">
        <f t="shared" si="67"/>
        <v>0.59392324093816629</v>
      </c>
      <c r="AR308" s="64">
        <v>101.3</v>
      </c>
      <c r="AS308" s="64">
        <v>101.6</v>
      </c>
      <c r="AT308" s="64">
        <v>101</v>
      </c>
      <c r="AU308" s="64">
        <v>102.2</v>
      </c>
      <c r="AV308" s="64">
        <v>102.6</v>
      </c>
      <c r="AW308" s="64">
        <v>101.8</v>
      </c>
      <c r="AX308" s="64">
        <v>17.100000000000001</v>
      </c>
      <c r="AY308" s="64">
        <v>12.3</v>
      </c>
      <c r="AZ308" s="64">
        <v>13.6</v>
      </c>
      <c r="BA308" s="64">
        <v>9.4</v>
      </c>
      <c r="BB308" s="64">
        <v>100.6</v>
      </c>
      <c r="BC308" s="64">
        <v>101.1</v>
      </c>
      <c r="BD308" s="64">
        <v>100.1</v>
      </c>
      <c r="BE308" s="64">
        <v>70.2</v>
      </c>
      <c r="BF308" s="64">
        <v>53.3</v>
      </c>
      <c r="BG308" s="64">
        <v>35.299999999999997</v>
      </c>
      <c r="BH308" s="64">
        <v>138.80000000000001</v>
      </c>
      <c r="BI308" s="64">
        <v>26.1</v>
      </c>
      <c r="BJ308" s="34">
        <v>52.1</v>
      </c>
      <c r="BK308" s="64">
        <v>65.8935176546684</v>
      </c>
      <c r="BL308" s="64">
        <v>0.23599999999999999</v>
      </c>
      <c r="BM308" s="64">
        <v>99.981999999999999</v>
      </c>
      <c r="BN308" s="64">
        <v>99.986000000000004</v>
      </c>
      <c r="BO308" s="64">
        <v>-4.5999999999999996</v>
      </c>
      <c r="BP308" s="64">
        <v>-8.6</v>
      </c>
      <c r="BQ308" s="64">
        <v>4.4000000000000004</v>
      </c>
      <c r="BR308" s="64">
        <v>8</v>
      </c>
      <c r="BS308" s="64">
        <v>1.7</v>
      </c>
      <c r="BT308" s="64">
        <v>1.9</v>
      </c>
      <c r="BU308" s="64">
        <v>-0.3</v>
      </c>
      <c r="BV308" s="64">
        <v>15.2</v>
      </c>
      <c r="BW308" s="64">
        <v>0.7</v>
      </c>
      <c r="BX308" s="64">
        <v>-4.3</v>
      </c>
      <c r="BY308" s="64">
        <v>-9.4</v>
      </c>
      <c r="BZ308" s="64">
        <v>106.6</v>
      </c>
      <c r="CA308" s="64">
        <v>0.7</v>
      </c>
      <c r="CB308" s="64">
        <v>9.4</v>
      </c>
      <c r="CC308" s="64">
        <v>8.5</v>
      </c>
      <c r="CD308" s="64">
        <v>-0.3</v>
      </c>
      <c r="CE308" s="64">
        <v>-10.3</v>
      </c>
      <c r="CF308" s="64">
        <v>3</v>
      </c>
      <c r="CG308" s="64">
        <v>17.600000000000001</v>
      </c>
      <c r="CH308" s="64">
        <v>10.9</v>
      </c>
      <c r="CI308" s="64">
        <v>14.7</v>
      </c>
      <c r="CJ308" s="64">
        <v>-5</v>
      </c>
      <c r="CK308" s="64">
        <v>7</v>
      </c>
      <c r="CL308" s="64">
        <v>27.2</v>
      </c>
      <c r="CM308" s="64">
        <v>3733.8009000000002</v>
      </c>
      <c r="CN308" s="64">
        <v>17698.18</v>
      </c>
      <c r="CO308" s="64">
        <v>2094.8628570000001</v>
      </c>
      <c r="CP308" s="64">
        <v>1.5660000000000001</v>
      </c>
      <c r="CQ308" s="64">
        <v>1.87</v>
      </c>
      <c r="CR308" s="64">
        <v>88.8</v>
      </c>
      <c r="CS308" s="64">
        <v>54.91</v>
      </c>
      <c r="CT308" s="64">
        <v>96.2</v>
      </c>
      <c r="CU308" s="64">
        <v>109.1</v>
      </c>
      <c r="CV308" s="64">
        <v>100.9</v>
      </c>
      <c r="CW308" s="64">
        <v>103.4</v>
      </c>
      <c r="CX308" s="64">
        <v>110.1</v>
      </c>
      <c r="CY308" s="64">
        <v>9.9700000000000006</v>
      </c>
      <c r="CZ308" s="64">
        <v>49677.004999999997</v>
      </c>
      <c r="DA308" s="64">
        <v>5.43</v>
      </c>
      <c r="DB308" s="64">
        <v>30.11</v>
      </c>
      <c r="DC308" s="64">
        <v>49.22</v>
      </c>
      <c r="DD308" s="64">
        <v>16.64</v>
      </c>
      <c r="DE308" s="64">
        <v>17143.859</v>
      </c>
      <c r="DF308" s="64">
        <v>3679.922</v>
      </c>
      <c r="DG308" s="64">
        <v>1767.4749999999999</v>
      </c>
      <c r="DH308" s="64">
        <v>1305.653</v>
      </c>
      <c r="DI308" s="64">
        <v>6316.36</v>
      </c>
      <c r="DJ308" s="64">
        <v>100.3143</v>
      </c>
      <c r="DK308" s="64">
        <v>100.384</v>
      </c>
      <c r="DL308" s="64">
        <v>100.41</v>
      </c>
      <c r="DM308" s="64">
        <v>100.51909999999999</v>
      </c>
      <c r="DN308" s="64">
        <v>99.986000000000004</v>
      </c>
      <c r="DO308" s="64">
        <v>99.981999999999999</v>
      </c>
      <c r="DP308" s="64">
        <v>100.3394</v>
      </c>
      <c r="DQ308" s="64">
        <v>100.37309999999999</v>
      </c>
      <c r="DR308" s="64">
        <v>53581</v>
      </c>
      <c r="DS308" s="73">
        <v>30715</v>
      </c>
      <c r="DT308" s="95">
        <v>100.2</v>
      </c>
      <c r="DU308">
        <v>147.32095336914063</v>
      </c>
      <c r="DV308">
        <v>105.49148559570313</v>
      </c>
      <c r="DW308" s="23">
        <v>596</v>
      </c>
      <c r="DX308" s="23">
        <v>333550</v>
      </c>
      <c r="DY308" s="23">
        <v>84.5</v>
      </c>
      <c r="DZ308" t="s">
        <v>312</v>
      </c>
    </row>
    <row r="309" spans="1:130" x14ac:dyDescent="0.25">
      <c r="A309" s="1">
        <v>42125</v>
      </c>
      <c r="B309" s="34">
        <v>101.2</v>
      </c>
      <c r="C309" s="111">
        <v>-0.11</v>
      </c>
      <c r="D309" s="34">
        <v>0.05</v>
      </c>
      <c r="E309" s="34">
        <v>0.01</v>
      </c>
      <c r="F309" s="34">
        <v>-0.05</v>
      </c>
      <c r="G309" s="34">
        <v>0.22</v>
      </c>
      <c r="H309" s="34">
        <v>0.56000000000000005</v>
      </c>
      <c r="I309" s="34">
        <f>IF(ISNUMBER(C309),IF(ISNUMBER(H309),H309-C309,""),"")</f>
        <v>0.67</v>
      </c>
      <c r="J309" s="34">
        <f>IF(ISNUMBER(D309),IF(ISNUMBER(H309),H309-D309,""),"")</f>
        <v>0.51</v>
      </c>
      <c r="K309" s="34">
        <f>IF(ISNUMBER(H309),IF(ISNUMBER(E309),H309-E309,""),"")</f>
        <v>0.55000000000000004</v>
      </c>
      <c r="L309" s="34">
        <f>IF(ISNUMBER(D309),IF(ISNUMBER(C309),D309-C309,""),"")</f>
        <v>0.16</v>
      </c>
      <c r="M309" s="34">
        <v>94.2</v>
      </c>
      <c r="N309" s="34">
        <v>11454.38</v>
      </c>
      <c r="O309" s="34">
        <v>25.7</v>
      </c>
      <c r="P309" s="64">
        <v>1672.4</v>
      </c>
      <c r="Q309" s="34">
        <f t="shared" si="56"/>
        <v>17.810436634717785</v>
      </c>
      <c r="R309" s="34">
        <v>2508.1999999999998</v>
      </c>
      <c r="S309" s="34">
        <f t="shared" si="57"/>
        <v>2671.1395101171456</v>
      </c>
      <c r="T309" s="34">
        <v>2540.9</v>
      </c>
      <c r="U309" s="34">
        <f t="shared" si="58"/>
        <v>2705.9637912673056</v>
      </c>
      <c r="V309" s="118">
        <v>210138</v>
      </c>
      <c r="W309" s="118">
        <v>6271825</v>
      </c>
      <c r="X309" s="119">
        <v>9909778</v>
      </c>
      <c r="Y309" s="119">
        <v>652019</v>
      </c>
      <c r="Z309" s="34">
        <v>96.7</v>
      </c>
      <c r="AA309" s="34">
        <v>89.4</v>
      </c>
      <c r="AB309" s="34">
        <v>87.9</v>
      </c>
      <c r="AC309" s="34">
        <v>90.2</v>
      </c>
      <c r="AD309" s="34">
        <v>43070</v>
      </c>
      <c r="AE309" s="34">
        <v>6.4</v>
      </c>
      <c r="AF309" s="34">
        <v>554</v>
      </c>
      <c r="AG309" s="34">
        <v>94.8</v>
      </c>
      <c r="AH309" s="34">
        <v>93.9</v>
      </c>
      <c r="AI309" s="64">
        <v>93.8</v>
      </c>
      <c r="AJ309" s="64">
        <v>93.8</v>
      </c>
      <c r="AK309" s="64">
        <v>172.65757600000001</v>
      </c>
      <c r="AL309" s="64">
        <v>82.9</v>
      </c>
      <c r="AM309" s="34">
        <v>93.01</v>
      </c>
      <c r="AN309" s="33">
        <v>150.56</v>
      </c>
      <c r="AO309" s="33">
        <v>97.66</v>
      </c>
      <c r="AP309" s="33">
        <v>58.56</v>
      </c>
      <c r="AQ309" s="34">
        <f t="shared" si="67"/>
        <v>0.62430703624733475</v>
      </c>
      <c r="AR309" s="34">
        <v>100.9</v>
      </c>
      <c r="AS309" s="34">
        <v>100.7</v>
      </c>
      <c r="AT309" s="34">
        <v>101.1</v>
      </c>
      <c r="AU309" s="34">
        <v>101.4</v>
      </c>
      <c r="AV309" s="34">
        <v>100.7</v>
      </c>
      <c r="AW309" s="34">
        <v>102.1</v>
      </c>
      <c r="AX309" s="34">
        <v>16.899999999999999</v>
      </c>
      <c r="AY309" s="34">
        <v>11.3</v>
      </c>
      <c r="AZ309" s="34">
        <v>14.3</v>
      </c>
      <c r="BA309" s="34">
        <v>8.6999999999999993</v>
      </c>
      <c r="BB309" s="34">
        <v>100.2</v>
      </c>
      <c r="BC309" s="34">
        <v>100.8</v>
      </c>
      <c r="BD309" s="34">
        <v>99.5</v>
      </c>
      <c r="BE309" s="34">
        <v>65.7</v>
      </c>
      <c r="BF309" s="34">
        <v>41.9</v>
      </c>
      <c r="BG309" s="34">
        <v>38.299999999999997</v>
      </c>
      <c r="BH309" s="34">
        <v>141.1</v>
      </c>
      <c r="BI309" s="34">
        <v>7.6</v>
      </c>
      <c r="BJ309" s="34">
        <v>51.1</v>
      </c>
      <c r="BK309" s="34">
        <v>70.247854899889262</v>
      </c>
      <c r="BL309" s="34">
        <v>0.27500000000000002</v>
      </c>
      <c r="BM309" s="34">
        <v>100.0309</v>
      </c>
      <c r="BN309" s="34">
        <v>100.02800000000001</v>
      </c>
      <c r="BO309" s="34">
        <v>-6.3</v>
      </c>
      <c r="BP309" s="34">
        <v>-8.1</v>
      </c>
      <c r="BQ309" s="34">
        <v>5</v>
      </c>
      <c r="BR309" s="34">
        <v>8.6999999999999993</v>
      </c>
      <c r="BS309" s="34">
        <v>0.9</v>
      </c>
      <c r="BT309" s="34">
        <v>1.8</v>
      </c>
      <c r="BU309" s="34">
        <v>-0.9</v>
      </c>
      <c r="BV309" s="34">
        <v>17</v>
      </c>
      <c r="BW309" s="34">
        <v>0.1</v>
      </c>
      <c r="BX309" s="34">
        <v>-3.9</v>
      </c>
      <c r="BY309" s="34">
        <v>-11.5</v>
      </c>
      <c r="BZ309" s="34">
        <v>106.6</v>
      </c>
      <c r="CA309" s="34">
        <v>0.1</v>
      </c>
      <c r="CB309" s="34">
        <v>8.6999999999999993</v>
      </c>
      <c r="CC309" s="34">
        <v>8.8000000000000007</v>
      </c>
      <c r="CD309" s="34">
        <v>0.8</v>
      </c>
      <c r="CE309" s="34">
        <v>-10.199999999999999</v>
      </c>
      <c r="CF309" s="34">
        <v>6.6</v>
      </c>
      <c r="CG309" s="34">
        <v>21.9</v>
      </c>
      <c r="CH309" s="34">
        <v>12.5</v>
      </c>
      <c r="CI309" s="34">
        <v>17.3</v>
      </c>
      <c r="CJ309" s="34">
        <v>-6.9</v>
      </c>
      <c r="CK309" s="34">
        <v>5.9</v>
      </c>
      <c r="CL309" s="34">
        <v>27.7</v>
      </c>
      <c r="CM309" s="34">
        <v>3617.8646669999998</v>
      </c>
      <c r="CN309" s="34">
        <v>18024.05</v>
      </c>
      <c r="CO309" s="34">
        <v>2111.9434999999999</v>
      </c>
      <c r="CP309" s="34">
        <v>1.85</v>
      </c>
      <c r="CQ309" s="34">
        <v>2.12</v>
      </c>
      <c r="CR309" s="34">
        <v>84.2</v>
      </c>
      <c r="CS309" s="64">
        <v>55.32</v>
      </c>
      <c r="CT309" s="34">
        <v>96</v>
      </c>
      <c r="CU309" s="34">
        <v>109.2</v>
      </c>
      <c r="CV309" s="34">
        <v>100.9</v>
      </c>
      <c r="CW309" s="34">
        <v>104.1</v>
      </c>
      <c r="CX309" s="34">
        <v>109.7</v>
      </c>
      <c r="CY309" s="34">
        <v>9.75</v>
      </c>
      <c r="CZ309" s="34">
        <v>49262.468000000001</v>
      </c>
      <c r="DA309" s="34">
        <v>4.79</v>
      </c>
      <c r="DB309" s="34">
        <v>30.22</v>
      </c>
      <c r="DC309" s="34">
        <v>51.84</v>
      </c>
      <c r="DD309" s="34">
        <v>16.93</v>
      </c>
      <c r="DE309" s="34">
        <v>15232.302</v>
      </c>
      <c r="DF309" s="34">
        <v>3144.08</v>
      </c>
      <c r="DG309" s="34">
        <v>1682.279</v>
      </c>
      <c r="DH309" s="34">
        <v>1164.1559999999999</v>
      </c>
      <c r="DI309" s="34">
        <v>5511.5990000000002</v>
      </c>
      <c r="DJ309" s="34">
        <v>100.3154</v>
      </c>
      <c r="DK309" s="34">
        <v>100.3776</v>
      </c>
      <c r="DL309" s="34">
        <v>100.42</v>
      </c>
      <c r="DM309" s="34">
        <v>100.53360000000001</v>
      </c>
      <c r="DN309" s="34">
        <v>100.02800000000001</v>
      </c>
      <c r="DO309" s="34">
        <v>100.0309</v>
      </c>
      <c r="DP309" s="34">
        <v>100.2389</v>
      </c>
      <c r="DQ309" s="34">
        <v>100.2624</v>
      </c>
      <c r="DR309" s="34">
        <v>43644</v>
      </c>
      <c r="DS309" s="73">
        <v>30755</v>
      </c>
      <c r="DT309" s="73">
        <v>100.1</v>
      </c>
      <c r="DU309">
        <v>165.58476257324219</v>
      </c>
      <c r="DV309">
        <v>113.39719390869141</v>
      </c>
      <c r="DW309">
        <v>587</v>
      </c>
      <c r="DX309">
        <v>341325</v>
      </c>
      <c r="DY309">
        <v>86.1</v>
      </c>
      <c r="DZ309" t="s">
        <v>312</v>
      </c>
    </row>
    <row r="310" spans="1:130" s="56" customFormat="1" x14ac:dyDescent="0.25">
      <c r="A310" s="53">
        <v>42156</v>
      </c>
      <c r="B310" s="54">
        <v>100.9</v>
      </c>
      <c r="C310" s="112">
        <v>-0.12</v>
      </c>
      <c r="D310" s="98">
        <v>0.05</v>
      </c>
      <c r="E310" s="54">
        <v>-0.01</v>
      </c>
      <c r="F310" s="54">
        <v>-0.01</v>
      </c>
      <c r="G310" s="54">
        <v>0.35</v>
      </c>
      <c r="H310" s="54">
        <v>0.79</v>
      </c>
      <c r="I310" s="54">
        <f>IF(ISNUMBER(C310),IF(ISNUMBER(H310),H310-C310,""),"")</f>
        <v>0.91</v>
      </c>
      <c r="J310" s="54">
        <f>IF(ISNUMBER(D310),IF(ISNUMBER(H310),H310-D310,""),"")</f>
        <v>0.74</v>
      </c>
      <c r="K310" s="54">
        <f>IF(ISNUMBER(H310),IF(ISNUMBER(E310),H310-E310,""),"")</f>
        <v>0.8</v>
      </c>
      <c r="L310" s="54">
        <f>IF(ISNUMBER(D310),IF(ISNUMBER(C310),D310-C310,""),"")</f>
        <v>0.16999999999999998</v>
      </c>
      <c r="M310" s="54">
        <v>94.4</v>
      </c>
      <c r="N310" s="54">
        <v>11436.05</v>
      </c>
      <c r="O310" s="54">
        <v>28.4</v>
      </c>
      <c r="P310" s="64">
        <v>1683.5</v>
      </c>
      <c r="Q310" s="34">
        <f t="shared" si="56"/>
        <v>17.966915688367127</v>
      </c>
      <c r="R310" s="34">
        <v>2516.3000000000002</v>
      </c>
      <c r="S310" s="34">
        <f t="shared" si="57"/>
        <v>2685.4855923159016</v>
      </c>
      <c r="T310" s="34">
        <v>2547.6999999999998</v>
      </c>
      <c r="U310" s="34">
        <f t="shared" si="58"/>
        <v>2718.9967982924222</v>
      </c>
      <c r="V310" s="118">
        <v>211769</v>
      </c>
      <c r="W310" s="118">
        <v>6325590</v>
      </c>
      <c r="X310" s="119">
        <v>9947884</v>
      </c>
      <c r="Y310" s="119">
        <v>634874</v>
      </c>
      <c r="Z310" s="54">
        <v>97.8</v>
      </c>
      <c r="AA310" s="54">
        <v>91.9</v>
      </c>
      <c r="AB310" s="54">
        <v>87.8</v>
      </c>
      <c r="AC310" s="54">
        <v>94.4</v>
      </c>
      <c r="AD310" s="54">
        <v>43120</v>
      </c>
      <c r="AE310" s="54">
        <v>6.4</v>
      </c>
      <c r="AF310" s="54">
        <v>563</v>
      </c>
      <c r="AG310" s="54">
        <v>94.7</v>
      </c>
      <c r="AH310" s="54">
        <v>93.7</v>
      </c>
      <c r="AI310" s="64">
        <v>93.5</v>
      </c>
      <c r="AJ310" s="64">
        <v>93.8</v>
      </c>
      <c r="AK310" s="64">
        <v>172.46226200000001</v>
      </c>
      <c r="AL310" s="64">
        <v>82.4</v>
      </c>
      <c r="AM310" s="54">
        <v>89.61</v>
      </c>
      <c r="AN310" s="33">
        <v>148.38999999999999</v>
      </c>
      <c r="AO310" s="33">
        <v>96.15</v>
      </c>
      <c r="AP310" s="33">
        <v>56.34</v>
      </c>
      <c r="AQ310" s="54">
        <f t="shared" si="67"/>
        <v>0.60256684491978618</v>
      </c>
      <c r="AR310" s="54">
        <v>99.8</v>
      </c>
      <c r="AS310" s="54">
        <v>99.1</v>
      </c>
      <c r="AT310" s="54">
        <v>100.4</v>
      </c>
      <c r="AU310" s="54">
        <v>99.8</v>
      </c>
      <c r="AV310" s="54">
        <v>98.9</v>
      </c>
      <c r="AW310" s="54">
        <v>100.7</v>
      </c>
      <c r="AX310" s="54">
        <v>15.6</v>
      </c>
      <c r="AY310" s="54">
        <v>9.6</v>
      </c>
      <c r="AZ310" s="54">
        <v>12.9</v>
      </c>
      <c r="BA310" s="54">
        <v>7.7</v>
      </c>
      <c r="BB310" s="54">
        <v>98.6</v>
      </c>
      <c r="BC310" s="54">
        <v>98.6</v>
      </c>
      <c r="BD310" s="54">
        <v>98.7</v>
      </c>
      <c r="BE310" s="54">
        <v>62.9</v>
      </c>
      <c r="BF310" s="54">
        <v>31.5</v>
      </c>
      <c r="BG310" s="54">
        <v>24.9</v>
      </c>
      <c r="BH310" s="54">
        <v>150</v>
      </c>
      <c r="BI310" s="54">
        <v>2.2000000000000002</v>
      </c>
      <c r="BJ310" s="34">
        <v>51.9</v>
      </c>
      <c r="BK310" s="54">
        <v>66.135281141347974</v>
      </c>
      <c r="BL310" s="54">
        <v>0.35799999999999998</v>
      </c>
      <c r="BM310" s="54">
        <v>100.0391</v>
      </c>
      <c r="BN310" s="54">
        <v>100.0351</v>
      </c>
      <c r="BO310" s="54">
        <v>-6.7</v>
      </c>
      <c r="BP310" s="54">
        <v>-9.5</v>
      </c>
      <c r="BQ310" s="54">
        <v>4.8</v>
      </c>
      <c r="BR310" s="54">
        <v>7.8</v>
      </c>
      <c r="BS310" s="54">
        <v>1.1000000000000001</v>
      </c>
      <c r="BT310" s="54">
        <v>1.1000000000000001</v>
      </c>
      <c r="BU310" s="54">
        <v>-1.2</v>
      </c>
      <c r="BV310" s="54">
        <v>18.399999999999999</v>
      </c>
      <c r="BW310" s="54">
        <v>-0.2</v>
      </c>
      <c r="BX310" s="54">
        <v>-5.0999999999999996</v>
      </c>
      <c r="BY310" s="54">
        <v>-11.5</v>
      </c>
      <c r="BZ310" s="54">
        <v>107</v>
      </c>
      <c r="CA310" s="54">
        <v>-0.2</v>
      </c>
      <c r="CB310" s="54">
        <v>7.5</v>
      </c>
      <c r="CC310" s="54">
        <v>9.6999999999999993</v>
      </c>
      <c r="CD310" s="54">
        <v>-5.2</v>
      </c>
      <c r="CE310" s="54">
        <v>-12.6</v>
      </c>
      <c r="CF310" s="54">
        <v>5.2</v>
      </c>
      <c r="CG310" s="54">
        <v>21</v>
      </c>
      <c r="CH310" s="54">
        <v>13.9</v>
      </c>
      <c r="CI310" s="54">
        <v>13.1</v>
      </c>
      <c r="CJ310" s="54">
        <v>-5.5</v>
      </c>
      <c r="CK310" s="54">
        <v>7.8</v>
      </c>
      <c r="CL310" s="54">
        <v>27.4</v>
      </c>
      <c r="CM310" s="54">
        <v>3521.7747730000001</v>
      </c>
      <c r="CN310" s="54">
        <v>18040.37</v>
      </c>
      <c r="CO310" s="54">
        <v>2099.2836360000001</v>
      </c>
      <c r="CP310" s="54">
        <v>1.845</v>
      </c>
      <c r="CQ310" s="54">
        <v>2.19</v>
      </c>
      <c r="CR310" s="54">
        <v>87.8</v>
      </c>
      <c r="CS310" s="64">
        <v>55.85</v>
      </c>
      <c r="CT310" s="54">
        <v>96.3</v>
      </c>
      <c r="CU310" s="54">
        <v>108</v>
      </c>
      <c r="CV310" s="54">
        <v>99.8</v>
      </c>
      <c r="CW310" s="54">
        <v>105.3</v>
      </c>
      <c r="CX310" s="54">
        <v>109.7</v>
      </c>
      <c r="CY310" s="54">
        <v>9.6199999999999992</v>
      </c>
      <c r="CZ310" s="54">
        <v>53425.665000000001</v>
      </c>
      <c r="DA310" s="54">
        <v>4.97</v>
      </c>
      <c r="DB310" s="54">
        <v>29.53</v>
      </c>
      <c r="DC310" s="54">
        <v>50.47</v>
      </c>
      <c r="DD310" s="54">
        <v>16.93</v>
      </c>
      <c r="DE310" s="54">
        <v>16710.409</v>
      </c>
      <c r="DF310" s="54">
        <v>3146.4079999999999</v>
      </c>
      <c r="DG310" s="54">
        <v>2015.8219999999999</v>
      </c>
      <c r="DH310" s="54">
        <v>1451.414</v>
      </c>
      <c r="DI310" s="54">
        <v>6185.5839999999998</v>
      </c>
      <c r="DJ310" s="54">
        <v>100.268</v>
      </c>
      <c r="DK310" s="54">
        <v>100.31019999999999</v>
      </c>
      <c r="DL310" s="54">
        <v>100.35</v>
      </c>
      <c r="DM310" s="54">
        <v>100.4499</v>
      </c>
      <c r="DN310" s="54">
        <v>100.0351</v>
      </c>
      <c r="DO310" s="54">
        <v>100.0391</v>
      </c>
      <c r="DP310" s="54">
        <v>100.12739999999999</v>
      </c>
      <c r="DQ310" s="54">
        <v>100.1399</v>
      </c>
      <c r="DR310" s="54">
        <v>44874</v>
      </c>
      <c r="DS310" s="73">
        <v>30831</v>
      </c>
      <c r="DT310" s="96">
        <v>99.9</v>
      </c>
      <c r="DU310">
        <v>193.947998046875</v>
      </c>
      <c r="DV310">
        <v>212.82469177246094</v>
      </c>
      <c r="DW310" s="56">
        <v>589</v>
      </c>
      <c r="DX310" s="56">
        <v>317500</v>
      </c>
      <c r="DY310" s="56">
        <v>85.5</v>
      </c>
      <c r="DZ310" t="s">
        <v>312</v>
      </c>
    </row>
    <row r="311" spans="1:130" x14ac:dyDescent="0.25">
      <c r="A311" s="1">
        <v>42186</v>
      </c>
      <c r="B311" s="34">
        <v>102.3</v>
      </c>
      <c r="C311" s="111">
        <v>-0.12</v>
      </c>
      <c r="D311" s="99">
        <v>0.05</v>
      </c>
      <c r="E311" s="34">
        <v>-0.01</v>
      </c>
      <c r="F311" s="34">
        <v>-0.06</v>
      </c>
      <c r="G311" s="34">
        <v>0.28000000000000003</v>
      </c>
      <c r="H311" s="34">
        <v>0.71</v>
      </c>
      <c r="I311" s="34">
        <f>IF(ISNUMBER(C311),IF(ISNUMBER(H311),H311-C311,""),"")</f>
        <v>0.83</v>
      </c>
      <c r="J311" s="34">
        <f>IF(ISNUMBER(D311),IF(ISNUMBER(H311),H311-D311,""),"")</f>
        <v>0.65999999999999992</v>
      </c>
      <c r="K311" s="34">
        <f>IF(ISNUMBER(H311),IF(ISNUMBER(E311),H311-E311,""),"")</f>
        <v>0.72</v>
      </c>
      <c r="L311" s="34">
        <f>IF(ISNUMBER(D311),IF(ISNUMBER(C311),D311-C311,""),"")</f>
        <v>0.16999999999999998</v>
      </c>
      <c r="M311" s="34">
        <v>93.7</v>
      </c>
      <c r="N311" s="34">
        <v>11180.5</v>
      </c>
      <c r="O311" s="34">
        <v>18.760000000000002</v>
      </c>
      <c r="P311" s="64">
        <v>1700</v>
      </c>
      <c r="Q311" s="34">
        <f t="shared" si="56"/>
        <v>18.123667377398721</v>
      </c>
      <c r="R311" s="34">
        <v>2535.3000000000002</v>
      </c>
      <c r="S311" s="34">
        <f t="shared" si="57"/>
        <v>2702.8784648187634</v>
      </c>
      <c r="T311" s="34">
        <v>2566.3000000000002</v>
      </c>
      <c r="U311" s="34">
        <f t="shared" si="58"/>
        <v>2735.9275053304905</v>
      </c>
      <c r="V311" s="118">
        <v>209444</v>
      </c>
      <c r="W311" s="118">
        <v>6392616</v>
      </c>
      <c r="X311" s="119">
        <v>10012113</v>
      </c>
      <c r="Y311" s="119">
        <v>644095</v>
      </c>
      <c r="Z311" s="34">
        <v>97.3</v>
      </c>
      <c r="AA311" s="34">
        <v>90.9</v>
      </c>
      <c r="AB311" s="34">
        <v>87.2</v>
      </c>
      <c r="AC311" s="34">
        <v>93</v>
      </c>
      <c r="AD311" s="34">
        <v>43177</v>
      </c>
      <c r="AE311" s="34">
        <v>6.4</v>
      </c>
      <c r="AF311" s="34">
        <v>573</v>
      </c>
      <c r="AG311" s="34">
        <v>94.6</v>
      </c>
      <c r="AH311" s="34">
        <v>93.8</v>
      </c>
      <c r="AI311" s="64">
        <v>93</v>
      </c>
      <c r="AJ311" s="64">
        <v>93.9</v>
      </c>
      <c r="AK311" s="64">
        <v>172.46226200000001</v>
      </c>
      <c r="AL311" s="64">
        <v>105.2</v>
      </c>
      <c r="AM311" s="34">
        <v>85.21</v>
      </c>
      <c r="AN311" s="33">
        <v>137.56</v>
      </c>
      <c r="AO311" s="33">
        <v>94.77</v>
      </c>
      <c r="AP311" s="33">
        <v>51.54</v>
      </c>
      <c r="AQ311" s="34">
        <f t="shared" si="67"/>
        <v>0.55419354838709678</v>
      </c>
      <c r="AR311" s="34">
        <v>100.4</v>
      </c>
      <c r="AS311" s="34">
        <v>99.9</v>
      </c>
      <c r="AT311" s="34">
        <v>100.9</v>
      </c>
      <c r="AU311" s="34">
        <v>100.3</v>
      </c>
      <c r="AV311" s="34">
        <v>100.1</v>
      </c>
      <c r="AW311" s="34">
        <v>100.6</v>
      </c>
      <c r="AX311" s="34">
        <v>14</v>
      </c>
      <c r="AY311" s="34">
        <v>10</v>
      </c>
      <c r="AZ311" s="34">
        <v>13.1</v>
      </c>
      <c r="BA311" s="34">
        <v>6.4</v>
      </c>
      <c r="BB311" s="34">
        <v>101</v>
      </c>
      <c r="BC311" s="34">
        <v>99.6</v>
      </c>
      <c r="BD311" s="34">
        <v>102.5</v>
      </c>
      <c r="BE311" s="34">
        <v>63.9</v>
      </c>
      <c r="BF311" s="34">
        <v>29.7</v>
      </c>
      <c r="BG311" s="34">
        <v>18.399999999999999</v>
      </c>
      <c r="BH311" s="34">
        <v>148.6</v>
      </c>
      <c r="BI311" s="34">
        <v>1.8</v>
      </c>
      <c r="BJ311" s="34">
        <v>51.8</v>
      </c>
      <c r="BK311" s="34">
        <v>64.962490294388132</v>
      </c>
      <c r="BL311" s="34">
        <v>0.40799999999999997</v>
      </c>
      <c r="BM311" s="34">
        <v>100.0104</v>
      </c>
      <c r="BN311" s="34">
        <v>100.0104</v>
      </c>
      <c r="BO311" s="34">
        <v>-5.3</v>
      </c>
      <c r="BP311" s="34">
        <v>-8.4</v>
      </c>
      <c r="BQ311" s="34">
        <v>4.4000000000000004</v>
      </c>
      <c r="BR311" s="34">
        <v>7.6</v>
      </c>
      <c r="BS311" s="34">
        <v>0.5</v>
      </c>
      <c r="BT311" s="34">
        <v>0.4</v>
      </c>
      <c r="BU311" s="34">
        <v>-0.7</v>
      </c>
      <c r="BV311" s="34">
        <v>17.8</v>
      </c>
      <c r="BW311" s="34">
        <v>-0.6</v>
      </c>
      <c r="BX311" s="34">
        <v>-1.7</v>
      </c>
      <c r="BY311" s="34">
        <v>-10.4</v>
      </c>
      <c r="BZ311" s="34">
        <v>107</v>
      </c>
      <c r="CA311" s="34">
        <v>-0.6</v>
      </c>
      <c r="CB311" s="34">
        <v>8.1</v>
      </c>
      <c r="CC311" s="34">
        <v>9.6</v>
      </c>
      <c r="CD311" s="34">
        <v>-4.9000000000000004</v>
      </c>
      <c r="CE311" s="34">
        <v>-14.3</v>
      </c>
      <c r="CF311" s="34">
        <v>5</v>
      </c>
      <c r="CG311" s="34">
        <v>20.3</v>
      </c>
      <c r="CH311" s="34">
        <v>15.7</v>
      </c>
      <c r="CI311" s="34">
        <v>11.8</v>
      </c>
      <c r="CJ311" s="34">
        <v>-5.8</v>
      </c>
      <c r="CK311" s="34">
        <v>6.5</v>
      </c>
      <c r="CL311" s="34">
        <v>26.5</v>
      </c>
      <c r="CM311" s="34">
        <v>3545.097565</v>
      </c>
      <c r="CN311" s="34">
        <v>17757.91</v>
      </c>
      <c r="CO311" s="34">
        <v>2094.1436359999998</v>
      </c>
      <c r="CP311" s="34">
        <v>2.1070000000000002</v>
      </c>
      <c r="CQ311" s="34">
        <v>2.4300000000000002</v>
      </c>
      <c r="CR311" s="34">
        <v>84.1</v>
      </c>
      <c r="CS311" s="64">
        <v>54.24</v>
      </c>
      <c r="CT311" s="34">
        <v>97.1</v>
      </c>
      <c r="CU311" s="34">
        <v>108</v>
      </c>
      <c r="CV311" s="34">
        <v>99.9</v>
      </c>
      <c r="CW311" s="34">
        <v>104.7</v>
      </c>
      <c r="CX311" s="34">
        <v>108.4</v>
      </c>
      <c r="CY311" s="34">
        <v>9.57</v>
      </c>
      <c r="CZ311" s="34">
        <v>52159.487000000001</v>
      </c>
      <c r="DA311" s="34">
        <v>5.0199999999999996</v>
      </c>
      <c r="DB311" s="34">
        <v>29.92</v>
      </c>
      <c r="DC311" s="34">
        <v>51.73</v>
      </c>
      <c r="DD311" s="34">
        <v>17.18</v>
      </c>
      <c r="DE311" s="34">
        <v>18621.428</v>
      </c>
      <c r="DF311" s="34">
        <v>3891.72</v>
      </c>
      <c r="DG311" s="34">
        <v>2118.011</v>
      </c>
      <c r="DH311" s="34">
        <v>1634.854</v>
      </c>
      <c r="DI311" s="34">
        <v>6506.174</v>
      </c>
      <c r="DJ311" s="34">
        <v>100.1853</v>
      </c>
      <c r="DK311" s="34">
        <v>100.1995</v>
      </c>
      <c r="DL311" s="34">
        <v>100.23</v>
      </c>
      <c r="DM311" s="34">
        <v>100.2989</v>
      </c>
      <c r="DN311" s="34">
        <v>100.0104</v>
      </c>
      <c r="DO311" s="34">
        <v>100.0104</v>
      </c>
      <c r="DP311" s="34">
        <v>99.985299999999995</v>
      </c>
      <c r="DQ311" s="34">
        <v>99.983500000000006</v>
      </c>
      <c r="DR311" s="34">
        <v>34570</v>
      </c>
      <c r="DS311" s="73">
        <v>30896</v>
      </c>
      <c r="DT311" s="73">
        <v>100.5</v>
      </c>
      <c r="DU311">
        <v>184.48753356933594</v>
      </c>
      <c r="DV311">
        <v>176.39804077148438</v>
      </c>
      <c r="DW311">
        <v>794</v>
      </c>
      <c r="DX311">
        <v>322075</v>
      </c>
      <c r="DY311">
        <v>86.2</v>
      </c>
      <c r="DZ311" t="s">
        <v>312</v>
      </c>
    </row>
    <row r="312" spans="1:130" x14ac:dyDescent="0.25">
      <c r="A312" s="1">
        <v>42217</v>
      </c>
      <c r="B312" s="34">
        <v>100.3</v>
      </c>
      <c r="C312" s="111">
        <v>-0.12</v>
      </c>
      <c r="D312" s="99">
        <v>0.05</v>
      </c>
      <c r="E312" s="34">
        <v>-0.02</v>
      </c>
      <c r="F312" s="34">
        <v>-0.11</v>
      </c>
      <c r="G312" s="34">
        <v>0.19</v>
      </c>
      <c r="H312" s="34">
        <v>0.61</v>
      </c>
      <c r="I312" s="34">
        <f>IF(ISNUMBER(C312),IF(ISNUMBER(H312),H312-C312,""),"")</f>
        <v>0.73</v>
      </c>
      <c r="J312" s="34">
        <f>IF(ISNUMBER(D312),IF(ISNUMBER(H312),H312-D312,""),"")</f>
        <v>0.55999999999999994</v>
      </c>
      <c r="K312" s="34">
        <f>IF(ISNUMBER(H312),IF(ISNUMBER(E312),H312-E312,""),"")</f>
        <v>0.63</v>
      </c>
      <c r="L312" s="34">
        <f>IF(ISNUMBER(D312),IF(ISNUMBER(C312),D312-C312,""),"")</f>
        <v>0.16999999999999998</v>
      </c>
      <c r="M312" s="34">
        <v>94.4</v>
      </c>
      <c r="N312" s="34">
        <v>11443.72</v>
      </c>
      <c r="O312" s="34">
        <v>33.19</v>
      </c>
      <c r="P312" s="64">
        <v>1709.9</v>
      </c>
      <c r="Q312" s="34">
        <f t="shared" si="56"/>
        <v>18.209797657082003</v>
      </c>
      <c r="R312" s="34">
        <v>2541.9</v>
      </c>
      <c r="S312" s="34">
        <f t="shared" si="57"/>
        <v>2707.0287539936098</v>
      </c>
      <c r="T312" s="34">
        <v>2573</v>
      </c>
      <c r="U312" s="34">
        <f t="shared" si="58"/>
        <v>2740.1490947816824</v>
      </c>
      <c r="V312" s="118">
        <v>225037</v>
      </c>
      <c r="W312" s="118">
        <v>6424845</v>
      </c>
      <c r="X312" s="119">
        <v>10030998</v>
      </c>
      <c r="Y312" s="119">
        <v>631407</v>
      </c>
      <c r="Z312" s="34">
        <v>96.5</v>
      </c>
      <c r="AA312" s="34">
        <v>88.9</v>
      </c>
      <c r="AB312" s="34">
        <v>85.3</v>
      </c>
      <c r="AC312" s="34">
        <v>90.7</v>
      </c>
      <c r="AD312" s="34">
        <v>43209</v>
      </c>
      <c r="AE312" s="34">
        <v>6.3</v>
      </c>
      <c r="AF312" s="34">
        <v>577</v>
      </c>
      <c r="AG312" s="34">
        <v>94.5</v>
      </c>
      <c r="AH312" s="34">
        <v>93.9</v>
      </c>
      <c r="AI312" s="64">
        <v>91.8</v>
      </c>
      <c r="AJ312" s="64">
        <v>93.5</v>
      </c>
      <c r="AK312" s="64">
        <v>171.681006</v>
      </c>
      <c r="AL312" s="64">
        <v>82.8</v>
      </c>
      <c r="AM312" s="34">
        <v>80.13</v>
      </c>
      <c r="AN312" s="33">
        <v>122.16</v>
      </c>
      <c r="AO312" s="33">
        <v>88.79</v>
      </c>
      <c r="AP312" s="33">
        <v>42.73</v>
      </c>
      <c r="AQ312" s="34">
        <f t="shared" si="67"/>
        <v>0.46546840958605662</v>
      </c>
      <c r="AR312" s="34">
        <v>100.7</v>
      </c>
      <c r="AS312" s="34">
        <v>100</v>
      </c>
      <c r="AT312" s="34">
        <v>101.4</v>
      </c>
      <c r="AU312" s="34">
        <v>100.2</v>
      </c>
      <c r="AV312" s="34">
        <v>99.2</v>
      </c>
      <c r="AW312" s="34">
        <v>101.2</v>
      </c>
      <c r="AX312" s="34">
        <v>15.9</v>
      </c>
      <c r="AY312" s="34">
        <v>4.4000000000000004</v>
      </c>
      <c r="AZ312" s="34">
        <v>12.5</v>
      </c>
      <c r="BA312" s="34">
        <v>3.5</v>
      </c>
      <c r="BB312" s="34">
        <v>100.6</v>
      </c>
      <c r="BC312" s="34">
        <v>99.9</v>
      </c>
      <c r="BD312" s="34">
        <v>101.3</v>
      </c>
      <c r="BE312" s="34">
        <v>65.7</v>
      </c>
      <c r="BF312" s="34">
        <v>25</v>
      </c>
      <c r="BG312" s="34">
        <v>16.600000000000001</v>
      </c>
      <c r="BH312" s="34">
        <v>147.19999999999999</v>
      </c>
      <c r="BI312" s="34">
        <v>1.4</v>
      </c>
      <c r="BJ312" s="34">
        <v>53.3</v>
      </c>
      <c r="BK312" s="34">
        <v>56.613400085846898</v>
      </c>
      <c r="BL312" s="34">
        <v>0.46</v>
      </c>
      <c r="BM312" s="34">
        <v>99.950800000000001</v>
      </c>
      <c r="BN312" s="34">
        <v>99.959199999999996</v>
      </c>
      <c r="BO312" s="34">
        <v>-5.9</v>
      </c>
      <c r="BP312" s="34">
        <v>-10.1</v>
      </c>
      <c r="BQ312" s="34">
        <v>5.2</v>
      </c>
      <c r="BR312" s="34">
        <v>5.2</v>
      </c>
      <c r="BS312" s="34">
        <v>0.2</v>
      </c>
      <c r="BT312" s="34">
        <v>-2.7</v>
      </c>
      <c r="BU312" s="34">
        <v>-2</v>
      </c>
      <c r="BV312" s="34">
        <v>20.100000000000001</v>
      </c>
      <c r="BW312" s="34">
        <v>-1</v>
      </c>
      <c r="BX312" s="34">
        <v>1.6</v>
      </c>
      <c r="BY312" s="34">
        <v>-8.6</v>
      </c>
      <c r="BZ312" s="34">
        <v>107.1</v>
      </c>
      <c r="CA312" s="34">
        <v>-1</v>
      </c>
      <c r="CB312" s="34">
        <v>7.7</v>
      </c>
      <c r="CC312" s="34">
        <v>8.8000000000000007</v>
      </c>
      <c r="CD312" s="34">
        <v>-5.3</v>
      </c>
      <c r="CE312" s="34">
        <v>-14.3</v>
      </c>
      <c r="CF312" s="34">
        <v>2.9</v>
      </c>
      <c r="CG312" s="34">
        <v>14.3</v>
      </c>
      <c r="CH312" s="34">
        <v>18.3</v>
      </c>
      <c r="CI312" s="34">
        <v>9.8000000000000007</v>
      </c>
      <c r="CJ312" s="34">
        <v>-6.4</v>
      </c>
      <c r="CK312" s="34">
        <v>7.6</v>
      </c>
      <c r="CL312" s="34">
        <v>26.9</v>
      </c>
      <c r="CM312" s="34">
        <v>3444.4058570000002</v>
      </c>
      <c r="CN312" s="34">
        <v>17598.2</v>
      </c>
      <c r="CO312" s="34">
        <v>2039.86619</v>
      </c>
      <c r="CP312" s="34">
        <v>1.996</v>
      </c>
      <c r="CQ312" s="34">
        <v>2.16</v>
      </c>
      <c r="CR312" s="34">
        <v>83.4</v>
      </c>
      <c r="CS312" s="64">
        <v>52.24</v>
      </c>
      <c r="CT312" s="34">
        <v>97.1</v>
      </c>
      <c r="CU312" s="34">
        <v>109.3</v>
      </c>
      <c r="CV312" s="34">
        <v>101.1</v>
      </c>
      <c r="CW312" s="34">
        <v>103.9</v>
      </c>
      <c r="CX312" s="34">
        <v>110.7</v>
      </c>
      <c r="CY312" s="34">
        <v>9.2799999999999994</v>
      </c>
      <c r="CZ312" s="34">
        <v>42724.23</v>
      </c>
      <c r="DA312" s="34">
        <v>4.83</v>
      </c>
      <c r="DB312" s="34">
        <v>29.74</v>
      </c>
      <c r="DC312" s="34">
        <v>48.87</v>
      </c>
      <c r="DD312" s="34">
        <v>16.329999999999998</v>
      </c>
      <c r="DE312" s="34">
        <v>15193.54</v>
      </c>
      <c r="DF312" s="34">
        <v>3159.8690000000001</v>
      </c>
      <c r="DG312" s="34">
        <v>1760.9960000000001</v>
      </c>
      <c r="DH312" s="34">
        <v>1277.566</v>
      </c>
      <c r="DI312" s="34">
        <v>5390.6840000000002</v>
      </c>
      <c r="DJ312" s="34">
        <v>100.0916</v>
      </c>
      <c r="DK312" s="34">
        <v>100.07689999999999</v>
      </c>
      <c r="DL312" s="34">
        <v>100.1</v>
      </c>
      <c r="DM312" s="34">
        <v>100.1317</v>
      </c>
      <c r="DN312" s="34">
        <v>99.959199999999996</v>
      </c>
      <c r="DO312" s="34">
        <v>99.950800000000001</v>
      </c>
      <c r="DP312" s="34">
        <v>99.821799999999996</v>
      </c>
      <c r="DQ312" s="34">
        <v>99.803600000000003</v>
      </c>
      <c r="DR312" s="34">
        <v>26148</v>
      </c>
      <c r="DS312" s="73">
        <v>30945</v>
      </c>
      <c r="DT312" s="73">
        <v>99.9</v>
      </c>
      <c r="DU312">
        <v>143.71115112304688</v>
      </c>
      <c r="DV312">
        <v>158.680908203125</v>
      </c>
      <c r="DW312">
        <v>1151</v>
      </c>
      <c r="DX312">
        <v>347500</v>
      </c>
      <c r="DY312">
        <v>86</v>
      </c>
      <c r="DZ312" t="s">
        <v>312</v>
      </c>
    </row>
    <row r="313" spans="1:130" s="56" customFormat="1" x14ac:dyDescent="0.25">
      <c r="A313" s="53">
        <v>42248</v>
      </c>
      <c r="B313" s="54">
        <v>100.2</v>
      </c>
      <c r="C313" s="112">
        <v>-0.14000000000000001</v>
      </c>
      <c r="D313" s="98">
        <v>0.05</v>
      </c>
      <c r="E313" s="54">
        <v>-0.03</v>
      </c>
      <c r="F313" s="54">
        <v>-0.09</v>
      </c>
      <c r="G313" s="54">
        <v>0.22</v>
      </c>
      <c r="H313" s="54">
        <v>0.65</v>
      </c>
      <c r="I313" s="54">
        <f t="shared" si="72"/>
        <v>0.79</v>
      </c>
      <c r="J313" s="54">
        <f t="shared" si="73"/>
        <v>0.6</v>
      </c>
      <c r="K313" s="54">
        <f t="shared" si="74"/>
        <v>0.68</v>
      </c>
      <c r="L313" s="54">
        <f t="shared" si="75"/>
        <v>0.19</v>
      </c>
      <c r="M313" s="54">
        <v>94.7</v>
      </c>
      <c r="N313" s="54">
        <v>10015.57</v>
      </c>
      <c r="O313" s="54">
        <v>31.43</v>
      </c>
      <c r="P313" s="64">
        <v>1725.5</v>
      </c>
      <c r="Q313" s="34">
        <f t="shared" si="56"/>
        <v>18.356382978723403</v>
      </c>
      <c r="R313" s="34">
        <v>2556.4</v>
      </c>
      <c r="S313" s="34">
        <f t="shared" si="57"/>
        <v>2719.5744680851062</v>
      </c>
      <c r="T313" s="34">
        <v>2597.1</v>
      </c>
      <c r="U313" s="34">
        <f t="shared" si="58"/>
        <v>2762.872340425532</v>
      </c>
      <c r="V313" s="118">
        <v>221812</v>
      </c>
      <c r="W313" s="118">
        <v>6459866</v>
      </c>
      <c r="X313" s="119">
        <v>10060424</v>
      </c>
      <c r="Y313" s="119">
        <v>633773</v>
      </c>
      <c r="Z313" s="54">
        <v>96.7</v>
      </c>
      <c r="AA313" s="54">
        <v>87.7</v>
      </c>
      <c r="AB313" s="54">
        <v>85.8</v>
      </c>
      <c r="AC313" s="54">
        <v>88</v>
      </c>
      <c r="AD313" s="54">
        <v>43249</v>
      </c>
      <c r="AE313" s="54">
        <v>6.3</v>
      </c>
      <c r="AF313" s="54">
        <v>582</v>
      </c>
      <c r="AG313" s="54">
        <v>94.5</v>
      </c>
      <c r="AH313" s="54">
        <v>94</v>
      </c>
      <c r="AI313" s="64">
        <v>91.3</v>
      </c>
      <c r="AJ313" s="64">
        <v>93.2</v>
      </c>
      <c r="AK313" s="64">
        <v>171.09506400000001</v>
      </c>
      <c r="AL313" s="64">
        <v>82.9</v>
      </c>
      <c r="AM313" s="54">
        <v>79.069999999999993</v>
      </c>
      <c r="AN313" s="33">
        <v>122.03</v>
      </c>
      <c r="AO313" s="33">
        <v>87.47</v>
      </c>
      <c r="AP313" s="33">
        <v>42.99</v>
      </c>
      <c r="AQ313" s="54">
        <f t="shared" si="67"/>
        <v>0.47086527929901428</v>
      </c>
      <c r="AR313" s="54">
        <v>99.9</v>
      </c>
      <c r="AS313" s="54">
        <v>99.4</v>
      </c>
      <c r="AT313" s="54">
        <v>100.4</v>
      </c>
      <c r="AU313" s="54">
        <v>99.1</v>
      </c>
      <c r="AV313" s="54">
        <v>98.8</v>
      </c>
      <c r="AW313" s="54">
        <v>99.4</v>
      </c>
      <c r="AX313" s="54">
        <v>11.3</v>
      </c>
      <c r="AY313" s="54">
        <v>9.4</v>
      </c>
      <c r="AZ313" s="54">
        <v>9.5</v>
      </c>
      <c r="BA313" s="54">
        <v>7.4</v>
      </c>
      <c r="BB313" s="54">
        <v>100.6</v>
      </c>
      <c r="BC313" s="54">
        <v>100.3</v>
      </c>
      <c r="BD313" s="54">
        <v>101</v>
      </c>
      <c r="BE313" s="54">
        <v>67.5</v>
      </c>
      <c r="BF313" s="54">
        <v>12.1</v>
      </c>
      <c r="BG313" s="54">
        <v>6.4</v>
      </c>
      <c r="BH313" s="54">
        <v>154.69999999999999</v>
      </c>
      <c r="BI313" s="54">
        <v>1.9</v>
      </c>
      <c r="BJ313" s="34">
        <v>52.3</v>
      </c>
      <c r="BK313" s="54">
        <v>50.006599353869127</v>
      </c>
      <c r="BL313" s="54">
        <v>0.41799999999999998</v>
      </c>
      <c r="BM313" s="54">
        <v>99.870800000000003</v>
      </c>
      <c r="BN313" s="54">
        <v>99.8904</v>
      </c>
      <c r="BO313" s="54">
        <v>-9.1</v>
      </c>
      <c r="BP313" s="54">
        <v>-12.3</v>
      </c>
      <c r="BQ313" s="54">
        <v>5.4</v>
      </c>
      <c r="BR313" s="54">
        <v>9.3000000000000007</v>
      </c>
      <c r="BS313" s="54">
        <v>-1.3</v>
      </c>
      <c r="BT313" s="54">
        <v>-0.9</v>
      </c>
      <c r="BU313" s="54">
        <v>-1.7</v>
      </c>
      <c r="BV313" s="54">
        <v>21.5</v>
      </c>
      <c r="BW313" s="54">
        <v>-2.1</v>
      </c>
      <c r="BX313" s="54">
        <v>0.3</v>
      </c>
      <c r="BY313" s="54">
        <v>-8.6</v>
      </c>
      <c r="BZ313" s="54">
        <v>107.5</v>
      </c>
      <c r="CA313" s="54">
        <v>-2.1</v>
      </c>
      <c r="CB313" s="54">
        <v>7.5</v>
      </c>
      <c r="CC313" s="54">
        <v>7.8</v>
      </c>
      <c r="CD313" s="54">
        <v>-5.5</v>
      </c>
      <c r="CE313" s="54">
        <v>-17.7</v>
      </c>
      <c r="CF313" s="54">
        <v>3.3</v>
      </c>
      <c r="CG313" s="54">
        <v>20.6</v>
      </c>
      <c r="CH313" s="54">
        <v>22.2</v>
      </c>
      <c r="CI313" s="54">
        <v>10</v>
      </c>
      <c r="CJ313" s="54">
        <v>-5.8</v>
      </c>
      <c r="CK313" s="54">
        <v>7.9</v>
      </c>
      <c r="CL313" s="54">
        <v>26.9</v>
      </c>
      <c r="CM313" s="54">
        <v>3165.460818</v>
      </c>
      <c r="CN313" s="54">
        <v>16058.35</v>
      </c>
      <c r="CO313" s="54">
        <v>1944.4023810000001</v>
      </c>
      <c r="CP313" s="54">
        <v>1.9359999999999999</v>
      </c>
      <c r="CQ313" s="54">
        <v>2.17</v>
      </c>
      <c r="CR313" s="54">
        <v>78.2</v>
      </c>
      <c r="CS313" s="64">
        <v>53.61</v>
      </c>
      <c r="CT313" s="54">
        <v>98</v>
      </c>
      <c r="CU313" s="54">
        <v>108.4</v>
      </c>
      <c r="CV313" s="54">
        <v>99.3</v>
      </c>
      <c r="CW313" s="54">
        <v>103.6</v>
      </c>
      <c r="CX313" s="54">
        <v>114.2</v>
      </c>
      <c r="CY313" s="54">
        <v>9.8800000000000008</v>
      </c>
      <c r="CZ313" s="54">
        <v>53957.088000000003</v>
      </c>
      <c r="DA313" s="54">
        <v>5.04</v>
      </c>
      <c r="DB313" s="54">
        <v>31.35</v>
      </c>
      <c r="DC313" s="54">
        <v>50.73</v>
      </c>
      <c r="DD313" s="54">
        <v>16.690000000000001</v>
      </c>
      <c r="DE313" s="54">
        <v>16192.071</v>
      </c>
      <c r="DF313" s="54">
        <v>3149.9389999999999</v>
      </c>
      <c r="DG313" s="54">
        <v>1939.348</v>
      </c>
      <c r="DH313" s="54">
        <v>1510.384</v>
      </c>
      <c r="DI313" s="54">
        <v>5922.0190000000002</v>
      </c>
      <c r="DJ313" s="54">
        <v>100.0033</v>
      </c>
      <c r="DK313" s="54">
        <v>99.963499999999996</v>
      </c>
      <c r="DL313" s="54">
        <v>99.98</v>
      </c>
      <c r="DM313" s="54">
        <v>99.9833</v>
      </c>
      <c r="DN313" s="54">
        <v>99.8904</v>
      </c>
      <c r="DO313" s="54">
        <v>99.870800000000003</v>
      </c>
      <c r="DP313" s="54">
        <v>99.663200000000003</v>
      </c>
      <c r="DQ313" s="54">
        <v>99.629199999999997</v>
      </c>
      <c r="DR313" s="54">
        <v>39486</v>
      </c>
      <c r="DS313" s="73">
        <v>31008</v>
      </c>
      <c r="DT313" s="96">
        <v>99.7</v>
      </c>
      <c r="DU313">
        <v>194.46083068847656</v>
      </c>
      <c r="DV313">
        <v>165.86695861816406</v>
      </c>
      <c r="DW313" s="56">
        <v>911</v>
      </c>
      <c r="DX313" s="56">
        <v>362675</v>
      </c>
      <c r="DY313" s="56">
        <v>86.5</v>
      </c>
      <c r="DZ313" t="s">
        <v>312</v>
      </c>
    </row>
    <row r="314" spans="1:130" x14ac:dyDescent="0.25">
      <c r="A314" s="1">
        <v>42278</v>
      </c>
      <c r="B314" s="34">
        <v>100.9</v>
      </c>
      <c r="C314" s="111">
        <v>-0.14000000000000001</v>
      </c>
      <c r="D314" s="99">
        <v>0.05</v>
      </c>
      <c r="E314" s="34">
        <v>-0.04</v>
      </c>
      <c r="F314" s="34">
        <v>-0.15</v>
      </c>
      <c r="G314" s="34">
        <v>0.1</v>
      </c>
      <c r="H314" s="34">
        <v>0.52</v>
      </c>
      <c r="I314" s="34">
        <f t="shared" si="72"/>
        <v>0.66</v>
      </c>
      <c r="J314" s="34">
        <f t="shared" si="73"/>
        <v>0.47000000000000003</v>
      </c>
      <c r="K314" s="34">
        <f t="shared" si="74"/>
        <v>0.56000000000000005</v>
      </c>
      <c r="L314" s="34">
        <f t="shared" si="75"/>
        <v>0.19</v>
      </c>
      <c r="M314" s="34">
        <v>94.7</v>
      </c>
      <c r="N314" s="34">
        <v>9509.25</v>
      </c>
      <c r="O314" s="34">
        <v>21.79</v>
      </c>
      <c r="P314" s="64">
        <v>1747.6</v>
      </c>
      <c r="Q314" s="34">
        <f t="shared" si="56"/>
        <v>18.552016985138003</v>
      </c>
      <c r="R314" s="34">
        <v>2578.8000000000002</v>
      </c>
      <c r="S314" s="34">
        <f t="shared" si="57"/>
        <v>2737.5796178343949</v>
      </c>
      <c r="T314" s="34">
        <v>2622.1</v>
      </c>
      <c r="U314" s="34">
        <f t="shared" si="58"/>
        <v>2783.545647558386</v>
      </c>
      <c r="V314" s="118">
        <v>218287</v>
      </c>
      <c r="W314" s="118">
        <v>6527378</v>
      </c>
      <c r="X314" s="119">
        <v>10124558</v>
      </c>
      <c r="Y314" s="119">
        <v>656202</v>
      </c>
      <c r="Z314" s="34">
        <v>96.1</v>
      </c>
      <c r="AA314" s="34">
        <v>88.1</v>
      </c>
      <c r="AB314" s="34">
        <v>89</v>
      </c>
      <c r="AC314" s="34">
        <v>88.3</v>
      </c>
      <c r="AD314" s="34">
        <v>43296</v>
      </c>
      <c r="AE314" s="34">
        <v>6.3</v>
      </c>
      <c r="AF314" s="34">
        <v>599</v>
      </c>
      <c r="AG314" s="34">
        <v>94.6</v>
      </c>
      <c r="AH314" s="34">
        <v>94.2</v>
      </c>
      <c r="AI314" s="64">
        <v>91</v>
      </c>
      <c r="AJ314" s="64">
        <v>93.2</v>
      </c>
      <c r="AK314" s="64">
        <v>170.31380799999999</v>
      </c>
      <c r="AL314" s="64">
        <v>83.3</v>
      </c>
      <c r="AM314" s="34">
        <v>77.489999999999995</v>
      </c>
      <c r="AN314" s="33">
        <v>120.98</v>
      </c>
      <c r="AO314" s="33">
        <v>87.27</v>
      </c>
      <c r="AP314" s="33">
        <v>43.69</v>
      </c>
      <c r="AQ314" s="34">
        <f t="shared" si="67"/>
        <v>0.48010989010989008</v>
      </c>
      <c r="AR314" s="34">
        <v>99.9</v>
      </c>
      <c r="AS314" s="34">
        <v>100.2</v>
      </c>
      <c r="AT314" s="34">
        <v>99.6</v>
      </c>
      <c r="AU314" s="34">
        <v>99.3</v>
      </c>
      <c r="AV314" s="34">
        <v>99.7</v>
      </c>
      <c r="AW314" s="34">
        <v>98.9</v>
      </c>
      <c r="AX314" s="34">
        <v>11.7</v>
      </c>
      <c r="AY314" s="34">
        <v>7.8</v>
      </c>
      <c r="AZ314" s="34">
        <v>7.7</v>
      </c>
      <c r="BA314" s="34">
        <v>2.9</v>
      </c>
      <c r="BB314" s="34">
        <v>101.4</v>
      </c>
      <c r="BC314" s="34">
        <v>101.7</v>
      </c>
      <c r="BD314" s="34">
        <v>101</v>
      </c>
      <c r="BE314" s="34">
        <v>55.2</v>
      </c>
      <c r="BF314" s="34">
        <v>1.9</v>
      </c>
      <c r="BG314" s="34">
        <v>-2.9</v>
      </c>
      <c r="BH314" s="34">
        <v>157.1</v>
      </c>
      <c r="BI314" s="34">
        <v>2</v>
      </c>
      <c r="BJ314" s="34">
        <v>52.1</v>
      </c>
      <c r="BK314" s="34">
        <v>45.773213152257519</v>
      </c>
      <c r="BL314" s="34">
        <v>0.39600000000000002</v>
      </c>
      <c r="BM314" s="34">
        <v>99.7864</v>
      </c>
      <c r="BN314" s="34">
        <v>99.817999999999998</v>
      </c>
      <c r="BO314" s="34">
        <v>-10.1</v>
      </c>
      <c r="BP314" s="34">
        <v>-13.7</v>
      </c>
      <c r="BQ314" s="34">
        <v>6.3</v>
      </c>
      <c r="BR314" s="34">
        <v>6.1</v>
      </c>
      <c r="BS314" s="34">
        <v>0.2</v>
      </c>
      <c r="BT314" s="34">
        <v>-2.1</v>
      </c>
      <c r="BU314" s="34">
        <v>-3.4</v>
      </c>
      <c r="BV314" s="34">
        <v>20.399999999999999</v>
      </c>
      <c r="BW314" s="34">
        <v>-3.1</v>
      </c>
      <c r="BX314" s="34">
        <v>0</v>
      </c>
      <c r="BY314" s="34">
        <v>-7.6</v>
      </c>
      <c r="BZ314" s="34">
        <v>106.1</v>
      </c>
      <c r="CA314" s="34">
        <v>-3.1</v>
      </c>
      <c r="CB314" s="34">
        <v>9.3000000000000007</v>
      </c>
      <c r="CC314" s="34">
        <v>7.9</v>
      </c>
      <c r="CD314" s="34">
        <v>-6.8</v>
      </c>
      <c r="CE314" s="34">
        <v>-20.100000000000001</v>
      </c>
      <c r="CF314" s="34">
        <v>-3.4</v>
      </c>
      <c r="CG314" s="34">
        <v>15.5</v>
      </c>
      <c r="CH314" s="34">
        <v>25.2</v>
      </c>
      <c r="CI314" s="34">
        <v>8.1</v>
      </c>
      <c r="CJ314" s="34">
        <v>-9.6999999999999993</v>
      </c>
      <c r="CK314" s="34">
        <v>10.4</v>
      </c>
      <c r="CL314" s="34">
        <v>27.3</v>
      </c>
      <c r="CM314" s="34">
        <v>3275.4786819999999</v>
      </c>
      <c r="CN314" s="34">
        <v>16272.01</v>
      </c>
      <c r="CO314" s="34">
        <v>2024.812727</v>
      </c>
      <c r="CP314" s="34">
        <v>1.7490000000000001</v>
      </c>
      <c r="CQ314" s="34">
        <v>2.0499999999999998</v>
      </c>
      <c r="CR314" s="34">
        <v>82.1</v>
      </c>
      <c r="CS314" s="64">
        <v>52.89</v>
      </c>
      <c r="CT314" s="34">
        <v>101.5</v>
      </c>
      <c r="CU314" s="34">
        <v>106.4</v>
      </c>
      <c r="CV314" s="34">
        <v>100.5</v>
      </c>
      <c r="CW314" s="34">
        <v>104.5</v>
      </c>
      <c r="CX314" s="34">
        <v>113.5</v>
      </c>
      <c r="CY314" s="34">
        <v>9.3800000000000008</v>
      </c>
      <c r="CZ314" s="34">
        <v>54695.476000000002</v>
      </c>
      <c r="DA314" s="34">
        <v>5.05</v>
      </c>
      <c r="DB314" s="34">
        <v>29.64</v>
      </c>
      <c r="DC314" s="34">
        <v>50.61</v>
      </c>
      <c r="DD314" s="34">
        <v>16.39</v>
      </c>
      <c r="DE314" s="34">
        <v>16497.214</v>
      </c>
      <c r="DF314" s="34">
        <v>3363.3319999999999</v>
      </c>
      <c r="DG314" s="34">
        <v>1953.8320000000001</v>
      </c>
      <c r="DH314" s="34">
        <v>1536.4960000000001</v>
      </c>
      <c r="DI314" s="34">
        <v>5728.8649999999998</v>
      </c>
      <c r="DJ314" s="34">
        <v>99.928799999999995</v>
      </c>
      <c r="DK314" s="34">
        <v>99.870199999999997</v>
      </c>
      <c r="DL314" s="34">
        <v>99.89</v>
      </c>
      <c r="DM314" s="34">
        <v>99.866900000000001</v>
      </c>
      <c r="DN314" s="34">
        <v>99.817999999999998</v>
      </c>
      <c r="DO314" s="34">
        <v>99.7864</v>
      </c>
      <c r="DP314" s="34">
        <v>99.531899999999993</v>
      </c>
      <c r="DQ314" s="34">
        <v>99.484700000000004</v>
      </c>
      <c r="DR314" s="34">
        <v>47263</v>
      </c>
      <c r="DS314" s="73">
        <v>31063</v>
      </c>
      <c r="DT314" s="73">
        <v>100.5</v>
      </c>
      <c r="DU314">
        <v>164.83113098144531</v>
      </c>
      <c r="DV314">
        <v>187.63600158691406</v>
      </c>
      <c r="DW314">
        <v>888</v>
      </c>
      <c r="DX314">
        <v>319425</v>
      </c>
      <c r="DY314">
        <v>86</v>
      </c>
      <c r="DZ314" t="s">
        <v>312</v>
      </c>
    </row>
    <row r="315" spans="1:130" x14ac:dyDescent="0.25">
      <c r="A315" s="1">
        <v>42309</v>
      </c>
      <c r="B315" s="34">
        <v>100</v>
      </c>
      <c r="C315" s="111">
        <v>-0.13</v>
      </c>
      <c r="D315" s="99">
        <v>0.05</v>
      </c>
      <c r="E315" s="34">
        <v>-0.06</v>
      </c>
      <c r="F315" s="34">
        <v>-0.22</v>
      </c>
      <c r="G315" s="34">
        <v>0.06</v>
      </c>
      <c r="H315" s="34">
        <v>0.52</v>
      </c>
      <c r="I315" s="34">
        <f t="shared" ref="I315:I320" si="76">IF(ISNUMBER(C315),IF(ISNUMBER(H315),H315-C315,""),"")</f>
        <v>0.65</v>
      </c>
      <c r="J315" s="34">
        <f t="shared" si="73"/>
        <v>0.47000000000000003</v>
      </c>
      <c r="K315" s="34">
        <f t="shared" ref="K315:K320" si="77">IF(ISNUMBER(H315),IF(ISNUMBER(E315),H315-E315,""),"")</f>
        <v>0.58000000000000007</v>
      </c>
      <c r="L315" s="34">
        <f t="shared" ref="L315:L320" si="78">IF(ISNUMBER(D315),IF(ISNUMBER(C315),D315-C315,""),"")</f>
        <v>0.18</v>
      </c>
      <c r="M315" s="34">
        <v>93.7</v>
      </c>
      <c r="N315" s="34">
        <v>10950.67</v>
      </c>
      <c r="O315" s="34">
        <v>23.68</v>
      </c>
      <c r="P315" s="64">
        <v>1764.6</v>
      </c>
      <c r="Q315" s="34">
        <f t="shared" si="56"/>
        <v>18.712619300106045</v>
      </c>
      <c r="R315" s="34">
        <v>2604.8000000000002</v>
      </c>
      <c r="S315" s="34">
        <f t="shared" si="57"/>
        <v>2762.2481442205731</v>
      </c>
      <c r="T315" s="34">
        <v>2650.4</v>
      </c>
      <c r="U315" s="34">
        <f t="shared" si="58"/>
        <v>2810.6044538706255</v>
      </c>
      <c r="V315" s="118">
        <v>216834</v>
      </c>
      <c r="W315" s="118">
        <v>6583484</v>
      </c>
      <c r="X315" s="119">
        <v>10182417</v>
      </c>
      <c r="Y315" s="119">
        <v>653999</v>
      </c>
      <c r="Z315" s="34">
        <v>96.7</v>
      </c>
      <c r="AA315" s="34">
        <v>89.2</v>
      </c>
      <c r="AB315" s="34">
        <v>86.7</v>
      </c>
      <c r="AC315" s="34">
        <v>89.5</v>
      </c>
      <c r="AD315" s="34">
        <v>43351</v>
      </c>
      <c r="AE315" s="34">
        <v>6.3</v>
      </c>
      <c r="AF315" s="34">
        <v>609</v>
      </c>
      <c r="AG315" s="34">
        <v>94.9</v>
      </c>
      <c r="AH315" s="34">
        <v>94.3</v>
      </c>
      <c r="AI315" s="64">
        <v>90.7</v>
      </c>
      <c r="AJ315" s="64">
        <v>93.3</v>
      </c>
      <c r="AK315" s="64">
        <v>169.92318</v>
      </c>
      <c r="AL315" s="64">
        <v>126.2</v>
      </c>
      <c r="AM315" s="34">
        <v>73.13</v>
      </c>
      <c r="AN315" s="33">
        <v>112.85</v>
      </c>
      <c r="AO315" s="33">
        <v>83.67</v>
      </c>
      <c r="AP315" s="33">
        <v>42.61</v>
      </c>
      <c r="AQ315" s="34">
        <f t="shared" si="67"/>
        <v>0.4697905181918412</v>
      </c>
      <c r="AR315" s="34">
        <v>100</v>
      </c>
      <c r="AS315" s="34">
        <v>100.6</v>
      </c>
      <c r="AT315" s="34">
        <v>99.4</v>
      </c>
      <c r="AU315" s="34">
        <v>99.6</v>
      </c>
      <c r="AV315" s="34">
        <v>100.2</v>
      </c>
      <c r="AW315" s="34">
        <v>98.9</v>
      </c>
      <c r="AX315" s="34">
        <v>14</v>
      </c>
      <c r="AY315" s="34">
        <v>8.6</v>
      </c>
      <c r="AZ315" s="34">
        <v>8.8000000000000007</v>
      </c>
      <c r="BA315" s="34">
        <v>5.5</v>
      </c>
      <c r="BB315" s="34">
        <v>100.6</v>
      </c>
      <c r="BC315" s="34">
        <v>101.4</v>
      </c>
      <c r="BD315" s="34">
        <v>99.9</v>
      </c>
      <c r="BE315" s="34">
        <v>54.4</v>
      </c>
      <c r="BF315" s="34">
        <v>10.4</v>
      </c>
      <c r="BG315" s="34">
        <v>-5.3</v>
      </c>
      <c r="BH315" s="34">
        <v>153.80000000000001</v>
      </c>
      <c r="BI315" s="34">
        <v>2.1</v>
      </c>
      <c r="BJ315" s="34">
        <v>52.9</v>
      </c>
      <c r="BK315" s="34">
        <v>52.602647949750306</v>
      </c>
      <c r="BL315" s="34">
        <v>0.38100000000000001</v>
      </c>
      <c r="BM315" s="34">
        <v>99.703299999999999</v>
      </c>
      <c r="BN315" s="34">
        <v>99.746600000000001</v>
      </c>
      <c r="BO315" s="34">
        <v>-9.8000000000000007</v>
      </c>
      <c r="BP315" s="34">
        <v>-14.3</v>
      </c>
      <c r="BQ315" s="34">
        <v>5.0999999999999996</v>
      </c>
      <c r="BR315" s="34">
        <v>7</v>
      </c>
      <c r="BS315" s="34">
        <v>0.7</v>
      </c>
      <c r="BT315" s="34">
        <v>-0.9</v>
      </c>
      <c r="BU315" s="34">
        <v>-2.6</v>
      </c>
      <c r="BV315" s="34">
        <v>21.5</v>
      </c>
      <c r="BW315" s="34">
        <v>-3.2</v>
      </c>
      <c r="BX315" s="34">
        <v>-0.7</v>
      </c>
      <c r="BY315" s="34">
        <v>-5.4</v>
      </c>
      <c r="BZ315" s="34">
        <v>106.9</v>
      </c>
      <c r="CA315" s="34">
        <v>-3.2</v>
      </c>
      <c r="CB315" s="34">
        <v>8.1999999999999993</v>
      </c>
      <c r="CC315" s="34">
        <v>7.3</v>
      </c>
      <c r="CD315" s="34">
        <v>-9.8000000000000007</v>
      </c>
      <c r="CE315" s="34">
        <v>-21</v>
      </c>
      <c r="CF315" s="34">
        <v>-3.7</v>
      </c>
      <c r="CG315" s="34">
        <v>19.600000000000001</v>
      </c>
      <c r="CH315" s="34">
        <v>26.1</v>
      </c>
      <c r="CI315" s="34">
        <v>7.7</v>
      </c>
      <c r="CJ315" s="34">
        <v>-7.5</v>
      </c>
      <c r="CK315" s="34">
        <v>9.1</v>
      </c>
      <c r="CL315" s="34">
        <v>26.8</v>
      </c>
      <c r="CM315" s="34">
        <v>3439.5712859999999</v>
      </c>
      <c r="CN315" s="34">
        <v>17828.759999999998</v>
      </c>
      <c r="CO315" s="34">
        <v>2080.6165000000001</v>
      </c>
      <c r="CP315" s="34">
        <v>1.9430000000000001</v>
      </c>
      <c r="CQ315" s="34">
        <v>2.2000000000000002</v>
      </c>
      <c r="CR315" s="34">
        <v>82.9</v>
      </c>
      <c r="CS315" s="64">
        <v>52.06</v>
      </c>
      <c r="CT315" s="34">
        <v>98.6</v>
      </c>
      <c r="CU315" s="34">
        <v>107.2</v>
      </c>
      <c r="CV315" s="34">
        <v>101.5</v>
      </c>
      <c r="CW315" s="34">
        <v>104.6</v>
      </c>
      <c r="CX315" s="34">
        <v>110.5</v>
      </c>
      <c r="CY315" s="34">
        <v>9.02</v>
      </c>
      <c r="CZ315" s="34">
        <v>52889.955000000002</v>
      </c>
      <c r="DA315" s="34">
        <v>5.03</v>
      </c>
      <c r="DB315" s="34">
        <v>29.93</v>
      </c>
      <c r="DC315" s="34">
        <v>50.91</v>
      </c>
      <c r="DD315" s="34">
        <v>16.47</v>
      </c>
      <c r="DE315" s="34">
        <v>16651.050999999999</v>
      </c>
      <c r="DF315" s="34">
        <v>3602.4189999999999</v>
      </c>
      <c r="DG315" s="34">
        <v>1924.2840000000001</v>
      </c>
      <c r="DH315" s="34">
        <v>1450.615</v>
      </c>
      <c r="DI315" s="34">
        <v>5911.7690000000002</v>
      </c>
      <c r="DJ315" s="34">
        <v>99.863900000000001</v>
      </c>
      <c r="DK315" s="34">
        <v>99.790899999999993</v>
      </c>
      <c r="DL315" s="34">
        <v>99.82</v>
      </c>
      <c r="DM315" s="34">
        <v>99.771100000000004</v>
      </c>
      <c r="DN315" s="34">
        <v>99.746600000000001</v>
      </c>
      <c r="DO315" s="34">
        <v>99.703299999999999</v>
      </c>
      <c r="DP315" s="34">
        <v>99.420699999999997</v>
      </c>
      <c r="DQ315" s="34">
        <v>99.362399999999994</v>
      </c>
      <c r="DR315" s="34">
        <v>51892</v>
      </c>
      <c r="DS315" s="73">
        <v>31130</v>
      </c>
      <c r="DT315" s="73">
        <v>101</v>
      </c>
      <c r="DU315">
        <v>164.40214538574219</v>
      </c>
      <c r="DV315">
        <v>193.55435180664063</v>
      </c>
      <c r="DW315">
        <v>706</v>
      </c>
      <c r="DX315">
        <v>266225</v>
      </c>
      <c r="DY315">
        <v>86.2</v>
      </c>
      <c r="DZ315" t="s">
        <v>312</v>
      </c>
    </row>
    <row r="316" spans="1:130" s="56" customFormat="1" x14ac:dyDescent="0.25">
      <c r="A316" s="53">
        <v>42339</v>
      </c>
      <c r="B316" s="54">
        <v>100.7</v>
      </c>
      <c r="C316" s="112">
        <v>-0.2</v>
      </c>
      <c r="D316" s="98">
        <v>0.05</v>
      </c>
      <c r="E316" s="54">
        <v>-0.09</v>
      </c>
      <c r="F316" s="54">
        <v>-0.2</v>
      </c>
      <c r="G316" s="54">
        <v>0.08</v>
      </c>
      <c r="H316" s="54">
        <v>0.55000000000000004</v>
      </c>
      <c r="I316" s="54">
        <f t="shared" si="76"/>
        <v>0.75</v>
      </c>
      <c r="J316" s="54">
        <f>IF(ISNUMBER(D316),IF(ISNUMBER(H316),H316-D316,""),"")</f>
        <v>0.5</v>
      </c>
      <c r="K316" s="54">
        <f t="shared" si="77"/>
        <v>0.64</v>
      </c>
      <c r="L316" s="54">
        <f t="shared" si="78"/>
        <v>0.25</v>
      </c>
      <c r="M316" s="54">
        <v>93.9</v>
      </c>
      <c r="N316" s="54">
        <v>11261.24</v>
      </c>
      <c r="O316" s="54">
        <v>22.62</v>
      </c>
      <c r="P316" s="64">
        <v>1764.4</v>
      </c>
      <c r="Q316" s="34">
        <f t="shared" si="56"/>
        <v>18.710498409331922</v>
      </c>
      <c r="R316" s="34">
        <v>2608.4</v>
      </c>
      <c r="S316" s="34">
        <f t="shared" si="57"/>
        <v>2766.0657476139982</v>
      </c>
      <c r="T316" s="34">
        <v>2650.9</v>
      </c>
      <c r="U316" s="34">
        <f t="shared" si="58"/>
        <v>2811.134676564157</v>
      </c>
      <c r="V316" s="118">
        <v>214533</v>
      </c>
      <c r="W316" s="118">
        <v>6612393</v>
      </c>
      <c r="X316" s="119">
        <v>10217313</v>
      </c>
      <c r="Y316" s="119">
        <v>625244</v>
      </c>
      <c r="Z316" s="54">
        <v>97.3</v>
      </c>
      <c r="AA316" s="54">
        <v>87.5</v>
      </c>
      <c r="AB316" s="54">
        <v>90.8</v>
      </c>
      <c r="AC316" s="54">
        <v>86.8</v>
      </c>
      <c r="AD316" s="54">
        <v>43394</v>
      </c>
      <c r="AE316" s="54">
        <v>6.3</v>
      </c>
      <c r="AF316" s="54">
        <v>615</v>
      </c>
      <c r="AG316" s="54">
        <v>94.6</v>
      </c>
      <c r="AH316" s="54">
        <v>94.3</v>
      </c>
      <c r="AI316" s="64">
        <v>89.7</v>
      </c>
      <c r="AJ316" s="64">
        <v>92.9</v>
      </c>
      <c r="AK316" s="64">
        <v>169.14192399999999</v>
      </c>
      <c r="AL316" s="64">
        <v>84.3</v>
      </c>
      <c r="AM316" s="54">
        <v>71.69</v>
      </c>
      <c r="AN316" s="33">
        <v>99.51</v>
      </c>
      <c r="AO316" s="33">
        <v>82.66</v>
      </c>
      <c r="AP316" s="33">
        <v>35.57</v>
      </c>
      <c r="AQ316" s="54">
        <f t="shared" si="67"/>
        <v>0.39654403567447044</v>
      </c>
      <c r="AR316" s="54">
        <v>99.7</v>
      </c>
      <c r="AS316" s="54">
        <v>100</v>
      </c>
      <c r="AT316" s="54">
        <v>99.4</v>
      </c>
      <c r="AU316" s="54">
        <v>99.5</v>
      </c>
      <c r="AV316" s="54">
        <v>99.6</v>
      </c>
      <c r="AW316" s="54">
        <v>99.3</v>
      </c>
      <c r="AX316" s="54">
        <v>12.8</v>
      </c>
      <c r="AY316" s="54">
        <v>7.6</v>
      </c>
      <c r="AZ316" s="54">
        <v>8.1999999999999993</v>
      </c>
      <c r="BA316" s="54">
        <v>4.8</v>
      </c>
      <c r="BB316" s="54">
        <v>100.8</v>
      </c>
      <c r="BC316" s="54">
        <v>101.5</v>
      </c>
      <c r="BD316" s="54">
        <v>100.2</v>
      </c>
      <c r="BE316" s="54">
        <v>55</v>
      </c>
      <c r="BF316" s="54">
        <v>16.100000000000001</v>
      </c>
      <c r="BG316" s="54">
        <v>2.9</v>
      </c>
      <c r="BH316" s="54">
        <v>151.5</v>
      </c>
      <c r="BI316" s="54">
        <v>6.2</v>
      </c>
      <c r="BJ316" s="34">
        <v>53.2</v>
      </c>
      <c r="BK316" s="54">
        <v>50.387995314002275</v>
      </c>
      <c r="BL316" s="54">
        <v>0.42</v>
      </c>
      <c r="BM316" s="54">
        <v>99.621499999999997</v>
      </c>
      <c r="BN316" s="54">
        <v>99.676299999999998</v>
      </c>
      <c r="BO316" s="54">
        <v>-8.1</v>
      </c>
      <c r="BP316" s="54">
        <v>-13.5</v>
      </c>
      <c r="BQ316" s="54">
        <v>7.3</v>
      </c>
      <c r="BR316" s="54">
        <v>6.4</v>
      </c>
      <c r="BS316" s="54">
        <v>-1.5</v>
      </c>
      <c r="BT316" s="54">
        <v>-1.6</v>
      </c>
      <c r="BU316" s="54">
        <v>-3</v>
      </c>
      <c r="BV316" s="54">
        <v>19.600000000000001</v>
      </c>
      <c r="BW316" s="54">
        <v>-1.8</v>
      </c>
      <c r="BX316" s="54">
        <v>-2.5</v>
      </c>
      <c r="BY316" s="54">
        <v>-5.3</v>
      </c>
      <c r="BZ316" s="54">
        <v>106.4</v>
      </c>
      <c r="CA316" s="54">
        <v>-1.8</v>
      </c>
      <c r="CB316" s="54">
        <v>8.8000000000000007</v>
      </c>
      <c r="CC316" s="54">
        <v>8.3000000000000007</v>
      </c>
      <c r="CD316" s="54">
        <v>-7.8</v>
      </c>
      <c r="CE316" s="54">
        <v>-19.2</v>
      </c>
      <c r="CF316" s="54">
        <v>-1</v>
      </c>
      <c r="CG316" s="54">
        <v>19.2</v>
      </c>
      <c r="CH316" s="54">
        <v>27.2</v>
      </c>
      <c r="CI316" s="54">
        <v>9.3000000000000007</v>
      </c>
      <c r="CJ316" s="54">
        <v>-5.2</v>
      </c>
      <c r="CK316" s="54">
        <v>9.8000000000000007</v>
      </c>
      <c r="CL316" s="54">
        <v>28.1</v>
      </c>
      <c r="CM316" s="54">
        <v>3288.6339549999998</v>
      </c>
      <c r="CN316" s="54">
        <v>17888.36</v>
      </c>
      <c r="CO316" s="54">
        <v>2054.0795450000001</v>
      </c>
      <c r="CP316" s="54">
        <v>1.766</v>
      </c>
      <c r="CQ316" s="54">
        <v>2.15</v>
      </c>
      <c r="CR316" s="54">
        <v>82.7</v>
      </c>
      <c r="CS316" s="64">
        <v>51.88</v>
      </c>
      <c r="CT316" s="54">
        <v>98.4</v>
      </c>
      <c r="CU316" s="54">
        <v>111.5</v>
      </c>
      <c r="CV316" s="54">
        <v>100.7</v>
      </c>
      <c r="CW316" s="54">
        <v>105</v>
      </c>
      <c r="CX316" s="54">
        <v>111.2</v>
      </c>
      <c r="CY316" s="54">
        <v>9.33</v>
      </c>
      <c r="CZ316" s="54">
        <v>45050.256999999998</v>
      </c>
      <c r="DA316" s="54">
        <v>5.23</v>
      </c>
      <c r="DB316" s="54">
        <v>28.94</v>
      </c>
      <c r="DC316" s="54">
        <v>49.79</v>
      </c>
      <c r="DD316" s="54">
        <v>16.16</v>
      </c>
      <c r="DE316" s="54">
        <v>16857.418000000001</v>
      </c>
      <c r="DF316" s="54">
        <v>3845.067</v>
      </c>
      <c r="DG316" s="54">
        <v>1562.587</v>
      </c>
      <c r="DH316" s="54">
        <v>1360.3810000000001</v>
      </c>
      <c r="DI316" s="54">
        <v>5982.4979999999996</v>
      </c>
      <c r="DJ316" s="54">
        <v>99.802400000000006</v>
      </c>
      <c r="DK316" s="54">
        <v>99.716999999999999</v>
      </c>
      <c r="DL316" s="54">
        <v>99.75</v>
      </c>
      <c r="DM316" s="54">
        <v>99.678899999999999</v>
      </c>
      <c r="DN316" s="54">
        <v>99.676299999999998</v>
      </c>
      <c r="DO316" s="54">
        <v>99.621499999999997</v>
      </c>
      <c r="DP316" s="54">
        <v>99.323800000000006</v>
      </c>
      <c r="DQ316" s="54">
        <v>99.255799999999994</v>
      </c>
      <c r="DR316" s="54">
        <v>39102</v>
      </c>
      <c r="DS316" s="73">
        <v>31181</v>
      </c>
      <c r="DT316" s="96">
        <v>101.2</v>
      </c>
      <c r="DU316">
        <v>147.41886901855469</v>
      </c>
      <c r="DV316">
        <v>127.08606719970703</v>
      </c>
      <c r="DW316" s="56">
        <v>598</v>
      </c>
      <c r="DX316" s="56">
        <v>239200</v>
      </c>
      <c r="DY316" s="56">
        <v>87.8</v>
      </c>
      <c r="DZ316" t="s">
        <v>312</v>
      </c>
    </row>
    <row r="317" spans="1:130" x14ac:dyDescent="0.25">
      <c r="A317" s="1">
        <v>42370</v>
      </c>
      <c r="B317" s="34">
        <v>102.6</v>
      </c>
      <c r="C317" s="111">
        <v>-0.24</v>
      </c>
      <c r="D317" s="99">
        <v>0.05</v>
      </c>
      <c r="E317" s="34">
        <v>-0.12</v>
      </c>
      <c r="F317" s="34">
        <v>-0.25</v>
      </c>
      <c r="G317" s="34">
        <v>0.04</v>
      </c>
      <c r="H317" s="34">
        <v>0.43</v>
      </c>
      <c r="I317" s="34">
        <f t="shared" si="76"/>
        <v>0.66999999999999993</v>
      </c>
      <c r="J317" s="34">
        <f>IF(ISNUMBER(D317),IF(ISNUMBER(H317),H317-D317,""),"")</f>
        <v>0.38</v>
      </c>
      <c r="K317" s="34">
        <f t="shared" si="77"/>
        <v>0.55000000000000004</v>
      </c>
      <c r="L317" s="34">
        <f t="shared" si="78"/>
        <v>0.28999999999999998</v>
      </c>
      <c r="M317" s="34">
        <v>94.3</v>
      </c>
      <c r="N317" s="34">
        <v>10743.01</v>
      </c>
      <c r="O317" s="34">
        <v>27.72</v>
      </c>
      <c r="P317" s="64">
        <v>1794.1</v>
      </c>
      <c r="Q317" s="34">
        <f t="shared" si="56"/>
        <v>18.985185185185184</v>
      </c>
      <c r="R317" s="34">
        <v>2633.4</v>
      </c>
      <c r="S317" s="34">
        <f t="shared" si="57"/>
        <v>2786.6666666666665</v>
      </c>
      <c r="T317" s="34">
        <v>2676.1</v>
      </c>
      <c r="U317" s="34">
        <f t="shared" si="58"/>
        <v>2831.8518518518517</v>
      </c>
      <c r="V317" s="118">
        <v>211881</v>
      </c>
      <c r="W317" s="118">
        <v>6670355</v>
      </c>
      <c r="X317" s="119">
        <v>10268839</v>
      </c>
      <c r="Y317" s="119">
        <v>640533</v>
      </c>
      <c r="Z317" s="34">
        <v>97.5</v>
      </c>
      <c r="AA317" s="34">
        <v>89.7</v>
      </c>
      <c r="AB317" s="34">
        <v>91.5</v>
      </c>
      <c r="AC317" s="34">
        <v>90.7</v>
      </c>
      <c r="AD317" s="34">
        <v>43391</v>
      </c>
      <c r="AE317" s="34">
        <v>6.2</v>
      </c>
      <c r="AF317" s="34">
        <v>625</v>
      </c>
      <c r="AG317" s="34">
        <v>94.5</v>
      </c>
      <c r="AH317" s="34">
        <v>94.5</v>
      </c>
      <c r="AI317" s="64">
        <v>88.3</v>
      </c>
      <c r="AJ317" s="64">
        <v>92.5</v>
      </c>
      <c r="AK317" s="64">
        <v>168.16535400000001</v>
      </c>
      <c r="AL317" s="64">
        <v>83.2</v>
      </c>
      <c r="AM317" s="34">
        <v>70.67</v>
      </c>
      <c r="AN317" s="33">
        <v>86.86</v>
      </c>
      <c r="AO317" s="33">
        <v>80.84</v>
      </c>
      <c r="AP317" s="33">
        <v>29.63</v>
      </c>
      <c r="AQ317" s="34">
        <f t="shared" ref="AQ317:AQ348" si="79">IF(ISNUMBER(AI317),AP317/$AI317,"")</f>
        <v>0.33556058890147228</v>
      </c>
      <c r="AR317" s="34">
        <v>99</v>
      </c>
      <c r="AS317" s="34">
        <v>98.1</v>
      </c>
      <c r="AT317" s="34">
        <v>100</v>
      </c>
      <c r="AU317" s="34">
        <v>98</v>
      </c>
      <c r="AV317" s="34">
        <v>97.1</v>
      </c>
      <c r="AW317" s="34">
        <v>98.8</v>
      </c>
      <c r="AX317" s="34">
        <v>10</v>
      </c>
      <c r="AY317" s="34">
        <v>2.2000000000000002</v>
      </c>
      <c r="AZ317" s="34">
        <v>6.1</v>
      </c>
      <c r="BA317" s="34">
        <v>0.5</v>
      </c>
      <c r="BB317" s="34">
        <v>100.8</v>
      </c>
      <c r="BC317" s="34">
        <v>100.1</v>
      </c>
      <c r="BD317" s="34">
        <v>101.5</v>
      </c>
      <c r="BE317" s="34">
        <v>59.7</v>
      </c>
      <c r="BF317" s="34">
        <v>10.199999999999999</v>
      </c>
      <c r="BG317" s="34">
        <v>4.2</v>
      </c>
      <c r="BH317" s="34">
        <v>151.30000000000001</v>
      </c>
      <c r="BI317" s="34">
        <v>18.5</v>
      </c>
      <c r="BJ317" s="34">
        <v>52.3</v>
      </c>
      <c r="BK317" s="34">
        <v>30.401499724682481</v>
      </c>
      <c r="BL317" s="34">
        <v>0.41599999999999998</v>
      </c>
      <c r="BM317" s="34">
        <v>99.545500000000004</v>
      </c>
      <c r="BN317" s="34">
        <v>99.611000000000004</v>
      </c>
      <c r="BO317" s="34">
        <v>-6.7</v>
      </c>
      <c r="BP317" s="34">
        <v>-11.5</v>
      </c>
      <c r="BQ317" s="34">
        <v>7.7</v>
      </c>
      <c r="BR317" s="34">
        <v>2.9</v>
      </c>
      <c r="BS317" s="34">
        <v>-2.2999999999999998</v>
      </c>
      <c r="BT317" s="34">
        <v>-2.2999999999999998</v>
      </c>
      <c r="BU317" s="34">
        <v>-3.8</v>
      </c>
      <c r="BV317" s="34">
        <v>19.8</v>
      </c>
      <c r="BW317" s="34">
        <v>-2.2000000000000002</v>
      </c>
      <c r="BX317" s="34">
        <v>-2.7</v>
      </c>
      <c r="BY317" s="34">
        <v>-5.3</v>
      </c>
      <c r="BZ317" s="34">
        <v>105.8</v>
      </c>
      <c r="CA317" s="34">
        <v>-2.2000000000000002</v>
      </c>
      <c r="CB317" s="34">
        <v>8.3000000000000007</v>
      </c>
      <c r="CC317" s="34">
        <v>8.5</v>
      </c>
      <c r="CD317" s="34">
        <v>-7.1</v>
      </c>
      <c r="CE317" s="34">
        <v>-19.8</v>
      </c>
      <c r="CF317" s="34">
        <v>-2</v>
      </c>
      <c r="CG317" s="34">
        <v>18</v>
      </c>
      <c r="CH317" s="34">
        <v>28.7</v>
      </c>
      <c r="CI317" s="34">
        <v>9.3000000000000007</v>
      </c>
      <c r="CJ317" s="34">
        <v>-5.9</v>
      </c>
      <c r="CK317" s="34">
        <v>8.6999999999999993</v>
      </c>
      <c r="CL317" s="34">
        <v>27.3</v>
      </c>
      <c r="CM317" s="34">
        <v>3030.5048000000002</v>
      </c>
      <c r="CN317" s="34">
        <v>17425.03</v>
      </c>
      <c r="CO317" s="34">
        <v>1918.5978950000001</v>
      </c>
      <c r="CP317" s="34">
        <v>1.96</v>
      </c>
      <c r="CQ317" s="34">
        <v>2.27</v>
      </c>
      <c r="CR317" s="34">
        <v>82.7</v>
      </c>
      <c r="CS317" s="64">
        <v>53.54</v>
      </c>
      <c r="CT317" s="34">
        <v>102.6</v>
      </c>
      <c r="CU317" s="34">
        <v>107.1</v>
      </c>
      <c r="CV317" s="34">
        <v>100.7</v>
      </c>
      <c r="CW317" s="34">
        <v>106.2</v>
      </c>
      <c r="CX317" s="34">
        <v>111.8</v>
      </c>
      <c r="CY317" s="34">
        <v>8.73</v>
      </c>
      <c r="CZ317" s="34">
        <v>47973.934999999998</v>
      </c>
      <c r="DA317" s="34">
        <v>4.9400000000000004</v>
      </c>
      <c r="DB317" s="34">
        <v>30.16</v>
      </c>
      <c r="DC317" s="34">
        <v>51.29</v>
      </c>
      <c r="DD317" s="34">
        <v>16.78</v>
      </c>
      <c r="DE317" s="34">
        <v>13548.915999999999</v>
      </c>
      <c r="DF317" s="34">
        <v>2458.3220000000001</v>
      </c>
      <c r="DG317" s="34">
        <v>1253.1679999999999</v>
      </c>
      <c r="DH317" s="34">
        <v>1274.6890000000001</v>
      </c>
      <c r="DI317" s="34">
        <v>5149.8710000000001</v>
      </c>
      <c r="DJ317" s="34">
        <v>99.747299999999996</v>
      </c>
      <c r="DK317" s="34">
        <v>99.651600000000002</v>
      </c>
      <c r="DL317" s="34">
        <v>99.68</v>
      </c>
      <c r="DM317" s="34">
        <v>99.593699999999998</v>
      </c>
      <c r="DN317" s="34">
        <v>99.611000000000004</v>
      </c>
      <c r="DO317" s="34">
        <v>99.545500000000004</v>
      </c>
      <c r="DP317" s="34">
        <v>99.245599999999996</v>
      </c>
      <c r="DQ317" s="34">
        <v>99.169899999999998</v>
      </c>
      <c r="DR317" s="34">
        <v>48372</v>
      </c>
      <c r="DS317" s="73">
        <v>31207</v>
      </c>
      <c r="DT317" s="73">
        <v>101</v>
      </c>
      <c r="DU317">
        <v>209.74028015136719</v>
      </c>
      <c r="DV317">
        <v>203.99563598632813</v>
      </c>
      <c r="DW317">
        <v>478</v>
      </c>
      <c r="DX317">
        <v>235800</v>
      </c>
      <c r="DY317">
        <v>88.5</v>
      </c>
      <c r="DZ317" t="s">
        <v>312</v>
      </c>
    </row>
    <row r="318" spans="1:130" x14ac:dyDescent="0.25">
      <c r="A318" s="1">
        <v>42401</v>
      </c>
      <c r="B318" s="34">
        <v>102.6</v>
      </c>
      <c r="C318" s="111">
        <v>-0.24</v>
      </c>
      <c r="D318" s="99">
        <v>0.05</v>
      </c>
      <c r="E318" s="34">
        <v>-0.15</v>
      </c>
      <c r="F318" s="34">
        <v>-0.41</v>
      </c>
      <c r="G318" s="34">
        <v>-0.18</v>
      </c>
      <c r="H318" s="34">
        <v>0.17</v>
      </c>
      <c r="I318" s="34">
        <f t="shared" si="76"/>
        <v>0.41000000000000003</v>
      </c>
      <c r="J318" s="34">
        <f>IF(ISNUMBER(D318),IF(ISNUMBER(H318),H318-D318,""),"")</f>
        <v>0.12000000000000001</v>
      </c>
      <c r="K318" s="34">
        <f t="shared" si="77"/>
        <v>0.32</v>
      </c>
      <c r="L318" s="34">
        <f t="shared" si="78"/>
        <v>0.28999999999999998</v>
      </c>
      <c r="M318" s="34">
        <v>94.9</v>
      </c>
      <c r="N318" s="34">
        <v>9757.8799999999992</v>
      </c>
      <c r="O318" s="34">
        <v>27.52</v>
      </c>
      <c r="P318" s="64">
        <v>1808.3</v>
      </c>
      <c r="Q318" s="34">
        <f t="shared" si="56"/>
        <v>19.095036958817317</v>
      </c>
      <c r="R318" s="34">
        <v>2645.1</v>
      </c>
      <c r="S318" s="34">
        <f t="shared" si="57"/>
        <v>2793.1362196409714</v>
      </c>
      <c r="T318" s="34">
        <v>2689.1</v>
      </c>
      <c r="U318" s="34">
        <f t="shared" si="58"/>
        <v>2839.598732840549</v>
      </c>
      <c r="V318" s="118">
        <v>214263</v>
      </c>
      <c r="W318" s="118">
        <v>6733011</v>
      </c>
      <c r="X318" s="119">
        <v>10320213</v>
      </c>
      <c r="Y318" s="119">
        <v>656005</v>
      </c>
      <c r="Z318" s="34">
        <v>98.6</v>
      </c>
      <c r="AA318" s="34">
        <v>89</v>
      </c>
      <c r="AB318" s="34">
        <v>85.5</v>
      </c>
      <c r="AC318" s="34">
        <v>89.3</v>
      </c>
      <c r="AD318" s="34">
        <v>43457</v>
      </c>
      <c r="AE318" s="34">
        <v>6.2</v>
      </c>
      <c r="AF318" s="34">
        <v>631</v>
      </c>
      <c r="AG318" s="34">
        <v>94.5</v>
      </c>
      <c r="AH318" s="34">
        <v>94.7</v>
      </c>
      <c r="AI318" s="64">
        <v>87.5</v>
      </c>
      <c r="AJ318" s="64">
        <v>92.1</v>
      </c>
      <c r="AK318" s="64">
        <v>167.38409799999999</v>
      </c>
      <c r="AL318" s="64">
        <v>83.1</v>
      </c>
      <c r="AM318" s="34">
        <v>72.95</v>
      </c>
      <c r="AN318" s="33">
        <v>84.35</v>
      </c>
      <c r="AO318" s="33">
        <v>82.14</v>
      </c>
      <c r="AP318" s="33">
        <v>30.45</v>
      </c>
      <c r="AQ318" s="34">
        <f t="shared" si="79"/>
        <v>0.34799999999999998</v>
      </c>
      <c r="AR318" s="34">
        <v>97.5</v>
      </c>
      <c r="AS318" s="34">
        <v>95.8</v>
      </c>
      <c r="AT318" s="34">
        <v>99.2</v>
      </c>
      <c r="AU318" s="34">
        <v>95.7</v>
      </c>
      <c r="AV318" s="34">
        <v>93.4</v>
      </c>
      <c r="AW318" s="34">
        <v>98.1</v>
      </c>
      <c r="AX318" s="34">
        <v>5.0999999999999996</v>
      </c>
      <c r="AY318" s="34">
        <v>2.2000000000000002</v>
      </c>
      <c r="AZ318" s="34">
        <v>2.8</v>
      </c>
      <c r="BA318" s="34">
        <v>0.5</v>
      </c>
      <c r="BB318" s="34">
        <v>99.1</v>
      </c>
      <c r="BC318" s="34">
        <v>98.6</v>
      </c>
      <c r="BD318" s="34">
        <v>99.5</v>
      </c>
      <c r="BE318" s="34">
        <v>52.3</v>
      </c>
      <c r="BF318" s="34">
        <v>1</v>
      </c>
      <c r="BG318" s="34">
        <v>3.4</v>
      </c>
      <c r="BH318" s="34">
        <v>155.1</v>
      </c>
      <c r="BI318" s="34">
        <v>42.2</v>
      </c>
      <c r="BJ318" s="34">
        <v>50.5</v>
      </c>
      <c r="BK318" s="34">
        <v>22.460265147230317</v>
      </c>
      <c r="BL318" s="34">
        <v>0.35699999999999998</v>
      </c>
      <c r="BM318" s="34">
        <v>99.484499999999997</v>
      </c>
      <c r="BN318" s="34">
        <v>99.558599999999998</v>
      </c>
      <c r="BO318" s="34">
        <v>-9.6</v>
      </c>
      <c r="BP318" s="34">
        <v>-12.9</v>
      </c>
      <c r="BQ318" s="34">
        <v>5.3</v>
      </c>
      <c r="BR318" s="34">
        <v>2.2000000000000002</v>
      </c>
      <c r="BS318" s="34">
        <v>-3.3</v>
      </c>
      <c r="BT318" s="34">
        <v>-3.5</v>
      </c>
      <c r="BU318" s="34">
        <v>-4.2</v>
      </c>
      <c r="BV318" s="34">
        <v>17.5</v>
      </c>
      <c r="BW318" s="34">
        <v>-2.2000000000000002</v>
      </c>
      <c r="BX318" s="34">
        <v>-5</v>
      </c>
      <c r="BY318" s="34">
        <v>-3.5</v>
      </c>
      <c r="BZ318" s="34">
        <v>105.3</v>
      </c>
      <c r="CA318" s="34">
        <v>-2.2000000000000002</v>
      </c>
      <c r="CB318" s="34">
        <v>9</v>
      </c>
      <c r="CC318" s="34">
        <v>9.1</v>
      </c>
      <c r="CD318" s="34">
        <v>-8.9</v>
      </c>
      <c r="CE318" s="34">
        <v>-19.8</v>
      </c>
      <c r="CF318" s="34">
        <v>-1.9</v>
      </c>
      <c r="CG318" s="34">
        <v>16.399999999999999</v>
      </c>
      <c r="CH318" s="34">
        <v>29.8</v>
      </c>
      <c r="CI318" s="34">
        <v>10.6</v>
      </c>
      <c r="CJ318" s="34">
        <v>-7</v>
      </c>
      <c r="CK318" s="34">
        <v>9.5</v>
      </c>
      <c r="CL318" s="34">
        <v>27.8</v>
      </c>
      <c r="CM318" s="34">
        <v>2862.5876669999998</v>
      </c>
      <c r="CN318" s="34">
        <v>16449.18</v>
      </c>
      <c r="CO318" s="34">
        <v>1904.4185</v>
      </c>
      <c r="CP318" s="34">
        <v>1.6319999999999999</v>
      </c>
      <c r="CQ318" s="34">
        <v>1.97</v>
      </c>
      <c r="CR318" s="34">
        <v>81.900000000000006</v>
      </c>
      <c r="CS318" s="64">
        <v>52.07</v>
      </c>
      <c r="CT318" s="34">
        <v>102.4</v>
      </c>
      <c r="CU318" s="34">
        <v>106.4</v>
      </c>
      <c r="CV318" s="34">
        <v>100.7</v>
      </c>
      <c r="CW318" s="34">
        <v>103.9</v>
      </c>
      <c r="CX318" s="34">
        <v>108.5</v>
      </c>
      <c r="CY318" s="34">
        <v>8.98</v>
      </c>
      <c r="CZ318" s="34">
        <v>51028.366999999998</v>
      </c>
      <c r="DA318" s="34">
        <v>4.8499999999999996</v>
      </c>
      <c r="DB318" s="34">
        <v>29.98</v>
      </c>
      <c r="DC318" s="34">
        <v>50.29</v>
      </c>
      <c r="DD318" s="34">
        <v>16.66</v>
      </c>
      <c r="DE318" s="34">
        <v>15347.34</v>
      </c>
      <c r="DF318" s="34">
        <v>2839.0920000000001</v>
      </c>
      <c r="DG318" s="34">
        <v>1644.479</v>
      </c>
      <c r="DH318" s="34">
        <v>1401.23</v>
      </c>
      <c r="DI318" s="34">
        <v>5832.848</v>
      </c>
      <c r="DJ318" s="34">
        <v>99.704400000000007</v>
      </c>
      <c r="DK318" s="34">
        <v>99.601200000000006</v>
      </c>
      <c r="DL318" s="34">
        <v>99.63</v>
      </c>
      <c r="DM318" s="34">
        <v>99.534199999999998</v>
      </c>
      <c r="DN318" s="34">
        <v>99.558599999999998</v>
      </c>
      <c r="DO318" s="34">
        <v>99.484499999999997</v>
      </c>
      <c r="DP318" s="34">
        <v>99.192899999999995</v>
      </c>
      <c r="DQ318" s="34">
        <v>99.111900000000006</v>
      </c>
      <c r="DR318" s="34">
        <v>49782</v>
      </c>
      <c r="DS318" s="73">
        <v>31286</v>
      </c>
      <c r="DT318" s="73">
        <v>99.7</v>
      </c>
      <c r="DU318">
        <v>227.79281616210938</v>
      </c>
      <c r="DV318">
        <v>181.86090087890625</v>
      </c>
      <c r="DW318">
        <v>314</v>
      </c>
      <c r="DX318">
        <v>239025</v>
      </c>
      <c r="DY318">
        <v>89</v>
      </c>
      <c r="DZ318" t="s">
        <v>312</v>
      </c>
    </row>
    <row r="319" spans="1:130" s="56" customFormat="1" x14ac:dyDescent="0.25">
      <c r="A319" s="53">
        <v>42430</v>
      </c>
      <c r="B319" s="54">
        <v>101.7</v>
      </c>
      <c r="C319" s="112">
        <v>-0.28999999999999998</v>
      </c>
      <c r="D319" s="98">
        <v>0</v>
      </c>
      <c r="E319" s="54">
        <v>-0.19</v>
      </c>
      <c r="F319" s="54">
        <v>-0.43</v>
      </c>
      <c r="G319" s="54">
        <v>-0.21</v>
      </c>
      <c r="H319" s="54">
        <v>0.17</v>
      </c>
      <c r="I319" s="54">
        <f t="shared" si="76"/>
        <v>0.45999999999999996</v>
      </c>
      <c r="J319" s="54">
        <f>IF(ISNUMBER(D319),IF(ISNUMBER(H319),H319-D319,""),"")</f>
        <v>0.17</v>
      </c>
      <c r="K319" s="54">
        <f t="shared" si="77"/>
        <v>0.36</v>
      </c>
      <c r="L319" s="54">
        <f t="shared" si="78"/>
        <v>0.28999999999999998</v>
      </c>
      <c r="M319" s="54">
        <v>94.7</v>
      </c>
      <c r="N319" s="54">
        <v>9717.16</v>
      </c>
      <c r="O319" s="54">
        <v>24.85</v>
      </c>
      <c r="P319" s="64">
        <v>1803.6</v>
      </c>
      <c r="Q319" s="34">
        <f t="shared" si="56"/>
        <v>19.045406546990495</v>
      </c>
      <c r="R319" s="34">
        <v>2648.5</v>
      </c>
      <c r="S319" s="34">
        <f t="shared" si="57"/>
        <v>2796.7265047518476</v>
      </c>
      <c r="T319" s="34">
        <v>2690</v>
      </c>
      <c r="U319" s="34">
        <f t="shared" si="58"/>
        <v>2840.5491024287221</v>
      </c>
      <c r="V319" s="118">
        <v>215101</v>
      </c>
      <c r="W319" s="118">
        <v>6757516</v>
      </c>
      <c r="X319" s="119">
        <v>10342705</v>
      </c>
      <c r="Y319" s="119">
        <v>644277</v>
      </c>
      <c r="Z319" s="54">
        <v>97</v>
      </c>
      <c r="AA319" s="54">
        <v>90.7</v>
      </c>
      <c r="AB319" s="54">
        <v>86.7</v>
      </c>
      <c r="AC319" s="54">
        <v>93.2</v>
      </c>
      <c r="AD319" s="54">
        <v>43522</v>
      </c>
      <c r="AE319" s="54">
        <v>6.2</v>
      </c>
      <c r="AF319" s="54">
        <v>636</v>
      </c>
      <c r="AG319" s="54">
        <v>94.6</v>
      </c>
      <c r="AH319" s="54">
        <v>94.7</v>
      </c>
      <c r="AI319" s="64">
        <v>87.9</v>
      </c>
      <c r="AJ319" s="64">
        <v>92</v>
      </c>
      <c r="AK319" s="64">
        <v>167.38409799999999</v>
      </c>
      <c r="AL319" s="64">
        <v>83.5</v>
      </c>
      <c r="AM319" s="54">
        <v>76.8</v>
      </c>
      <c r="AN319" s="33">
        <v>93.64</v>
      </c>
      <c r="AO319" s="33">
        <v>86.14</v>
      </c>
      <c r="AP319" s="33">
        <v>35.78</v>
      </c>
      <c r="AQ319" s="54">
        <f t="shared" si="79"/>
        <v>0.40705346985210467</v>
      </c>
      <c r="AR319" s="54">
        <v>98.9</v>
      </c>
      <c r="AS319" s="54">
        <v>97.6</v>
      </c>
      <c r="AT319" s="54">
        <v>100.2</v>
      </c>
      <c r="AU319" s="54">
        <v>97.2</v>
      </c>
      <c r="AV319" s="54">
        <v>95.9</v>
      </c>
      <c r="AW319" s="54">
        <v>98.5</v>
      </c>
      <c r="AX319" s="54">
        <v>5</v>
      </c>
      <c r="AY319" s="54">
        <v>7.8</v>
      </c>
      <c r="AZ319" s="54">
        <v>4.2</v>
      </c>
      <c r="BA319" s="54">
        <v>3.8</v>
      </c>
      <c r="BB319" s="54">
        <v>101.6</v>
      </c>
      <c r="BC319" s="54">
        <v>99.5</v>
      </c>
      <c r="BD319" s="54">
        <v>103.7</v>
      </c>
      <c r="BE319" s="54">
        <v>50.7</v>
      </c>
      <c r="BF319" s="54">
        <v>4.3</v>
      </c>
      <c r="BG319" s="54">
        <v>0.5</v>
      </c>
      <c r="BH319" s="54">
        <v>152.30000000000001</v>
      </c>
      <c r="BI319" s="54">
        <v>43</v>
      </c>
      <c r="BJ319" s="34">
        <v>50.7</v>
      </c>
      <c r="BK319" s="54">
        <v>20.949857967251145</v>
      </c>
      <c r="BL319" s="54">
        <v>0.28399999999999997</v>
      </c>
      <c r="BM319" s="54">
        <v>99.454899999999995</v>
      </c>
      <c r="BN319" s="54">
        <v>99.533199999999994</v>
      </c>
      <c r="BO319" s="54">
        <v>-8.8000000000000007</v>
      </c>
      <c r="BP319" s="54">
        <v>-12.9</v>
      </c>
      <c r="BQ319" s="54">
        <v>5.0999999999999996</v>
      </c>
      <c r="BR319" s="54">
        <v>2.7</v>
      </c>
      <c r="BS319" s="54">
        <v>-5.4</v>
      </c>
      <c r="BT319" s="54">
        <v>-3.4</v>
      </c>
      <c r="BU319" s="54">
        <v>-3.7</v>
      </c>
      <c r="BV319" s="54">
        <v>17.600000000000001</v>
      </c>
      <c r="BW319" s="54">
        <v>-2.6</v>
      </c>
      <c r="BX319" s="54">
        <v>-3.3</v>
      </c>
      <c r="BY319" s="54">
        <v>-3</v>
      </c>
      <c r="BZ319" s="54">
        <v>105.4</v>
      </c>
      <c r="CA319" s="54">
        <v>-2.6</v>
      </c>
      <c r="CB319" s="54">
        <v>8</v>
      </c>
      <c r="CC319" s="54">
        <v>8.4</v>
      </c>
      <c r="CD319" s="54">
        <v>-10.199999999999999</v>
      </c>
      <c r="CE319" s="54">
        <v>-20.399999999999999</v>
      </c>
      <c r="CF319" s="54">
        <v>-0.7</v>
      </c>
      <c r="CG319" s="54">
        <v>16.399999999999999</v>
      </c>
      <c r="CH319" s="54">
        <v>30.6</v>
      </c>
      <c r="CI319" s="54">
        <v>10</v>
      </c>
      <c r="CJ319" s="54">
        <v>-6.6</v>
      </c>
      <c r="CK319" s="54">
        <v>10.7</v>
      </c>
      <c r="CL319" s="54">
        <v>27.5</v>
      </c>
      <c r="CM319" s="54">
        <v>3031.4184759999998</v>
      </c>
      <c r="CN319" s="54">
        <v>16865.07</v>
      </c>
      <c r="CO319" s="54">
        <v>2021.9540910000001</v>
      </c>
      <c r="CP319" s="54">
        <v>1.393</v>
      </c>
      <c r="CQ319" s="54">
        <v>1.83</v>
      </c>
      <c r="CR319" s="54">
        <v>81.5</v>
      </c>
      <c r="CS319" s="64">
        <v>51.42</v>
      </c>
      <c r="CT319" s="54">
        <v>101.2</v>
      </c>
      <c r="CU319" s="54">
        <v>106.1</v>
      </c>
      <c r="CV319" s="54">
        <v>102.6</v>
      </c>
      <c r="CW319" s="54">
        <v>104.3</v>
      </c>
      <c r="CX319" s="54">
        <v>108.8</v>
      </c>
      <c r="CY319" s="54">
        <v>9.6199999999999992</v>
      </c>
      <c r="CZ319" s="54">
        <v>54367.552000000003</v>
      </c>
      <c r="DA319" s="54">
        <v>4.87</v>
      </c>
      <c r="DB319" s="54">
        <v>29.22</v>
      </c>
      <c r="DC319" s="54">
        <v>51.14</v>
      </c>
      <c r="DD319" s="54">
        <v>16.649999999999999</v>
      </c>
      <c r="DE319" s="54">
        <v>16651.702000000001</v>
      </c>
      <c r="DF319" s="54">
        <v>3305.9679999999998</v>
      </c>
      <c r="DG319" s="54">
        <v>1813.644</v>
      </c>
      <c r="DH319" s="54">
        <v>1546.5239999999999</v>
      </c>
      <c r="DI319" s="54">
        <v>6077.9380000000001</v>
      </c>
      <c r="DJ319" s="54">
        <v>99.673900000000003</v>
      </c>
      <c r="DK319" s="54">
        <v>99.565600000000003</v>
      </c>
      <c r="DL319" s="54">
        <v>99.61</v>
      </c>
      <c r="DM319" s="54">
        <v>99.506399999999999</v>
      </c>
      <c r="DN319" s="54">
        <v>99.533199999999994</v>
      </c>
      <c r="DO319" s="54">
        <v>99.454899999999995</v>
      </c>
      <c r="DP319" s="54">
        <v>99.1755</v>
      </c>
      <c r="DQ319" s="54">
        <v>99.092799999999997</v>
      </c>
      <c r="DR319" s="54">
        <v>52323</v>
      </c>
      <c r="DS319" s="73">
        <v>31334</v>
      </c>
      <c r="DT319" s="96">
        <v>99.5</v>
      </c>
      <c r="DU319">
        <v>227.75331115722656</v>
      </c>
      <c r="DV319">
        <v>190.58183288574219</v>
      </c>
      <c r="DW319" s="56">
        <v>332</v>
      </c>
      <c r="DX319" s="56">
        <v>190750</v>
      </c>
      <c r="DY319" s="56">
        <v>88.7</v>
      </c>
      <c r="DZ319" t="s">
        <v>312</v>
      </c>
    </row>
    <row r="320" spans="1:130" x14ac:dyDescent="0.25">
      <c r="A320" s="1">
        <v>42461</v>
      </c>
      <c r="B320" s="34">
        <v>102.1</v>
      </c>
      <c r="C320" s="111">
        <v>-0.34</v>
      </c>
      <c r="D320" s="99">
        <v>0</v>
      </c>
      <c r="E320" s="34">
        <v>-0.22</v>
      </c>
      <c r="F320" s="34">
        <v>-0.44</v>
      </c>
      <c r="G320" s="34">
        <v>-0.24</v>
      </c>
      <c r="H320" s="34">
        <v>0.13</v>
      </c>
      <c r="I320" s="34">
        <f t="shared" si="76"/>
        <v>0.47000000000000003</v>
      </c>
      <c r="J320" s="34">
        <f>IF(ISNUMBER(D320),IF(ISNUMBER(H320),H320-D320,""),"")</f>
        <v>0.13</v>
      </c>
      <c r="K320" s="34">
        <f t="shared" si="77"/>
        <v>0.35</v>
      </c>
      <c r="L320" s="34">
        <f t="shared" si="78"/>
        <v>0.34</v>
      </c>
      <c r="M320" s="34">
        <v>95.2</v>
      </c>
      <c r="N320" s="34">
        <v>9794.64</v>
      </c>
      <c r="O320" s="34">
        <v>24.29</v>
      </c>
      <c r="P320" s="64">
        <v>1821.5</v>
      </c>
      <c r="Q320" s="34">
        <f t="shared" si="56"/>
        <v>19.214135021097047</v>
      </c>
      <c r="R320" s="34">
        <v>2668.2</v>
      </c>
      <c r="S320" s="34">
        <f t="shared" si="57"/>
        <v>2814.5569620253164</v>
      </c>
      <c r="T320" s="34">
        <v>2709.4</v>
      </c>
      <c r="U320" s="34">
        <f t="shared" si="58"/>
        <v>2858.0168776371311</v>
      </c>
      <c r="V320" s="118">
        <v>216879</v>
      </c>
      <c r="W320" s="118">
        <v>6804786</v>
      </c>
      <c r="X320" s="119">
        <v>10383940</v>
      </c>
      <c r="Y320" s="119">
        <v>655452</v>
      </c>
      <c r="Z320" s="34">
        <v>97.6</v>
      </c>
      <c r="AA320" s="34">
        <v>89.9</v>
      </c>
      <c r="AB320" s="34">
        <v>86.2</v>
      </c>
      <c r="AC320" s="34">
        <v>89.4</v>
      </c>
      <c r="AD320" s="34">
        <v>43557</v>
      </c>
      <c r="AE320" s="34">
        <v>6.2</v>
      </c>
      <c r="AF320" s="34">
        <v>639</v>
      </c>
      <c r="AG320" s="34">
        <v>94.8</v>
      </c>
      <c r="AH320" s="34">
        <v>94.8</v>
      </c>
      <c r="AI320" s="64">
        <v>87.9</v>
      </c>
      <c r="AJ320" s="64">
        <v>92</v>
      </c>
      <c r="AK320" s="64">
        <v>167.57941199999999</v>
      </c>
      <c r="AL320" s="64">
        <v>84.2</v>
      </c>
      <c r="AM320" s="34">
        <v>79.58</v>
      </c>
      <c r="AN320" s="33">
        <v>99.57</v>
      </c>
      <c r="AO320" s="33">
        <v>89.04</v>
      </c>
      <c r="AP320" s="33">
        <v>38.21</v>
      </c>
      <c r="AQ320" s="34">
        <f t="shared" si="79"/>
        <v>0.43469852104664392</v>
      </c>
      <c r="AR320" s="34">
        <v>99.4</v>
      </c>
      <c r="AS320" s="34">
        <v>99.1</v>
      </c>
      <c r="AT320" s="34">
        <v>99.7</v>
      </c>
      <c r="AU320" s="34">
        <v>97.9</v>
      </c>
      <c r="AV320" s="34">
        <v>97.7</v>
      </c>
      <c r="AW320" s="34">
        <v>98.1</v>
      </c>
      <c r="AX320" s="34">
        <v>10.8</v>
      </c>
      <c r="AY320" s="34">
        <v>17.399999999999999</v>
      </c>
      <c r="AZ320" s="34">
        <v>6.3</v>
      </c>
      <c r="BA320" s="34">
        <v>5.0999999999999996</v>
      </c>
      <c r="BB320" s="34">
        <v>102.2</v>
      </c>
      <c r="BC320" s="34">
        <v>101.5</v>
      </c>
      <c r="BD320" s="34">
        <v>102.8</v>
      </c>
      <c r="BE320" s="34">
        <v>47.7</v>
      </c>
      <c r="BF320" s="34">
        <v>11.2</v>
      </c>
      <c r="BG320" s="34">
        <v>6.3</v>
      </c>
      <c r="BH320" s="34">
        <v>152.19999999999999</v>
      </c>
      <c r="BI320" s="34">
        <v>22.6</v>
      </c>
      <c r="BJ320" s="34">
        <v>50.7</v>
      </c>
      <c r="BK320" s="34">
        <v>9.8134224854933638</v>
      </c>
      <c r="BL320" s="34">
        <v>0.35199999999999998</v>
      </c>
      <c r="BM320" s="34">
        <v>99.45</v>
      </c>
      <c r="BN320" s="34">
        <v>99.528999999999996</v>
      </c>
      <c r="BO320" s="34">
        <v>-10.5</v>
      </c>
      <c r="BP320" s="34">
        <v>-12.4</v>
      </c>
      <c r="BQ320" s="34">
        <v>4.0999999999999996</v>
      </c>
      <c r="BR320" s="34">
        <v>6.2</v>
      </c>
      <c r="BS320" s="34">
        <v>-2</v>
      </c>
      <c r="BT320" s="34">
        <v>-3.4</v>
      </c>
      <c r="BU320" s="34">
        <v>-2.8</v>
      </c>
      <c r="BV320" s="34">
        <v>18.100000000000001</v>
      </c>
      <c r="BW320" s="34">
        <v>-1.7</v>
      </c>
      <c r="BX320" s="34">
        <v>-3.5</v>
      </c>
      <c r="BY320" s="34">
        <v>-4.5999999999999996</v>
      </c>
      <c r="BZ320" s="34">
        <v>106.4</v>
      </c>
      <c r="CA320" s="34">
        <v>-1.7</v>
      </c>
      <c r="CB320" s="34">
        <v>7.8</v>
      </c>
      <c r="CC320" s="34">
        <v>9.1</v>
      </c>
      <c r="CD320" s="34">
        <v>-7.6</v>
      </c>
      <c r="CE320" s="34">
        <v>-18.5</v>
      </c>
      <c r="CF320" s="34">
        <v>-1.7</v>
      </c>
      <c r="CG320" s="34">
        <v>16.600000000000001</v>
      </c>
      <c r="CH320" s="34">
        <v>29.7</v>
      </c>
      <c r="CI320" s="34">
        <v>12.5</v>
      </c>
      <c r="CJ320" s="34">
        <v>-5</v>
      </c>
      <c r="CK320" s="34">
        <v>6.5</v>
      </c>
      <c r="CL320" s="34">
        <v>26.1</v>
      </c>
      <c r="CM320" s="34">
        <v>3031.1839049999999</v>
      </c>
      <c r="CN320" s="34">
        <v>17792.75</v>
      </c>
      <c r="CO320" s="34">
        <v>2075.5352379999999</v>
      </c>
      <c r="CP320" s="34">
        <v>1.421</v>
      </c>
      <c r="CQ320" s="34">
        <v>1.79</v>
      </c>
      <c r="CR320" s="34">
        <v>77.599999999999994</v>
      </c>
      <c r="CS320" s="64">
        <v>50.04</v>
      </c>
      <c r="CT320" s="34">
        <v>99.7</v>
      </c>
      <c r="CU320" s="34">
        <v>105</v>
      </c>
      <c r="CV320" s="34">
        <v>103.4</v>
      </c>
      <c r="CW320" s="34">
        <v>104.2</v>
      </c>
      <c r="CX320" s="34">
        <v>107.3</v>
      </c>
      <c r="CY320" s="34">
        <v>8.8000000000000007</v>
      </c>
      <c r="CZ320" s="34">
        <v>53627.95</v>
      </c>
      <c r="DA320" s="34">
        <v>4.62</v>
      </c>
      <c r="DB320" s="34">
        <v>29.58</v>
      </c>
      <c r="DC320" s="34">
        <v>51.68</v>
      </c>
      <c r="DD320" s="34">
        <v>16.38</v>
      </c>
      <c r="DE320" s="34">
        <v>17344.511999999999</v>
      </c>
      <c r="DF320" s="34">
        <v>3435.069</v>
      </c>
      <c r="DG320" s="34">
        <v>1779.2280000000001</v>
      </c>
      <c r="DH320" s="34">
        <v>1463.74</v>
      </c>
      <c r="DI320" s="34">
        <v>6541.6769999999997</v>
      </c>
      <c r="DJ320" s="34">
        <v>99.653999999999996</v>
      </c>
      <c r="DK320" s="34">
        <v>99.5428</v>
      </c>
      <c r="DL320" s="34">
        <v>99.61</v>
      </c>
      <c r="DM320" s="34">
        <v>99.504999999999995</v>
      </c>
      <c r="DN320" s="34">
        <v>99.528999999999996</v>
      </c>
      <c r="DO320" s="34">
        <v>99.45</v>
      </c>
      <c r="DP320" s="34">
        <v>99.176199999999994</v>
      </c>
      <c r="DQ320" s="34">
        <v>99.093500000000006</v>
      </c>
      <c r="DR320" s="34">
        <v>54512</v>
      </c>
      <c r="DS320" s="73">
        <v>31384</v>
      </c>
      <c r="DT320" s="73">
        <v>100.4</v>
      </c>
      <c r="DU320">
        <v>207.01126098632813</v>
      </c>
      <c r="DV320">
        <v>124.16818237304688</v>
      </c>
      <c r="DW320">
        <v>450</v>
      </c>
      <c r="DX320">
        <v>143475</v>
      </c>
      <c r="DY320">
        <v>89.4</v>
      </c>
      <c r="DZ320" t="s">
        <v>312</v>
      </c>
    </row>
    <row r="321" spans="1:130" x14ac:dyDescent="0.25">
      <c r="A321" s="1">
        <v>42491</v>
      </c>
      <c r="B321" s="34">
        <v>100.7</v>
      </c>
      <c r="C321" s="111">
        <v>-0.34</v>
      </c>
      <c r="D321" s="99">
        <v>0</v>
      </c>
      <c r="E321" s="34">
        <v>-0.25</v>
      </c>
      <c r="F321" s="34">
        <v>-0.45</v>
      </c>
      <c r="G321" s="34">
        <v>-0.23</v>
      </c>
      <c r="H321" s="34">
        <v>0.13</v>
      </c>
      <c r="I321" s="34">
        <f t="shared" ref="I321:I328" si="80">IF(ISNUMBER(C321),IF(ISNUMBER(H321),H321-C321,""),"")</f>
        <v>0.47000000000000003</v>
      </c>
      <c r="J321" s="34">
        <f t="shared" ref="J321:J328" si="81">IF(ISNUMBER(D321),IF(ISNUMBER(H321),H321-D321,""),"")</f>
        <v>0.13</v>
      </c>
      <c r="K321" s="34">
        <f t="shared" ref="K321:K328" si="82">IF(ISNUMBER(H321),IF(ISNUMBER(E321),H321-E321,""),"")</f>
        <v>0.38</v>
      </c>
      <c r="L321" s="34">
        <f t="shared" ref="L321:L328" si="83">IF(ISNUMBER(D321),IF(ISNUMBER(C321),D321-C321,""),"")</f>
        <v>0.34</v>
      </c>
      <c r="M321" s="34">
        <v>95</v>
      </c>
      <c r="N321" s="34">
        <v>10123.27</v>
      </c>
      <c r="O321" s="34">
        <v>22.59</v>
      </c>
      <c r="P321" s="64">
        <v>1836.4</v>
      </c>
      <c r="Q321" s="34">
        <f t="shared" si="56"/>
        <v>19.371308016877638</v>
      </c>
      <c r="R321" s="34">
        <v>2681.2</v>
      </c>
      <c r="S321" s="34">
        <f t="shared" si="57"/>
        <v>2828.2700421940926</v>
      </c>
      <c r="T321" s="34">
        <v>2722.8</v>
      </c>
      <c r="U321" s="34">
        <f t="shared" si="58"/>
        <v>2872.1518987341774</v>
      </c>
      <c r="V321" s="118">
        <v>219108</v>
      </c>
      <c r="W321" s="118">
        <v>6849266</v>
      </c>
      <c r="X321" s="119">
        <v>10423954</v>
      </c>
      <c r="Y321" s="119">
        <v>660428</v>
      </c>
      <c r="Z321" s="34">
        <v>97.1</v>
      </c>
      <c r="AA321" s="34">
        <v>89.6</v>
      </c>
      <c r="AB321" s="34">
        <v>87.7</v>
      </c>
      <c r="AC321" s="34">
        <v>90.7</v>
      </c>
      <c r="AD321" s="34">
        <v>43614</v>
      </c>
      <c r="AE321" s="34">
        <v>6.1</v>
      </c>
      <c r="AF321" s="34">
        <v>653</v>
      </c>
      <c r="AG321" s="34">
        <v>94.9</v>
      </c>
      <c r="AH321" s="34">
        <v>94.8</v>
      </c>
      <c r="AI321" s="64">
        <v>88.4</v>
      </c>
      <c r="AJ321" s="64">
        <v>92.2</v>
      </c>
      <c r="AK321" s="64">
        <v>168.360668</v>
      </c>
      <c r="AL321" s="64">
        <v>84.4</v>
      </c>
      <c r="AM321" s="34">
        <v>81.05</v>
      </c>
      <c r="AN321" s="33">
        <v>109.26</v>
      </c>
      <c r="AO321" s="33">
        <v>91.73</v>
      </c>
      <c r="AP321" s="33">
        <v>42.32</v>
      </c>
      <c r="AQ321" s="34">
        <f t="shared" si="79"/>
        <v>0.47873303167420811</v>
      </c>
      <c r="AR321" s="34">
        <v>99.8</v>
      </c>
      <c r="AS321" s="34">
        <v>99</v>
      </c>
      <c r="AT321" s="34">
        <v>100.6</v>
      </c>
      <c r="AU321" s="34">
        <v>98.3</v>
      </c>
      <c r="AV321" s="34">
        <v>97.5</v>
      </c>
      <c r="AW321" s="34">
        <v>99</v>
      </c>
      <c r="AX321" s="34">
        <v>11.9</v>
      </c>
      <c r="AY321" s="34">
        <v>8.6</v>
      </c>
      <c r="AZ321" s="34">
        <v>6.7</v>
      </c>
      <c r="BA321" s="34">
        <v>2.2000000000000002</v>
      </c>
      <c r="BB321" s="34">
        <v>101.9</v>
      </c>
      <c r="BC321" s="34">
        <v>101.8</v>
      </c>
      <c r="BD321" s="34">
        <v>102</v>
      </c>
      <c r="BE321" s="34">
        <v>53.1</v>
      </c>
      <c r="BF321" s="34">
        <v>6.4</v>
      </c>
      <c r="BG321" s="34">
        <v>8.3000000000000007</v>
      </c>
      <c r="BH321" s="34">
        <v>150.1</v>
      </c>
      <c r="BI321" s="34">
        <v>9.1</v>
      </c>
      <c r="BJ321" s="34">
        <v>52.1</v>
      </c>
      <c r="BK321" s="34">
        <v>14.742474123297562</v>
      </c>
      <c r="BL321" s="34">
        <v>0.31</v>
      </c>
      <c r="BM321" s="34">
        <v>99.464299999999994</v>
      </c>
      <c r="BN321" s="34">
        <v>99.541300000000007</v>
      </c>
      <c r="BO321" s="34">
        <v>-8.1999999999999993</v>
      </c>
      <c r="BP321" s="34">
        <v>-11.4</v>
      </c>
      <c r="BQ321" s="34">
        <v>3</v>
      </c>
      <c r="BR321" s="34">
        <v>4.2</v>
      </c>
      <c r="BS321" s="34">
        <v>0.9</v>
      </c>
      <c r="BT321" s="34">
        <v>-1.8</v>
      </c>
      <c r="BU321" s="34">
        <v>-2.2999999999999998</v>
      </c>
      <c r="BV321" s="34">
        <v>16.2</v>
      </c>
      <c r="BW321" s="34">
        <v>-2</v>
      </c>
      <c r="BX321" s="34">
        <v>-0.5</v>
      </c>
      <c r="BY321" s="34">
        <v>-0.1</v>
      </c>
      <c r="BZ321" s="34">
        <v>106.1</v>
      </c>
      <c r="CA321" s="34">
        <v>-2</v>
      </c>
      <c r="CB321" s="34">
        <v>7.9</v>
      </c>
      <c r="CC321" s="34">
        <v>8.6999999999999993</v>
      </c>
      <c r="CD321" s="34">
        <v>-8.8000000000000007</v>
      </c>
      <c r="CE321" s="34">
        <v>-17.899999999999999</v>
      </c>
      <c r="CF321" s="34">
        <v>-3.2</v>
      </c>
      <c r="CG321" s="34">
        <v>13.7</v>
      </c>
      <c r="CH321" s="34">
        <v>28.1</v>
      </c>
      <c r="CI321" s="34">
        <v>13.3</v>
      </c>
      <c r="CJ321" s="34">
        <v>-6.9</v>
      </c>
      <c r="CK321" s="34">
        <v>8.6999999999999993</v>
      </c>
      <c r="CL321" s="34">
        <v>27.9</v>
      </c>
      <c r="CM321" s="34">
        <v>2983.7032730000001</v>
      </c>
      <c r="CN321" s="34">
        <v>17891.16</v>
      </c>
      <c r="CO321" s="34">
        <v>2065.5509520000001</v>
      </c>
      <c r="CP321" s="34">
        <v>1.603</v>
      </c>
      <c r="CQ321" s="34">
        <v>1.88</v>
      </c>
      <c r="CR321" s="34">
        <v>84.9</v>
      </c>
      <c r="CS321" s="64">
        <v>50.96</v>
      </c>
      <c r="CT321" s="34">
        <v>100</v>
      </c>
      <c r="CU321" s="34">
        <v>104.6</v>
      </c>
      <c r="CV321" s="34">
        <v>102.9</v>
      </c>
      <c r="CW321" s="34">
        <v>104.9</v>
      </c>
      <c r="CX321" s="34">
        <v>106.5</v>
      </c>
      <c r="CY321" s="34">
        <v>8.44</v>
      </c>
      <c r="CZ321" s="34">
        <v>50548.822</v>
      </c>
      <c r="DA321" s="34">
        <v>4.8600000000000003</v>
      </c>
      <c r="DB321" s="34">
        <v>29.31</v>
      </c>
      <c r="DC321" s="34">
        <v>51.25</v>
      </c>
      <c r="DD321" s="34">
        <v>16.37</v>
      </c>
      <c r="DE321" s="34">
        <v>15675.673000000001</v>
      </c>
      <c r="DF321" s="34">
        <v>3147.96</v>
      </c>
      <c r="DG321" s="34">
        <v>1655.864</v>
      </c>
      <c r="DH321" s="34">
        <v>1353.894</v>
      </c>
      <c r="DI321" s="34">
        <v>5861.1409999999996</v>
      </c>
      <c r="DJ321" s="34">
        <v>99.644000000000005</v>
      </c>
      <c r="DK321" s="34">
        <v>99.531999999999996</v>
      </c>
      <c r="DL321" s="34">
        <v>99.63</v>
      </c>
      <c r="DM321" s="34">
        <v>99.527199999999993</v>
      </c>
      <c r="DN321" s="34">
        <v>99.541300000000007</v>
      </c>
      <c r="DO321" s="34">
        <v>99.464299999999994</v>
      </c>
      <c r="DP321" s="34">
        <v>99.180499999999995</v>
      </c>
      <c r="DQ321" s="34">
        <v>99.098200000000006</v>
      </c>
      <c r="DR321" s="34">
        <v>44765</v>
      </c>
      <c r="DS321" s="73">
        <v>31450</v>
      </c>
      <c r="DT321" s="73">
        <v>100.2</v>
      </c>
      <c r="DU321">
        <v>198.4647216796875</v>
      </c>
      <c r="DV321">
        <v>131.46119689941406</v>
      </c>
      <c r="DW321">
        <v>703</v>
      </c>
      <c r="DX321">
        <v>154675</v>
      </c>
      <c r="DY321">
        <v>88.6</v>
      </c>
      <c r="DZ321" t="s">
        <v>312</v>
      </c>
    </row>
    <row r="322" spans="1:130" s="56" customFormat="1" x14ac:dyDescent="0.25">
      <c r="A322" s="53">
        <v>42522</v>
      </c>
      <c r="B322" s="54">
        <v>102.3</v>
      </c>
      <c r="C322" s="112">
        <v>-0.33</v>
      </c>
      <c r="D322" s="98">
        <v>0</v>
      </c>
      <c r="E322" s="54">
        <v>-0.26</v>
      </c>
      <c r="F322" s="54">
        <v>-0.54</v>
      </c>
      <c r="G322" s="54">
        <v>-0.35</v>
      </c>
      <c r="H322" s="54">
        <v>-0.02</v>
      </c>
      <c r="I322" s="54">
        <f t="shared" si="80"/>
        <v>0.31</v>
      </c>
      <c r="J322" s="54">
        <f t="shared" si="81"/>
        <v>-0.02</v>
      </c>
      <c r="K322" s="54">
        <f t="shared" si="82"/>
        <v>0.24000000000000002</v>
      </c>
      <c r="L322" s="54">
        <f t="shared" si="83"/>
        <v>0.33</v>
      </c>
      <c r="M322" s="54">
        <v>94.7</v>
      </c>
      <c r="N322" s="54">
        <v>10204.44</v>
      </c>
      <c r="O322" s="54">
        <v>23.54</v>
      </c>
      <c r="P322" s="64">
        <v>1845.6</v>
      </c>
      <c r="Q322" s="34">
        <f t="shared" si="56"/>
        <v>19.468354430379748</v>
      </c>
      <c r="R322" s="34">
        <v>2690.4</v>
      </c>
      <c r="S322" s="34">
        <f t="shared" si="57"/>
        <v>2837.9746835443038</v>
      </c>
      <c r="T322" s="34">
        <v>2731.6</v>
      </c>
      <c r="U322" s="34">
        <f t="shared" si="58"/>
        <v>2881.4345991561181</v>
      </c>
      <c r="V322" s="118">
        <v>212512</v>
      </c>
      <c r="W322" s="118">
        <v>6871798</v>
      </c>
      <c r="X322" s="119">
        <v>10452292</v>
      </c>
      <c r="Y322" s="119">
        <v>667447</v>
      </c>
      <c r="Z322" s="54">
        <v>97.6</v>
      </c>
      <c r="AA322" s="54">
        <v>89.6</v>
      </c>
      <c r="AB322" s="54">
        <v>87.5</v>
      </c>
      <c r="AC322" s="54">
        <v>90.7</v>
      </c>
      <c r="AD322" s="54">
        <v>43674</v>
      </c>
      <c r="AE322" s="54">
        <v>6.1</v>
      </c>
      <c r="AF322" s="54">
        <v>655</v>
      </c>
      <c r="AG322" s="54">
        <v>95</v>
      </c>
      <c r="AH322" s="54">
        <v>94.8</v>
      </c>
      <c r="AI322" s="64">
        <v>89.2</v>
      </c>
      <c r="AJ322" s="64">
        <v>92.4</v>
      </c>
      <c r="AK322" s="64">
        <v>168.751296</v>
      </c>
      <c r="AL322" s="64">
        <v>84.6</v>
      </c>
      <c r="AM322" s="54">
        <v>80.180000000000007</v>
      </c>
      <c r="AN322" s="33">
        <v>118.07</v>
      </c>
      <c r="AO322" s="33">
        <v>93.04</v>
      </c>
      <c r="AP322" s="33">
        <v>44.45</v>
      </c>
      <c r="AQ322" s="54">
        <f t="shared" si="79"/>
        <v>0.49831838565022424</v>
      </c>
      <c r="AR322" s="54">
        <v>100.3</v>
      </c>
      <c r="AS322" s="54">
        <v>99.5</v>
      </c>
      <c r="AT322" s="54">
        <v>101.1</v>
      </c>
      <c r="AU322" s="54">
        <v>98.8</v>
      </c>
      <c r="AV322" s="54">
        <v>98.8</v>
      </c>
      <c r="AW322" s="54">
        <v>98.8</v>
      </c>
      <c r="AX322" s="54">
        <v>12.2</v>
      </c>
      <c r="AY322" s="54">
        <v>5.6</v>
      </c>
      <c r="AZ322" s="54">
        <v>10.199999999999999</v>
      </c>
      <c r="BA322" s="54">
        <v>5.7</v>
      </c>
      <c r="BB322" s="54">
        <v>103.8</v>
      </c>
      <c r="BC322" s="54">
        <v>102.4</v>
      </c>
      <c r="BD322" s="54">
        <v>105.2</v>
      </c>
      <c r="BE322" s="54">
        <v>54.5</v>
      </c>
      <c r="BF322" s="54">
        <v>19.2</v>
      </c>
      <c r="BG322" s="54">
        <v>18</v>
      </c>
      <c r="BH322" s="54">
        <v>152.6</v>
      </c>
      <c r="BI322" s="54">
        <v>8.6</v>
      </c>
      <c r="BJ322" s="34">
        <v>54.5</v>
      </c>
      <c r="BK322" s="54">
        <v>23.761431814170273</v>
      </c>
      <c r="BL322" s="54">
        <v>0.39</v>
      </c>
      <c r="BM322" s="54">
        <v>99.491900000000001</v>
      </c>
      <c r="BN322" s="54">
        <v>99.564999999999998</v>
      </c>
      <c r="BO322" s="54">
        <v>-7.8</v>
      </c>
      <c r="BP322" s="54">
        <v>-12.6</v>
      </c>
      <c r="BQ322" s="54">
        <v>3.7</v>
      </c>
      <c r="BR322" s="54">
        <v>7.3</v>
      </c>
      <c r="BS322" s="54">
        <v>1.9</v>
      </c>
      <c r="BT322" s="54">
        <v>-0.7</v>
      </c>
      <c r="BU322" s="54">
        <v>-1.4</v>
      </c>
      <c r="BV322" s="54">
        <v>17.8</v>
      </c>
      <c r="BW322" s="54">
        <v>-1.1000000000000001</v>
      </c>
      <c r="BX322" s="54">
        <v>-3.8</v>
      </c>
      <c r="BY322" s="54">
        <v>1.1000000000000001</v>
      </c>
      <c r="BZ322" s="54">
        <v>107</v>
      </c>
      <c r="CA322" s="54">
        <v>-1.1000000000000001</v>
      </c>
      <c r="CB322" s="54">
        <v>8.3000000000000007</v>
      </c>
      <c r="CC322" s="54">
        <v>10.199999999999999</v>
      </c>
      <c r="CD322" s="54">
        <v>-8.8000000000000007</v>
      </c>
      <c r="CE322" s="54">
        <v>-15.9</v>
      </c>
      <c r="CF322" s="54">
        <v>-3.3</v>
      </c>
      <c r="CG322" s="54">
        <v>18</v>
      </c>
      <c r="CH322" s="54">
        <v>26.8</v>
      </c>
      <c r="CI322" s="54">
        <v>11.6</v>
      </c>
      <c r="CJ322" s="54">
        <v>-7.1</v>
      </c>
      <c r="CK322" s="54">
        <v>9.6999999999999993</v>
      </c>
      <c r="CL322" s="54">
        <v>28</v>
      </c>
      <c r="CM322" s="54">
        <v>2910.8023640000001</v>
      </c>
      <c r="CN322" s="54">
        <v>17789.669999999998</v>
      </c>
      <c r="CO322" s="54">
        <v>2083.8913640000001</v>
      </c>
      <c r="CP322" s="54">
        <v>1.502</v>
      </c>
      <c r="CQ322" s="54">
        <v>1.85</v>
      </c>
      <c r="CR322" s="54">
        <v>82.4</v>
      </c>
      <c r="CS322" s="64">
        <v>51.2</v>
      </c>
      <c r="CT322" s="54">
        <v>97</v>
      </c>
      <c r="CU322" s="54">
        <v>106.2</v>
      </c>
      <c r="CV322" s="54">
        <v>102.1</v>
      </c>
      <c r="CW322" s="54">
        <v>104.4</v>
      </c>
      <c r="CX322" s="54">
        <v>106.2</v>
      </c>
      <c r="CY322" s="54">
        <v>8.98</v>
      </c>
      <c r="CZ322" s="54">
        <v>54435.758999999998</v>
      </c>
      <c r="DA322" s="54">
        <v>4.46</v>
      </c>
      <c r="DB322" s="54">
        <v>30.08</v>
      </c>
      <c r="DC322" s="54">
        <v>50.49</v>
      </c>
      <c r="DD322" s="54">
        <v>16.510000000000002</v>
      </c>
      <c r="DE322" s="54">
        <v>17509.485000000001</v>
      </c>
      <c r="DF322" s="54">
        <v>3131.88</v>
      </c>
      <c r="DG322" s="54">
        <v>1857.972</v>
      </c>
      <c r="DH322" s="54">
        <v>1523.0889999999999</v>
      </c>
      <c r="DI322" s="54">
        <v>6783.9089999999997</v>
      </c>
      <c r="DJ322" s="54">
        <v>99.65</v>
      </c>
      <c r="DK322" s="54">
        <v>99.541399999999996</v>
      </c>
      <c r="DL322" s="54">
        <v>99.67</v>
      </c>
      <c r="DM322" s="54">
        <v>99.582599999999999</v>
      </c>
      <c r="DN322" s="54">
        <v>99.564999999999998</v>
      </c>
      <c r="DO322" s="54">
        <v>99.491900000000001</v>
      </c>
      <c r="DP322" s="54">
        <v>99.182299999999998</v>
      </c>
      <c r="DQ322" s="54">
        <v>99.100200000000001</v>
      </c>
      <c r="DR322" s="54">
        <v>42182</v>
      </c>
      <c r="DS322" s="73">
        <v>31509</v>
      </c>
      <c r="DT322" s="96">
        <v>99.9</v>
      </c>
      <c r="DU322">
        <v>433.27749633789063</v>
      </c>
      <c r="DV322">
        <v>454.00543212890625</v>
      </c>
      <c r="DW322" s="56">
        <v>612</v>
      </c>
      <c r="DX322" s="56">
        <v>153525</v>
      </c>
      <c r="DY322" s="56">
        <v>88.4</v>
      </c>
      <c r="DZ322" t="s">
        <v>312</v>
      </c>
    </row>
    <row r="323" spans="1:130" x14ac:dyDescent="0.25">
      <c r="A323" s="1">
        <v>42552</v>
      </c>
      <c r="B323" s="34">
        <v>101.5</v>
      </c>
      <c r="C323" s="111">
        <v>-0.33</v>
      </c>
      <c r="D323" s="99">
        <v>0</v>
      </c>
      <c r="E323" s="34">
        <v>-0.27</v>
      </c>
      <c r="F323" s="34">
        <v>-0.62</v>
      </c>
      <c r="G323" s="34">
        <v>-0.46</v>
      </c>
      <c r="H323" s="34">
        <v>-0.15</v>
      </c>
      <c r="I323" s="34">
        <f t="shared" si="80"/>
        <v>0.18000000000000002</v>
      </c>
      <c r="J323" s="34">
        <f t="shared" si="81"/>
        <v>-0.15</v>
      </c>
      <c r="K323" s="34">
        <f t="shared" si="82"/>
        <v>0.12000000000000002</v>
      </c>
      <c r="L323" s="34">
        <f t="shared" si="83"/>
        <v>0.33</v>
      </c>
      <c r="M323" s="34">
        <v>95</v>
      </c>
      <c r="N323" s="34">
        <v>9776.1200000000008</v>
      </c>
      <c r="O323" s="34">
        <v>19.02</v>
      </c>
      <c r="P323" s="64">
        <v>1859.7</v>
      </c>
      <c r="Q323" s="34">
        <f t="shared" si="56"/>
        <v>19.617088607594937</v>
      </c>
      <c r="R323" s="34">
        <v>2706.7</v>
      </c>
      <c r="S323" s="34">
        <f t="shared" si="57"/>
        <v>2855.168776371308</v>
      </c>
      <c r="T323" s="34">
        <v>2754.6</v>
      </c>
      <c r="U323" s="34">
        <f t="shared" si="58"/>
        <v>2905.6962025316457</v>
      </c>
      <c r="V323" s="118">
        <v>214408</v>
      </c>
      <c r="W323" s="118">
        <v>6928484</v>
      </c>
      <c r="X323" s="119">
        <v>10502607</v>
      </c>
      <c r="Y323" s="119">
        <v>675538</v>
      </c>
      <c r="Z323" s="34">
        <v>97</v>
      </c>
      <c r="AA323" s="34">
        <v>90.2</v>
      </c>
      <c r="AB323" s="34">
        <v>86.4</v>
      </c>
      <c r="AC323" s="34">
        <v>92.1</v>
      </c>
      <c r="AD323" s="34">
        <v>43679</v>
      </c>
      <c r="AE323" s="34">
        <v>6.1</v>
      </c>
      <c r="AF323" s="34">
        <v>657</v>
      </c>
      <c r="AG323" s="34">
        <v>94.9</v>
      </c>
      <c r="AH323" s="34">
        <v>94.8</v>
      </c>
      <c r="AI323" s="64">
        <v>89.4</v>
      </c>
      <c r="AJ323" s="64">
        <v>92.4</v>
      </c>
      <c r="AK323" s="64">
        <v>169.14192399999999</v>
      </c>
      <c r="AL323" s="64">
        <v>107.5</v>
      </c>
      <c r="AM323" s="34">
        <v>81.84</v>
      </c>
      <c r="AN323" s="33">
        <v>113.67</v>
      </c>
      <c r="AO323" s="33">
        <v>91.71</v>
      </c>
      <c r="AP323" s="33">
        <v>42.19</v>
      </c>
      <c r="AQ323" s="34">
        <f t="shared" si="79"/>
        <v>0.4719239373601789</v>
      </c>
      <c r="AR323" s="34">
        <v>100.2</v>
      </c>
      <c r="AS323" s="34">
        <v>99.5</v>
      </c>
      <c r="AT323" s="34">
        <v>101</v>
      </c>
      <c r="AU323" s="34">
        <v>98.8</v>
      </c>
      <c r="AV323" s="34">
        <v>98.2</v>
      </c>
      <c r="AW323" s="34">
        <v>99.4</v>
      </c>
      <c r="AX323" s="34">
        <v>10.4</v>
      </c>
      <c r="AY323" s="34">
        <v>2.5</v>
      </c>
      <c r="AZ323" s="34">
        <v>13.8</v>
      </c>
      <c r="BA323" s="34">
        <v>10.6</v>
      </c>
      <c r="BB323" s="34">
        <v>102</v>
      </c>
      <c r="BC323" s="34">
        <v>101.1</v>
      </c>
      <c r="BD323" s="34">
        <v>102.9</v>
      </c>
      <c r="BE323" s="34">
        <v>49.8</v>
      </c>
      <c r="BF323" s="34">
        <v>-6.8</v>
      </c>
      <c r="BG323" s="34">
        <v>9.4</v>
      </c>
      <c r="BH323" s="34">
        <v>150.19999999999999</v>
      </c>
      <c r="BI323" s="34">
        <v>7.6</v>
      </c>
      <c r="BJ323" s="34">
        <v>53.8</v>
      </c>
      <c r="BK323" s="34">
        <v>16.080423786061491</v>
      </c>
      <c r="BL323" s="34">
        <v>0.48399999999999999</v>
      </c>
      <c r="BM323" s="34">
        <v>99.537000000000006</v>
      </c>
      <c r="BN323" s="34">
        <v>99.603700000000003</v>
      </c>
      <c r="BO323" s="34">
        <v>-5.2</v>
      </c>
      <c r="BP323" s="34">
        <v>-10.3</v>
      </c>
      <c r="BQ323" s="34">
        <v>3.4</v>
      </c>
      <c r="BR323" s="34">
        <v>5.9</v>
      </c>
      <c r="BS323" s="34">
        <v>4.0999999999999996</v>
      </c>
      <c r="BT323" s="34">
        <v>-0.7</v>
      </c>
      <c r="BU323" s="34">
        <v>-0.9</v>
      </c>
      <c r="BV323" s="34">
        <v>17</v>
      </c>
      <c r="BW323" s="34">
        <v>-1.5</v>
      </c>
      <c r="BX323" s="34">
        <v>-3</v>
      </c>
      <c r="BY323" s="34">
        <v>1.3</v>
      </c>
      <c r="BZ323" s="34">
        <v>106.8</v>
      </c>
      <c r="CA323" s="34">
        <v>-1.5</v>
      </c>
      <c r="CB323" s="34">
        <v>9</v>
      </c>
      <c r="CC323" s="34">
        <v>9</v>
      </c>
      <c r="CD323" s="34">
        <v>-6.9</v>
      </c>
      <c r="CE323" s="34">
        <v>-17.5</v>
      </c>
      <c r="CF323" s="34">
        <v>-0.7</v>
      </c>
      <c r="CG323" s="34">
        <v>17.399999999999999</v>
      </c>
      <c r="CH323" s="34">
        <v>25.9</v>
      </c>
      <c r="CI323" s="34">
        <v>11.4</v>
      </c>
      <c r="CJ323" s="34">
        <v>-6.5</v>
      </c>
      <c r="CK323" s="34">
        <v>8.1</v>
      </c>
      <c r="CL323" s="34">
        <v>27.9</v>
      </c>
      <c r="CM323" s="34">
        <v>2919.0794759999999</v>
      </c>
      <c r="CN323" s="34">
        <v>17949.37</v>
      </c>
      <c r="CO323" s="34">
        <v>2148.902</v>
      </c>
      <c r="CP323" s="34">
        <v>0.98599999999999999</v>
      </c>
      <c r="CQ323" s="34">
        <v>1.46</v>
      </c>
      <c r="CR323" s="34">
        <v>77.8</v>
      </c>
      <c r="CS323" s="64">
        <v>49.45</v>
      </c>
      <c r="CT323" s="34">
        <v>96.1</v>
      </c>
      <c r="CU323" s="34">
        <v>105.8</v>
      </c>
      <c r="CV323" s="34">
        <v>103.4</v>
      </c>
      <c r="CW323" s="34">
        <v>105.9</v>
      </c>
      <c r="CX323" s="34">
        <v>110.8</v>
      </c>
      <c r="CY323" s="34">
        <v>8.6999999999999993</v>
      </c>
      <c r="CZ323" s="34">
        <v>49080.232000000004</v>
      </c>
      <c r="DA323" s="34">
        <v>4.9000000000000004</v>
      </c>
      <c r="DB323" s="34">
        <v>30.02</v>
      </c>
      <c r="DC323" s="34">
        <v>51.42</v>
      </c>
      <c r="DD323" s="34">
        <v>16.45</v>
      </c>
      <c r="DE323" s="34">
        <v>15777.031000000001</v>
      </c>
      <c r="DF323" s="34">
        <v>2337.9250000000002</v>
      </c>
      <c r="DG323" s="34">
        <v>1841.972</v>
      </c>
      <c r="DH323" s="34">
        <v>1582.105</v>
      </c>
      <c r="DI323" s="34">
        <v>6383.92</v>
      </c>
      <c r="DJ323" s="34">
        <v>99.6755</v>
      </c>
      <c r="DK323" s="34">
        <v>99.575199999999995</v>
      </c>
      <c r="DL323" s="34">
        <v>99.74</v>
      </c>
      <c r="DM323" s="34">
        <v>99.6755</v>
      </c>
      <c r="DN323" s="34">
        <v>99.603700000000003</v>
      </c>
      <c r="DO323" s="34">
        <v>99.537000000000006</v>
      </c>
      <c r="DP323" s="34">
        <v>99.198499999999996</v>
      </c>
      <c r="DQ323" s="34">
        <v>99.117999999999995</v>
      </c>
      <c r="DR323" s="34">
        <v>30675</v>
      </c>
      <c r="DS323" s="73">
        <v>31540</v>
      </c>
      <c r="DT323" s="73">
        <v>100.6</v>
      </c>
      <c r="DU323">
        <v>424.37716674804688</v>
      </c>
      <c r="DV323">
        <v>331.66818237304688</v>
      </c>
      <c r="DW323">
        <v>677</v>
      </c>
      <c r="DX323">
        <v>188400</v>
      </c>
      <c r="DY323">
        <v>88.8</v>
      </c>
      <c r="DZ323" t="s">
        <v>312</v>
      </c>
    </row>
    <row r="324" spans="1:130" x14ac:dyDescent="0.25">
      <c r="A324" s="1">
        <v>42583</v>
      </c>
      <c r="B324" s="34">
        <v>102.8</v>
      </c>
      <c r="C324" s="111">
        <v>-0.34</v>
      </c>
      <c r="D324" s="99">
        <v>0</v>
      </c>
      <c r="E324" s="34">
        <v>-0.28999999999999998</v>
      </c>
      <c r="F324" s="34">
        <v>-0.61</v>
      </c>
      <c r="G324" s="34">
        <v>-0.45</v>
      </c>
      <c r="H324" s="34">
        <v>-0.13</v>
      </c>
      <c r="I324" s="34">
        <f t="shared" si="80"/>
        <v>0.21000000000000002</v>
      </c>
      <c r="J324" s="34">
        <f t="shared" si="81"/>
        <v>-0.13</v>
      </c>
      <c r="K324" s="34">
        <f t="shared" si="82"/>
        <v>0.15999999999999998</v>
      </c>
      <c r="L324" s="34">
        <f t="shared" si="83"/>
        <v>0.34</v>
      </c>
      <c r="M324" s="34">
        <v>95.2</v>
      </c>
      <c r="N324" s="34">
        <v>10330.52</v>
      </c>
      <c r="O324" s="34">
        <v>19.489999999999998</v>
      </c>
      <c r="P324" s="64">
        <v>1866.5</v>
      </c>
      <c r="Q324" s="34">
        <f t="shared" si="56"/>
        <v>19.647368421052633</v>
      </c>
      <c r="R324" s="34">
        <v>2712.9</v>
      </c>
      <c r="S324" s="34">
        <f t="shared" si="57"/>
        <v>2855.6842105263158</v>
      </c>
      <c r="T324" s="34">
        <v>2757.2</v>
      </c>
      <c r="U324" s="34">
        <f t="shared" si="58"/>
        <v>2902.3157894736842</v>
      </c>
      <c r="V324" s="118">
        <v>211743</v>
      </c>
      <c r="W324" s="118">
        <v>6970524</v>
      </c>
      <c r="X324" s="119">
        <v>10528589</v>
      </c>
      <c r="Y324" s="119">
        <v>670447</v>
      </c>
      <c r="Z324" s="34">
        <v>98.1</v>
      </c>
      <c r="AA324" s="34">
        <v>90.5</v>
      </c>
      <c r="AB324" s="34">
        <v>88.2</v>
      </c>
      <c r="AC324" s="34">
        <v>92.1</v>
      </c>
      <c r="AD324" s="34">
        <v>43759</v>
      </c>
      <c r="AE324" s="34">
        <v>6</v>
      </c>
      <c r="AF324" s="34">
        <v>664</v>
      </c>
      <c r="AG324" s="34">
        <v>94.9</v>
      </c>
      <c r="AH324" s="34">
        <v>95</v>
      </c>
      <c r="AI324" s="64">
        <v>89.3</v>
      </c>
      <c r="AJ324" s="64">
        <v>92.5</v>
      </c>
      <c r="AK324" s="64">
        <v>168.94660999999999</v>
      </c>
      <c r="AL324" s="64">
        <v>84.8</v>
      </c>
      <c r="AM324" s="34">
        <v>82.87</v>
      </c>
      <c r="AN324" s="33">
        <v>114.36</v>
      </c>
      <c r="AO324" s="33">
        <v>91.24</v>
      </c>
      <c r="AP324" s="33">
        <v>42.02</v>
      </c>
      <c r="AQ324" s="34">
        <f t="shared" si="79"/>
        <v>0.4705487122060471</v>
      </c>
      <c r="AR324" s="34">
        <v>99.1</v>
      </c>
      <c r="AS324" s="34">
        <v>98.5</v>
      </c>
      <c r="AT324" s="34">
        <v>99.7</v>
      </c>
      <c r="AU324" s="34">
        <v>98.1</v>
      </c>
      <c r="AV324" s="34">
        <v>97.8</v>
      </c>
      <c r="AW324" s="34">
        <v>98.4</v>
      </c>
      <c r="AX324" s="34">
        <v>9</v>
      </c>
      <c r="AY324" s="34">
        <v>-2</v>
      </c>
      <c r="AZ324" s="34">
        <v>8.4</v>
      </c>
      <c r="BA324" s="34">
        <v>10.8</v>
      </c>
      <c r="BB324" s="34">
        <v>99.7</v>
      </c>
      <c r="BC324" s="34">
        <v>99</v>
      </c>
      <c r="BD324" s="34">
        <v>100.5</v>
      </c>
      <c r="BE324" s="34">
        <v>57.6</v>
      </c>
      <c r="BF324" s="34">
        <v>0.5</v>
      </c>
      <c r="BG324" s="34">
        <v>8.6</v>
      </c>
      <c r="BH324" s="34">
        <v>156.4</v>
      </c>
      <c r="BI324" s="34">
        <v>5</v>
      </c>
      <c r="BJ324" s="34">
        <v>53.6</v>
      </c>
      <c r="BK324" s="34">
        <v>15.145444753020353</v>
      </c>
      <c r="BL324" s="34">
        <v>0.439</v>
      </c>
      <c r="BM324" s="34">
        <v>99.605000000000004</v>
      </c>
      <c r="BN324" s="34">
        <v>99.662099999999995</v>
      </c>
      <c r="BO324" s="34">
        <v>-9.8000000000000007</v>
      </c>
      <c r="BP324" s="34">
        <v>-12.9</v>
      </c>
      <c r="BQ324" s="34">
        <v>5.6</v>
      </c>
      <c r="BR324" s="34">
        <v>7</v>
      </c>
      <c r="BS324" s="34">
        <v>2.4</v>
      </c>
      <c r="BT324" s="34">
        <v>0.4</v>
      </c>
      <c r="BU324" s="34">
        <v>-2.8</v>
      </c>
      <c r="BV324" s="34">
        <v>17.100000000000001</v>
      </c>
      <c r="BW324" s="34">
        <v>-1.2</v>
      </c>
      <c r="BX324" s="34">
        <v>-6.5</v>
      </c>
      <c r="BY324" s="34">
        <v>1.9</v>
      </c>
      <c r="BZ324" s="34">
        <v>106</v>
      </c>
      <c r="CA324" s="34">
        <v>-1.2</v>
      </c>
      <c r="CB324" s="34">
        <v>9.5</v>
      </c>
      <c r="CC324" s="34">
        <v>9.6</v>
      </c>
      <c r="CD324" s="34">
        <v>-9.9</v>
      </c>
      <c r="CE324" s="34">
        <v>-16.5</v>
      </c>
      <c r="CF324" s="34">
        <v>1.3</v>
      </c>
      <c r="CG324" s="34">
        <v>19.899999999999999</v>
      </c>
      <c r="CH324" s="34">
        <v>26.1</v>
      </c>
      <c r="CI324" s="34">
        <v>12.2</v>
      </c>
      <c r="CJ324" s="34">
        <v>-7.6</v>
      </c>
      <c r="CK324" s="34">
        <v>10.199999999999999</v>
      </c>
      <c r="CL324" s="34">
        <v>28.1</v>
      </c>
      <c r="CM324" s="34">
        <v>2992.8667829999999</v>
      </c>
      <c r="CN324" s="34">
        <v>18404.509999999998</v>
      </c>
      <c r="CO324" s="34">
        <v>2177.4821740000002</v>
      </c>
      <c r="CP324" s="34">
        <v>0.84899999999999998</v>
      </c>
      <c r="CQ324" s="34">
        <v>1.51</v>
      </c>
      <c r="CR324" s="34">
        <v>78.7</v>
      </c>
      <c r="CS324" s="64">
        <v>49.23</v>
      </c>
      <c r="CT324" s="34">
        <v>98.4</v>
      </c>
      <c r="CU324" s="34">
        <v>103.3</v>
      </c>
      <c r="CV324" s="34">
        <v>101.8</v>
      </c>
      <c r="CW324" s="34">
        <v>105.9</v>
      </c>
      <c r="CX324" s="34">
        <v>106.8</v>
      </c>
      <c r="CY324" s="34">
        <v>8.61</v>
      </c>
      <c r="CZ324" s="34">
        <v>47152.947</v>
      </c>
      <c r="DA324" s="34">
        <v>4.92</v>
      </c>
      <c r="DB324" s="34">
        <v>29.66</v>
      </c>
      <c r="DC324" s="34">
        <v>51.36</v>
      </c>
      <c r="DD324" s="34">
        <v>16.899999999999999</v>
      </c>
      <c r="DE324" s="34">
        <v>17213.184000000001</v>
      </c>
      <c r="DF324" s="34">
        <v>3328.2</v>
      </c>
      <c r="DG324" s="34">
        <v>2069.8389999999999</v>
      </c>
      <c r="DH324" s="34">
        <v>1623.1420000000001</v>
      </c>
      <c r="DI324" s="34">
        <v>6257.049</v>
      </c>
      <c r="DJ324" s="34">
        <v>99.715800000000002</v>
      </c>
      <c r="DK324" s="34">
        <v>99.627499999999998</v>
      </c>
      <c r="DL324" s="34">
        <v>99.84</v>
      </c>
      <c r="DM324" s="34">
        <v>99.795900000000003</v>
      </c>
      <c r="DN324" s="34">
        <v>99.662099999999995</v>
      </c>
      <c r="DO324" s="34">
        <v>99.605000000000004</v>
      </c>
      <c r="DP324" s="34">
        <v>99.240200000000002</v>
      </c>
      <c r="DQ324" s="34">
        <v>99.163899999999998</v>
      </c>
      <c r="DR324" s="34">
        <v>38024</v>
      </c>
      <c r="DS324" s="73">
        <v>31635</v>
      </c>
      <c r="DT324" s="73">
        <v>100.7</v>
      </c>
      <c r="DU324">
        <v>213.36659240722656</v>
      </c>
      <c r="DV324">
        <v>223.12734985351563</v>
      </c>
      <c r="DW324">
        <v>650</v>
      </c>
      <c r="DX324">
        <v>209650</v>
      </c>
      <c r="DY324">
        <v>89.7</v>
      </c>
      <c r="DZ324" t="s">
        <v>312</v>
      </c>
    </row>
    <row r="325" spans="1:130" s="56" customFormat="1" x14ac:dyDescent="0.25">
      <c r="A325" s="53">
        <v>42614</v>
      </c>
      <c r="B325" s="54">
        <v>102.5</v>
      </c>
      <c r="C325" s="112">
        <v>-0.34</v>
      </c>
      <c r="D325" s="98">
        <v>0</v>
      </c>
      <c r="E325" s="54">
        <v>-0.3</v>
      </c>
      <c r="F325" s="54">
        <v>-0.62</v>
      </c>
      <c r="G325" s="54">
        <v>-0.44</v>
      </c>
      <c r="H325" s="54">
        <v>-0.09</v>
      </c>
      <c r="I325" s="54">
        <f t="shared" si="80"/>
        <v>0.25</v>
      </c>
      <c r="J325" s="54">
        <f t="shared" si="81"/>
        <v>-0.09</v>
      </c>
      <c r="K325" s="54">
        <f t="shared" si="82"/>
        <v>0.21</v>
      </c>
      <c r="L325" s="54">
        <f t="shared" si="83"/>
        <v>0.34</v>
      </c>
      <c r="M325" s="54">
        <v>95.3</v>
      </c>
      <c r="N325" s="54">
        <v>10534.31</v>
      </c>
      <c r="O325" s="54">
        <v>18.84</v>
      </c>
      <c r="P325" s="64">
        <v>1871.4</v>
      </c>
      <c r="Q325" s="34">
        <f t="shared" si="56"/>
        <v>19.678233438485808</v>
      </c>
      <c r="R325" s="34">
        <v>2724.3</v>
      </c>
      <c r="S325" s="34">
        <f t="shared" si="57"/>
        <v>2864.6687697160887</v>
      </c>
      <c r="T325" s="34">
        <v>2768</v>
      </c>
      <c r="U325" s="34">
        <f t="shared" si="58"/>
        <v>2910.6203995793903</v>
      </c>
      <c r="V325" s="118">
        <v>211542</v>
      </c>
      <c r="W325" s="118">
        <v>7005097</v>
      </c>
      <c r="X325" s="119">
        <v>10569166</v>
      </c>
      <c r="Y325" s="119">
        <v>671206</v>
      </c>
      <c r="Z325" s="54">
        <v>98.4</v>
      </c>
      <c r="AA325" s="54">
        <v>89.7</v>
      </c>
      <c r="AB325" s="54">
        <v>86.8</v>
      </c>
      <c r="AC325" s="54">
        <v>90.3</v>
      </c>
      <c r="AD325" s="54">
        <v>43829</v>
      </c>
      <c r="AE325" s="54">
        <v>6</v>
      </c>
      <c r="AF325" s="54">
        <v>667</v>
      </c>
      <c r="AG325" s="54">
        <v>95.2</v>
      </c>
      <c r="AH325" s="54">
        <v>95.1</v>
      </c>
      <c r="AI325" s="64">
        <v>89.4</v>
      </c>
      <c r="AJ325" s="64">
        <v>92.6</v>
      </c>
      <c r="AK325" s="64">
        <v>168.751296</v>
      </c>
      <c r="AL325" s="64">
        <v>84.8</v>
      </c>
      <c r="AM325" s="54">
        <v>81.36</v>
      </c>
      <c r="AN325" s="33">
        <v>115.48</v>
      </c>
      <c r="AO325" s="33">
        <v>89.86</v>
      </c>
      <c r="AP325" s="33">
        <v>42.26</v>
      </c>
      <c r="AQ325" s="54">
        <f t="shared" si="79"/>
        <v>0.47270693512304246</v>
      </c>
      <c r="AR325" s="54">
        <v>100.6</v>
      </c>
      <c r="AS325" s="54">
        <v>100.8</v>
      </c>
      <c r="AT325" s="54">
        <v>100.4</v>
      </c>
      <c r="AU325" s="54">
        <v>99.9</v>
      </c>
      <c r="AV325" s="54">
        <v>100.7</v>
      </c>
      <c r="AW325" s="54">
        <v>99.1</v>
      </c>
      <c r="AX325" s="54">
        <v>13.3</v>
      </c>
      <c r="AY325" s="54">
        <v>6.8</v>
      </c>
      <c r="AZ325" s="54">
        <v>11.7</v>
      </c>
      <c r="BA325" s="54">
        <v>8.1999999999999993</v>
      </c>
      <c r="BB325" s="54">
        <v>102.1</v>
      </c>
      <c r="BC325" s="54">
        <v>101.7</v>
      </c>
      <c r="BD325" s="54">
        <v>102.4</v>
      </c>
      <c r="BE325" s="54">
        <v>55.1</v>
      </c>
      <c r="BF325" s="54">
        <v>0.5</v>
      </c>
      <c r="BG325" s="54">
        <v>6.8</v>
      </c>
      <c r="BH325" s="54">
        <v>151.9</v>
      </c>
      <c r="BI325" s="54">
        <v>2.2000000000000002</v>
      </c>
      <c r="BJ325" s="34">
        <v>54.3</v>
      </c>
      <c r="BK325" s="54">
        <v>23.292661568784563</v>
      </c>
      <c r="BL325" s="54">
        <v>0.34599999999999997</v>
      </c>
      <c r="BM325" s="54">
        <v>99.707499999999996</v>
      </c>
      <c r="BN325" s="54">
        <v>99.750200000000007</v>
      </c>
      <c r="BO325" s="54">
        <v>-5</v>
      </c>
      <c r="BP325" s="54">
        <v>-9.8000000000000007</v>
      </c>
      <c r="BQ325" s="54">
        <v>4.8</v>
      </c>
      <c r="BR325" s="54">
        <v>7.9</v>
      </c>
      <c r="BS325" s="54">
        <v>2.8</v>
      </c>
      <c r="BT325" s="54">
        <v>1.5</v>
      </c>
      <c r="BU325" s="54">
        <v>-0.6</v>
      </c>
      <c r="BV325" s="54">
        <v>17.5</v>
      </c>
      <c r="BW325" s="54">
        <v>-1.5</v>
      </c>
      <c r="BX325" s="54">
        <v>-4.0999999999999996</v>
      </c>
      <c r="BY325" s="54">
        <v>4</v>
      </c>
      <c r="BZ325" s="54">
        <v>106.9</v>
      </c>
      <c r="CA325" s="54">
        <v>-1.5</v>
      </c>
      <c r="CB325" s="54">
        <v>10.1</v>
      </c>
      <c r="CC325" s="54">
        <v>8.6</v>
      </c>
      <c r="CD325" s="54">
        <v>-10.8</v>
      </c>
      <c r="CE325" s="54">
        <v>-17</v>
      </c>
      <c r="CF325" s="54">
        <v>0.2</v>
      </c>
      <c r="CG325" s="54">
        <v>19.8</v>
      </c>
      <c r="CH325" s="54">
        <v>26</v>
      </c>
      <c r="CI325" s="54">
        <v>10.5</v>
      </c>
      <c r="CJ325" s="54">
        <v>-7.8</v>
      </c>
      <c r="CK325" s="54">
        <v>10</v>
      </c>
      <c r="CL325" s="54">
        <v>28.6</v>
      </c>
      <c r="CM325" s="54">
        <v>3012.0925910000001</v>
      </c>
      <c r="CN325" s="54">
        <v>18419.3</v>
      </c>
      <c r="CO325" s="54">
        <v>2157.6909519999999</v>
      </c>
      <c r="CP325" s="54">
        <v>0.67300000000000004</v>
      </c>
      <c r="CQ325" s="54">
        <v>1.57</v>
      </c>
      <c r="CR325" s="54">
        <v>82.7</v>
      </c>
      <c r="CS325" s="64">
        <v>51.02</v>
      </c>
      <c r="CT325" s="54">
        <v>99.3</v>
      </c>
      <c r="CU325" s="54">
        <v>105.4</v>
      </c>
      <c r="CV325" s="54">
        <v>103.7</v>
      </c>
      <c r="CW325" s="54">
        <v>107.2</v>
      </c>
      <c r="CX325" s="54">
        <v>108.3</v>
      </c>
      <c r="CY325" s="54">
        <v>8.44</v>
      </c>
      <c r="CZ325" s="54">
        <v>55153.167000000001</v>
      </c>
      <c r="DA325" s="54">
        <v>4.7300000000000004</v>
      </c>
      <c r="DB325" s="54">
        <v>30.27</v>
      </c>
      <c r="DC325" s="54">
        <v>51.88</v>
      </c>
      <c r="DD325" s="54">
        <v>16.84</v>
      </c>
      <c r="DE325" s="54">
        <v>16643.495999999999</v>
      </c>
      <c r="DF325" s="54">
        <v>2523.5259999999998</v>
      </c>
      <c r="DG325" s="54">
        <v>2077.6060000000002</v>
      </c>
      <c r="DH325" s="54">
        <v>1633.905</v>
      </c>
      <c r="DI325" s="54">
        <v>6570.326</v>
      </c>
      <c r="DJ325" s="54">
        <v>99.770899999999997</v>
      </c>
      <c r="DK325" s="54">
        <v>99.697699999999998</v>
      </c>
      <c r="DL325" s="54">
        <v>99.95</v>
      </c>
      <c r="DM325" s="54">
        <v>99.940200000000004</v>
      </c>
      <c r="DN325" s="54">
        <v>99.750200000000007</v>
      </c>
      <c r="DO325" s="54">
        <v>99.707499999999996</v>
      </c>
      <c r="DP325" s="54">
        <v>99.320700000000002</v>
      </c>
      <c r="DQ325" s="54">
        <v>99.252399999999994</v>
      </c>
      <c r="DR325" s="54">
        <v>35099</v>
      </c>
      <c r="DS325" s="73">
        <v>31691</v>
      </c>
      <c r="DT325" s="96">
        <v>101.6</v>
      </c>
      <c r="DU325">
        <v>232.697998046875</v>
      </c>
      <c r="DV325">
        <v>219.077392578125</v>
      </c>
      <c r="DW325" s="56">
        <v>712</v>
      </c>
      <c r="DX325" s="56">
        <v>318500</v>
      </c>
      <c r="DY325" s="56">
        <v>89.7</v>
      </c>
      <c r="DZ325" t="s">
        <v>312</v>
      </c>
    </row>
    <row r="326" spans="1:130" x14ac:dyDescent="0.25">
      <c r="A326" s="1">
        <v>42644</v>
      </c>
      <c r="B326" s="34">
        <v>103</v>
      </c>
      <c r="C326" s="111">
        <v>-0.35</v>
      </c>
      <c r="D326" s="99">
        <v>0</v>
      </c>
      <c r="E326" s="34">
        <v>-0.3</v>
      </c>
      <c r="F326" s="34">
        <v>-0.57999999999999996</v>
      </c>
      <c r="G326" s="34">
        <v>-0.37</v>
      </c>
      <c r="H326" s="34">
        <v>0</v>
      </c>
      <c r="I326" s="34">
        <f t="shared" si="80"/>
        <v>0.35</v>
      </c>
      <c r="J326" s="34">
        <f t="shared" si="81"/>
        <v>0</v>
      </c>
      <c r="K326" s="34">
        <f t="shared" si="82"/>
        <v>0.3</v>
      </c>
      <c r="L326" s="34">
        <f t="shared" si="83"/>
        <v>0.35</v>
      </c>
      <c r="M326" s="34">
        <v>95.6</v>
      </c>
      <c r="N326" s="34">
        <v>10511.02</v>
      </c>
      <c r="O326" s="34">
        <v>22.78</v>
      </c>
      <c r="P326" s="64">
        <v>1874.5</v>
      </c>
      <c r="Q326" s="34">
        <f t="shared" si="56"/>
        <v>19.710830704521559</v>
      </c>
      <c r="R326" s="34">
        <v>2719.7</v>
      </c>
      <c r="S326" s="34">
        <f t="shared" si="57"/>
        <v>2859.8317560462669</v>
      </c>
      <c r="T326" s="34">
        <v>2762</v>
      </c>
      <c r="U326" s="34">
        <f t="shared" si="58"/>
        <v>2904.311251314406</v>
      </c>
      <c r="V326" s="118">
        <v>213917</v>
      </c>
      <c r="W326" s="118">
        <v>7059544</v>
      </c>
      <c r="X326" s="119">
        <v>10591645</v>
      </c>
      <c r="Y326" s="119">
        <v>671481</v>
      </c>
      <c r="Z326" s="34">
        <v>97.9</v>
      </c>
      <c r="AA326" s="34">
        <v>92.3</v>
      </c>
      <c r="AB326" s="34">
        <v>87.7</v>
      </c>
      <c r="AC326" s="34">
        <v>94.1</v>
      </c>
      <c r="AD326" s="34">
        <v>43868</v>
      </c>
      <c r="AE326" s="34">
        <v>6</v>
      </c>
      <c r="AF326" s="34">
        <v>675</v>
      </c>
      <c r="AG326" s="34">
        <v>95.3</v>
      </c>
      <c r="AH326" s="34">
        <v>95.1</v>
      </c>
      <c r="AI326" s="64">
        <v>90.2</v>
      </c>
      <c r="AJ326" s="64">
        <v>93</v>
      </c>
      <c r="AK326" s="64">
        <v>169.53255200000001</v>
      </c>
      <c r="AL326" s="64">
        <v>85.3</v>
      </c>
      <c r="AM326" s="34">
        <v>82.47</v>
      </c>
      <c r="AN326" s="33">
        <v>130.80000000000001</v>
      </c>
      <c r="AO326" s="33">
        <v>90.67</v>
      </c>
      <c r="AP326" s="33">
        <v>46.59</v>
      </c>
      <c r="AQ326" s="34">
        <f t="shared" si="79"/>
        <v>0.51651884700665196</v>
      </c>
      <c r="AR326" s="34">
        <v>101.5</v>
      </c>
      <c r="AS326" s="34">
        <v>102.1</v>
      </c>
      <c r="AT326" s="34">
        <v>101</v>
      </c>
      <c r="AU326" s="34">
        <v>101.4</v>
      </c>
      <c r="AV326" s="34">
        <v>102.6</v>
      </c>
      <c r="AW326" s="34">
        <v>100.2</v>
      </c>
      <c r="AX326" s="34">
        <v>16.100000000000001</v>
      </c>
      <c r="AY326" s="34">
        <v>12.5</v>
      </c>
      <c r="AZ326" s="34">
        <v>16.399999999999999</v>
      </c>
      <c r="BA326" s="34">
        <v>13.8</v>
      </c>
      <c r="BB326" s="34">
        <v>101.8</v>
      </c>
      <c r="BC326" s="34">
        <v>103.1</v>
      </c>
      <c r="BD326" s="34">
        <v>100.6</v>
      </c>
      <c r="BE326" s="34">
        <v>59.5</v>
      </c>
      <c r="BF326" s="34">
        <v>6.2</v>
      </c>
      <c r="BG326" s="34">
        <v>13</v>
      </c>
      <c r="BH326" s="34">
        <v>151.6</v>
      </c>
      <c r="BI326" s="34">
        <v>1.5</v>
      </c>
      <c r="BJ326" s="34">
        <v>55</v>
      </c>
      <c r="BK326" s="34">
        <v>26.224665917407499</v>
      </c>
      <c r="BL326" s="34">
        <v>0.34599999999999997</v>
      </c>
      <c r="BM326" s="34">
        <v>99.830600000000004</v>
      </c>
      <c r="BN326" s="34">
        <v>99.855999999999995</v>
      </c>
      <c r="BO326" s="34">
        <v>-5.5</v>
      </c>
      <c r="BP326" s="34">
        <v>-9.5</v>
      </c>
      <c r="BQ326" s="34">
        <v>4.9000000000000004</v>
      </c>
      <c r="BR326" s="34">
        <v>11.9</v>
      </c>
      <c r="BS326" s="34">
        <v>4.2</v>
      </c>
      <c r="BT326" s="34">
        <v>4.0999999999999996</v>
      </c>
      <c r="BU326" s="34">
        <v>0.5</v>
      </c>
      <c r="BV326" s="34">
        <v>19</v>
      </c>
      <c r="BW326" s="34">
        <v>-1.7</v>
      </c>
      <c r="BX326" s="34">
        <v>-4.7</v>
      </c>
      <c r="BY326" s="34">
        <v>2</v>
      </c>
      <c r="BZ326" s="34">
        <v>107.7</v>
      </c>
      <c r="CA326" s="34">
        <v>-1.7</v>
      </c>
      <c r="CB326" s="34">
        <v>8.3000000000000007</v>
      </c>
      <c r="CC326" s="34">
        <v>7.8</v>
      </c>
      <c r="CD326" s="34">
        <v>-9.6999999999999993</v>
      </c>
      <c r="CE326" s="34">
        <v>-15.3</v>
      </c>
      <c r="CF326" s="34">
        <v>2.1</v>
      </c>
      <c r="CG326" s="34">
        <v>20.9</v>
      </c>
      <c r="CH326" s="34">
        <v>24.8</v>
      </c>
      <c r="CI326" s="34">
        <v>9.9</v>
      </c>
      <c r="CJ326" s="34">
        <v>-7.8</v>
      </c>
      <c r="CK326" s="34">
        <v>8.3000000000000007</v>
      </c>
      <c r="CL326" s="34">
        <v>27.5</v>
      </c>
      <c r="CM326" s="34">
        <v>3042.3323810000002</v>
      </c>
      <c r="CN326" s="34">
        <v>18253.849999999999</v>
      </c>
      <c r="CO326" s="34">
        <v>2143.0209519999999</v>
      </c>
      <c r="CP326" s="34">
        <v>0.73099999999999998</v>
      </c>
      <c r="CQ326" s="34">
        <v>1.63</v>
      </c>
      <c r="CR326" s="34">
        <v>76.8</v>
      </c>
      <c r="CS326" s="64">
        <v>51.49</v>
      </c>
      <c r="CT326" s="34">
        <v>100</v>
      </c>
      <c r="CU326" s="34">
        <v>107.4</v>
      </c>
      <c r="CV326" s="34">
        <v>103.9</v>
      </c>
      <c r="CW326" s="34">
        <v>107.4</v>
      </c>
      <c r="CX326" s="34">
        <v>107.5</v>
      </c>
      <c r="CY326" s="34">
        <v>8.7799999999999994</v>
      </c>
      <c r="CZ326" s="34">
        <v>52797.425999999999</v>
      </c>
      <c r="DA326" s="34">
        <v>4.7</v>
      </c>
      <c r="DB326" s="34">
        <v>29.96</v>
      </c>
      <c r="DC326" s="34">
        <v>51.91</v>
      </c>
      <c r="DD326" s="34">
        <v>16.16</v>
      </c>
      <c r="DE326" s="34">
        <v>17125.379000000001</v>
      </c>
      <c r="DF326" s="34">
        <v>2580.6889999999999</v>
      </c>
      <c r="DG326" s="34">
        <v>1856.21</v>
      </c>
      <c r="DH326" s="34">
        <v>1603.806</v>
      </c>
      <c r="DI326" s="34">
        <v>6282.4539999999997</v>
      </c>
      <c r="DJ326" s="34">
        <v>99.834599999999995</v>
      </c>
      <c r="DK326" s="34">
        <v>99.778199999999998</v>
      </c>
      <c r="DL326" s="34">
        <v>100.07</v>
      </c>
      <c r="DM326" s="34">
        <v>100.0895</v>
      </c>
      <c r="DN326" s="34">
        <v>99.855999999999995</v>
      </c>
      <c r="DO326" s="34">
        <v>99.830600000000004</v>
      </c>
      <c r="DP326" s="34">
        <v>99.435299999999998</v>
      </c>
      <c r="DQ326" s="34">
        <v>99.378500000000003</v>
      </c>
      <c r="DR326" s="34">
        <v>38650</v>
      </c>
      <c r="DS326" s="73">
        <v>31745</v>
      </c>
      <c r="DT326" s="73">
        <v>101.9</v>
      </c>
      <c r="DU326">
        <v>241.63063049316406</v>
      </c>
      <c r="DV326">
        <v>148.26052856445313</v>
      </c>
      <c r="DW326">
        <v>864</v>
      </c>
      <c r="DX326">
        <v>368525</v>
      </c>
      <c r="DY326">
        <v>90.9</v>
      </c>
      <c r="DZ326" t="s">
        <v>312</v>
      </c>
    </row>
    <row r="327" spans="1:130" x14ac:dyDescent="0.25">
      <c r="A327" s="1">
        <v>42675</v>
      </c>
      <c r="B327" s="34">
        <v>102.9</v>
      </c>
      <c r="C327" s="111">
        <v>-0.35</v>
      </c>
      <c r="D327" s="99">
        <v>0</v>
      </c>
      <c r="E327" s="34">
        <v>-0.31</v>
      </c>
      <c r="F327" s="34">
        <v>-0.52</v>
      </c>
      <c r="G327" s="34">
        <v>-0.23</v>
      </c>
      <c r="H327" s="34">
        <v>0.19</v>
      </c>
      <c r="I327" s="34">
        <f t="shared" si="80"/>
        <v>0.54</v>
      </c>
      <c r="J327" s="34">
        <f t="shared" si="81"/>
        <v>0.19</v>
      </c>
      <c r="K327" s="34">
        <f t="shared" si="82"/>
        <v>0.5</v>
      </c>
      <c r="L327" s="34">
        <f t="shared" si="83"/>
        <v>0.35</v>
      </c>
      <c r="M327" s="34">
        <v>95.2</v>
      </c>
      <c r="N327" s="34">
        <v>10526.16</v>
      </c>
      <c r="O327" s="34">
        <v>20.95</v>
      </c>
      <c r="P327" s="64">
        <v>1893.5</v>
      </c>
      <c r="Q327" s="34">
        <f t="shared" si="56"/>
        <v>19.848008385744233</v>
      </c>
      <c r="R327" s="34">
        <v>2743.6</v>
      </c>
      <c r="S327" s="34">
        <f t="shared" si="57"/>
        <v>2875.8909853249475</v>
      </c>
      <c r="T327" s="34">
        <v>2785.4</v>
      </c>
      <c r="U327" s="34">
        <f t="shared" si="58"/>
        <v>2919.7064989517821</v>
      </c>
      <c r="V327" s="118">
        <v>216706</v>
      </c>
      <c r="W327" s="118">
        <v>7137436</v>
      </c>
      <c r="X327" s="119">
        <v>10662425</v>
      </c>
      <c r="Y327" s="119">
        <v>675085</v>
      </c>
      <c r="Z327" s="34">
        <v>98.4</v>
      </c>
      <c r="AA327" s="34">
        <v>90.7</v>
      </c>
      <c r="AB327" s="34">
        <v>88.8</v>
      </c>
      <c r="AC327" s="34">
        <v>90.7</v>
      </c>
      <c r="AD327" s="34">
        <v>43924</v>
      </c>
      <c r="AE327" s="34">
        <v>6</v>
      </c>
      <c r="AF327" s="34">
        <v>678</v>
      </c>
      <c r="AG327" s="34">
        <v>95.5</v>
      </c>
      <c r="AH327" s="34">
        <v>95.4</v>
      </c>
      <c r="AI327" s="64">
        <v>90.8</v>
      </c>
      <c r="AJ327" s="64">
        <v>93.4</v>
      </c>
      <c r="AK327" s="64">
        <v>170.118494</v>
      </c>
      <c r="AL327" s="64">
        <v>129.1</v>
      </c>
      <c r="AM327" s="34">
        <v>89.43</v>
      </c>
      <c r="AN327" s="33">
        <v>128.44999999999999</v>
      </c>
      <c r="AO327" s="33">
        <v>95.21</v>
      </c>
      <c r="AP327" s="33">
        <v>43.58</v>
      </c>
      <c r="AQ327" s="34">
        <f t="shared" si="79"/>
        <v>0.47995594713656387</v>
      </c>
      <c r="AR327" s="34">
        <v>101.6</v>
      </c>
      <c r="AS327" s="34">
        <v>101.4</v>
      </c>
      <c r="AT327" s="34">
        <v>101.9</v>
      </c>
      <c r="AU327" s="34">
        <v>100.7</v>
      </c>
      <c r="AV327" s="34">
        <v>100.6</v>
      </c>
      <c r="AW327" s="34">
        <v>100.7</v>
      </c>
      <c r="AX327" s="34">
        <v>14.6</v>
      </c>
      <c r="AY327" s="34">
        <v>13.8</v>
      </c>
      <c r="AZ327" s="34">
        <v>13.5</v>
      </c>
      <c r="BA327" s="34">
        <v>9.4</v>
      </c>
      <c r="BB327" s="34">
        <v>102.7</v>
      </c>
      <c r="BC327" s="34">
        <v>104.3</v>
      </c>
      <c r="BD327" s="34">
        <v>101.1</v>
      </c>
      <c r="BE327" s="34">
        <v>58.8</v>
      </c>
      <c r="BF327" s="34">
        <v>13.8</v>
      </c>
      <c r="BG327" s="34">
        <v>15.3</v>
      </c>
      <c r="BH327" s="34">
        <v>153.1</v>
      </c>
      <c r="BI327" s="34">
        <v>4</v>
      </c>
      <c r="BJ327" s="34">
        <v>54.3</v>
      </c>
      <c r="BK327" s="34">
        <v>23.791216984442393</v>
      </c>
      <c r="BL327" s="34">
        <v>0.314</v>
      </c>
      <c r="BM327" s="34">
        <v>99.959599999999995</v>
      </c>
      <c r="BN327" s="34">
        <v>99.966700000000003</v>
      </c>
      <c r="BO327" s="34">
        <v>-5.6</v>
      </c>
      <c r="BP327" s="34">
        <v>-8.5</v>
      </c>
      <c r="BQ327" s="34">
        <v>4.9000000000000004</v>
      </c>
      <c r="BR327" s="34">
        <v>11.3</v>
      </c>
      <c r="BS327" s="34">
        <v>2.8</v>
      </c>
      <c r="BT327" s="34">
        <v>3.6</v>
      </c>
      <c r="BU327" s="34">
        <v>0.3</v>
      </c>
      <c r="BV327" s="34">
        <v>18.899999999999999</v>
      </c>
      <c r="BW327" s="34">
        <v>-0.9</v>
      </c>
      <c r="BX327" s="34">
        <v>-2.8</v>
      </c>
      <c r="BY327" s="34">
        <v>2.2000000000000002</v>
      </c>
      <c r="BZ327" s="34">
        <v>107.9</v>
      </c>
      <c r="CA327" s="34">
        <v>-0.9</v>
      </c>
      <c r="CB327" s="34">
        <v>9.3000000000000007</v>
      </c>
      <c r="CC327" s="34">
        <v>7.8</v>
      </c>
      <c r="CD327" s="34">
        <v>-8.4</v>
      </c>
      <c r="CE327" s="34">
        <v>-14.9</v>
      </c>
      <c r="CF327" s="34">
        <v>6.9</v>
      </c>
      <c r="CG327" s="34">
        <v>26.2</v>
      </c>
      <c r="CH327" s="34">
        <v>22.6</v>
      </c>
      <c r="CI327" s="34">
        <v>11.2</v>
      </c>
      <c r="CJ327" s="34">
        <v>-5.6</v>
      </c>
      <c r="CK327" s="34">
        <v>9.1</v>
      </c>
      <c r="CL327" s="34">
        <v>28.1</v>
      </c>
      <c r="CM327" s="34">
        <v>3026.3958640000001</v>
      </c>
      <c r="CN327" s="34">
        <v>18037.099999999999</v>
      </c>
      <c r="CO327" s="34">
        <v>2164.9857139999999</v>
      </c>
      <c r="CP327" s="34">
        <v>1.274</v>
      </c>
      <c r="CQ327" s="34">
        <v>1.83</v>
      </c>
      <c r="CR327" s="34">
        <v>85.2</v>
      </c>
      <c r="CS327" s="64">
        <v>48.87</v>
      </c>
      <c r="CT327" s="34">
        <v>101.3</v>
      </c>
      <c r="CU327" s="34">
        <v>108.9</v>
      </c>
      <c r="CV327" s="34">
        <v>102.6</v>
      </c>
      <c r="CW327" s="34">
        <v>110.1</v>
      </c>
      <c r="CX327" s="34">
        <v>110</v>
      </c>
      <c r="CY327" s="34">
        <v>9.18</v>
      </c>
      <c r="CZ327" s="34">
        <v>55673.036</v>
      </c>
      <c r="DA327" s="34">
        <v>5.05</v>
      </c>
      <c r="DB327" s="34">
        <v>30.45</v>
      </c>
      <c r="DC327" s="34">
        <v>53.05</v>
      </c>
      <c r="DD327" s="34">
        <v>16.489999999999998</v>
      </c>
      <c r="DE327" s="34">
        <v>17935.602999999999</v>
      </c>
      <c r="DF327" s="34">
        <v>3239.0279999999998</v>
      </c>
      <c r="DG327" s="34">
        <v>2084.6469999999999</v>
      </c>
      <c r="DH327" s="34">
        <v>1731.5889999999999</v>
      </c>
      <c r="DI327" s="34">
        <v>7053.8940000000002</v>
      </c>
      <c r="DJ327" s="34">
        <v>99.900199999999998</v>
      </c>
      <c r="DK327" s="34">
        <v>99.860900000000001</v>
      </c>
      <c r="DL327" s="34">
        <v>100.18</v>
      </c>
      <c r="DM327" s="34">
        <v>100.2285</v>
      </c>
      <c r="DN327" s="34">
        <v>99.966700000000003</v>
      </c>
      <c r="DO327" s="34">
        <v>99.959599999999995</v>
      </c>
      <c r="DP327" s="34">
        <v>99.569400000000002</v>
      </c>
      <c r="DQ327" s="34">
        <v>99.525999999999996</v>
      </c>
      <c r="DR327" s="34">
        <v>40234</v>
      </c>
      <c r="DS327" s="73">
        <v>31807</v>
      </c>
      <c r="DT327" s="73">
        <v>102.1</v>
      </c>
      <c r="DU327">
        <v>392.8310546875</v>
      </c>
      <c r="DV327">
        <v>322.2203369140625</v>
      </c>
      <c r="DW327">
        <v>838</v>
      </c>
      <c r="DX327">
        <v>319000</v>
      </c>
      <c r="DY327">
        <v>91.3</v>
      </c>
      <c r="DZ327" t="s">
        <v>312</v>
      </c>
    </row>
    <row r="328" spans="1:130" s="56" customFormat="1" x14ac:dyDescent="0.25">
      <c r="A328" s="53">
        <v>42705</v>
      </c>
      <c r="B328" s="54">
        <v>101.1</v>
      </c>
      <c r="C328" s="112">
        <v>-0.35</v>
      </c>
      <c r="D328" s="98">
        <v>0</v>
      </c>
      <c r="E328" s="54">
        <v>-0.31</v>
      </c>
      <c r="F328" s="54">
        <v>-0.6</v>
      </c>
      <c r="G328" s="54">
        <v>-0.22</v>
      </c>
      <c r="H328" s="54">
        <v>0.25</v>
      </c>
      <c r="I328" s="54">
        <f t="shared" si="80"/>
        <v>0.6</v>
      </c>
      <c r="J328" s="54">
        <f t="shared" si="81"/>
        <v>0.25</v>
      </c>
      <c r="K328" s="54">
        <f t="shared" si="82"/>
        <v>0.56000000000000005</v>
      </c>
      <c r="L328" s="54">
        <f t="shared" si="83"/>
        <v>0.35</v>
      </c>
      <c r="M328" s="54">
        <v>94.9</v>
      </c>
      <c r="N328" s="54">
        <v>10534.05</v>
      </c>
      <c r="O328" s="54">
        <v>17.79</v>
      </c>
      <c r="P328" s="64">
        <v>1912.2</v>
      </c>
      <c r="Q328" s="34">
        <f t="shared" si="56"/>
        <v>20.002092050209207</v>
      </c>
      <c r="R328" s="34">
        <v>2759.3</v>
      </c>
      <c r="S328" s="34">
        <f t="shared" si="57"/>
        <v>2886.2970711297075</v>
      </c>
      <c r="T328" s="34">
        <v>2801.3</v>
      </c>
      <c r="U328" s="34">
        <f t="shared" si="58"/>
        <v>2930.2301255230132</v>
      </c>
      <c r="V328" s="118">
        <v>210771</v>
      </c>
      <c r="W328" s="118">
        <v>7158597</v>
      </c>
      <c r="X328" s="119">
        <v>10710530</v>
      </c>
      <c r="Y328" s="119">
        <v>672383</v>
      </c>
      <c r="Z328" s="54">
        <v>97.6</v>
      </c>
      <c r="AA328" s="54">
        <v>94.6</v>
      </c>
      <c r="AB328" s="54">
        <v>88.1</v>
      </c>
      <c r="AC328" s="54">
        <v>98.2</v>
      </c>
      <c r="AD328" s="54">
        <v>43981</v>
      </c>
      <c r="AE328" s="54">
        <v>6</v>
      </c>
      <c r="AF328" s="54">
        <v>682</v>
      </c>
      <c r="AG328" s="54">
        <v>95.8</v>
      </c>
      <c r="AH328" s="54">
        <v>95.6</v>
      </c>
      <c r="AI328" s="64">
        <v>92.4</v>
      </c>
      <c r="AJ328" s="64">
        <v>94</v>
      </c>
      <c r="AK328" s="64">
        <v>170.89975000000001</v>
      </c>
      <c r="AL328" s="64">
        <v>86.4</v>
      </c>
      <c r="AM328" s="54">
        <v>93.31</v>
      </c>
      <c r="AN328" s="33">
        <v>139.65</v>
      </c>
      <c r="AO328" s="33">
        <v>97.14</v>
      </c>
      <c r="AP328" s="33">
        <v>52.2</v>
      </c>
      <c r="AQ328" s="54">
        <f t="shared" si="79"/>
        <v>0.56493506493506496</v>
      </c>
      <c r="AR328" s="54">
        <v>101.7</v>
      </c>
      <c r="AS328" s="54">
        <v>101.3</v>
      </c>
      <c r="AT328" s="54">
        <v>102</v>
      </c>
      <c r="AU328" s="54">
        <v>100.9</v>
      </c>
      <c r="AV328" s="54">
        <v>100.8</v>
      </c>
      <c r="AW328" s="54">
        <v>101</v>
      </c>
      <c r="AX328" s="54">
        <v>14.1</v>
      </c>
      <c r="AY328" s="54">
        <v>19.8</v>
      </c>
      <c r="AZ328" s="54">
        <v>14.9</v>
      </c>
      <c r="BA328" s="54">
        <v>10.4</v>
      </c>
      <c r="BB328" s="54">
        <v>103.3</v>
      </c>
      <c r="BC328" s="54">
        <v>103.4</v>
      </c>
      <c r="BD328" s="54">
        <v>103.3</v>
      </c>
      <c r="BE328" s="54">
        <v>63.5</v>
      </c>
      <c r="BF328" s="54">
        <v>13.8</v>
      </c>
      <c r="BG328" s="54">
        <v>16.399999999999999</v>
      </c>
      <c r="BH328" s="54">
        <v>148.80000000000001</v>
      </c>
      <c r="BI328" s="54">
        <v>11.6</v>
      </c>
      <c r="BJ328" s="34">
        <v>55.6</v>
      </c>
      <c r="BK328" s="54">
        <v>33.466975618642216</v>
      </c>
      <c r="BL328" s="54">
        <v>0.59099999999999997</v>
      </c>
      <c r="BM328" s="54">
        <v>100.1075</v>
      </c>
      <c r="BN328" s="54">
        <v>100.0938</v>
      </c>
      <c r="BO328" s="54">
        <v>-2.2999999999999998</v>
      </c>
      <c r="BP328" s="54">
        <v>-6.6</v>
      </c>
      <c r="BQ328" s="54">
        <v>4.2</v>
      </c>
      <c r="BR328" s="54">
        <v>13.9</v>
      </c>
      <c r="BS328" s="54">
        <v>3</v>
      </c>
      <c r="BT328" s="54">
        <v>3.7</v>
      </c>
      <c r="BU328" s="54">
        <v>2.5</v>
      </c>
      <c r="BV328" s="54">
        <v>20.3</v>
      </c>
      <c r="BW328" s="54">
        <v>-0.3</v>
      </c>
      <c r="BX328" s="54">
        <v>-3.9</v>
      </c>
      <c r="BY328" s="54">
        <v>5.5</v>
      </c>
      <c r="BZ328" s="54">
        <v>109.4</v>
      </c>
      <c r="CA328" s="54">
        <v>-0.3</v>
      </c>
      <c r="CB328" s="54">
        <v>10</v>
      </c>
      <c r="CC328" s="54">
        <v>9.4</v>
      </c>
      <c r="CD328" s="54">
        <v>-6.1</v>
      </c>
      <c r="CE328" s="54">
        <v>-14.1</v>
      </c>
      <c r="CF328" s="54">
        <v>6</v>
      </c>
      <c r="CG328" s="54">
        <v>25</v>
      </c>
      <c r="CH328" s="54">
        <v>20.399999999999999</v>
      </c>
      <c r="CI328" s="54">
        <v>10.7</v>
      </c>
      <c r="CJ328" s="54">
        <v>-6.4</v>
      </c>
      <c r="CK328" s="54">
        <v>8</v>
      </c>
      <c r="CL328" s="54">
        <v>26.9</v>
      </c>
      <c r="CM328" s="54">
        <v>3207.2712379999998</v>
      </c>
      <c r="CN328" s="54">
        <v>19191.93</v>
      </c>
      <c r="CO328" s="54">
        <v>2246.6290479999998</v>
      </c>
      <c r="CP328" s="54">
        <v>1.486</v>
      </c>
      <c r="CQ328" s="54">
        <v>2.4500000000000002</v>
      </c>
      <c r="CR328" s="54">
        <v>89.5</v>
      </c>
      <c r="CS328" s="64">
        <v>49.51</v>
      </c>
      <c r="CT328" s="54">
        <v>103.4</v>
      </c>
      <c r="CU328" s="54">
        <v>107</v>
      </c>
      <c r="CV328" s="54">
        <v>103.6</v>
      </c>
      <c r="CW328" s="54">
        <v>109.8</v>
      </c>
      <c r="CX328" s="54">
        <v>110.7</v>
      </c>
      <c r="CY328" s="54">
        <v>8.75</v>
      </c>
      <c r="CZ328" s="54">
        <v>47770.146999999997</v>
      </c>
      <c r="DA328" s="54">
        <v>4.8</v>
      </c>
      <c r="DB328" s="54">
        <v>30.4</v>
      </c>
      <c r="DC328" s="54">
        <v>51.38</v>
      </c>
      <c r="DD328" s="54">
        <v>15.63</v>
      </c>
      <c r="DE328" s="54">
        <v>19386.133000000002</v>
      </c>
      <c r="DF328" s="54">
        <v>4331.4269999999997</v>
      </c>
      <c r="DG328" s="54">
        <v>1573.308</v>
      </c>
      <c r="DH328" s="54">
        <v>1569.63</v>
      </c>
      <c r="DI328" s="54">
        <v>7250.8090000000002</v>
      </c>
      <c r="DJ328" s="54">
        <v>99.962699999999998</v>
      </c>
      <c r="DK328" s="54">
        <v>99.940200000000004</v>
      </c>
      <c r="DL328" s="54">
        <v>100.27</v>
      </c>
      <c r="DM328" s="54">
        <v>100.3412</v>
      </c>
      <c r="DN328" s="54">
        <v>100.0938</v>
      </c>
      <c r="DO328" s="54">
        <v>100.1075</v>
      </c>
      <c r="DP328" s="54">
        <v>99.703999999999994</v>
      </c>
      <c r="DQ328" s="54">
        <v>99.674099999999996</v>
      </c>
      <c r="DR328" s="54">
        <v>30413</v>
      </c>
      <c r="DS328" s="73">
        <v>31871</v>
      </c>
      <c r="DT328" s="96">
        <v>102.3</v>
      </c>
      <c r="DU328">
        <v>288.428466796875</v>
      </c>
      <c r="DV328">
        <v>246.81427001953125</v>
      </c>
      <c r="DW328" s="56">
        <v>1196</v>
      </c>
      <c r="DX328" s="56">
        <v>234025</v>
      </c>
      <c r="DY328" s="56">
        <v>89.9</v>
      </c>
      <c r="DZ328" t="s">
        <v>312</v>
      </c>
    </row>
    <row r="329" spans="1:130" x14ac:dyDescent="0.25">
      <c r="A329" s="1">
        <v>42736</v>
      </c>
      <c r="B329" s="34">
        <v>101.8</v>
      </c>
      <c r="C329" s="111">
        <v>-0.35</v>
      </c>
      <c r="D329" s="99">
        <v>0</v>
      </c>
      <c r="E329" s="34">
        <v>-0.32</v>
      </c>
      <c r="F329" s="34">
        <v>-0.55000000000000004</v>
      </c>
      <c r="G329" s="34">
        <v>-0.2</v>
      </c>
      <c r="H329" s="34">
        <v>0.25</v>
      </c>
      <c r="I329" s="34">
        <f t="shared" ref="I329:I334" si="84">IF(ISNUMBER(C329),IF(ISNUMBER(H329),H329-C329,""),"")</f>
        <v>0.6</v>
      </c>
      <c r="J329" s="34">
        <f t="shared" ref="J329:J334" si="85">IF(ISNUMBER(D329),IF(ISNUMBER(H329),H329-D329,""),"")</f>
        <v>0.25</v>
      </c>
      <c r="K329" s="34">
        <f t="shared" ref="K329:K334" si="86">IF(ISNUMBER(H329),IF(ISNUMBER(E329),H329-E329,""),"")</f>
        <v>0.57000000000000006</v>
      </c>
      <c r="L329" s="34">
        <f t="shared" ref="L329:L334" si="87">IF(ISNUMBER(D329),IF(ISNUMBER(C329),D329-C329,""),"")</f>
        <v>0.35</v>
      </c>
      <c r="M329" s="34">
        <v>94.8</v>
      </c>
      <c r="N329" s="34">
        <v>11598.33</v>
      </c>
      <c r="O329" s="34">
        <v>16.45</v>
      </c>
      <c r="P329" s="64">
        <v>1929.4</v>
      </c>
      <c r="Q329" s="34">
        <f t="shared" si="56"/>
        <v>20.18200836820084</v>
      </c>
      <c r="R329" s="34">
        <v>2784.5</v>
      </c>
      <c r="S329" s="34">
        <f t="shared" si="57"/>
        <v>2912.6569037656909</v>
      </c>
      <c r="T329" s="34">
        <v>2827.3</v>
      </c>
      <c r="U329" s="34">
        <f t="shared" si="58"/>
        <v>2957.4267782426782</v>
      </c>
      <c r="V329" s="118">
        <v>211440</v>
      </c>
      <c r="W329" s="118">
        <v>7208244</v>
      </c>
      <c r="X329" s="119">
        <v>10759056</v>
      </c>
      <c r="Y329" s="119">
        <v>680910</v>
      </c>
      <c r="Z329" s="34">
        <v>98.2</v>
      </c>
      <c r="AA329" s="34">
        <v>90</v>
      </c>
      <c r="AB329" s="34">
        <v>87.2</v>
      </c>
      <c r="AC329" s="34">
        <v>90.9</v>
      </c>
      <c r="AD329" s="34">
        <v>43997</v>
      </c>
      <c r="AE329" s="34">
        <v>5.9</v>
      </c>
      <c r="AF329" s="34">
        <v>692</v>
      </c>
      <c r="AG329" s="34">
        <v>96</v>
      </c>
      <c r="AH329" s="34">
        <v>95.6</v>
      </c>
      <c r="AI329" s="64">
        <v>92.9</v>
      </c>
      <c r="AJ329" s="64">
        <v>94.1</v>
      </c>
      <c r="AK329" s="64">
        <v>172.07163399999999</v>
      </c>
      <c r="AL329" s="64">
        <v>85.5</v>
      </c>
      <c r="AM329" s="34">
        <v>95.48</v>
      </c>
      <c r="AN329" s="33">
        <v>142.19</v>
      </c>
      <c r="AO329" s="33">
        <v>99.65</v>
      </c>
      <c r="AP329" s="33">
        <v>52.42</v>
      </c>
      <c r="AQ329" s="34">
        <f t="shared" si="79"/>
        <v>0.56426264800861137</v>
      </c>
      <c r="AR329" s="34">
        <v>101.8</v>
      </c>
      <c r="AS329" s="34">
        <v>100.9</v>
      </c>
      <c r="AT329" s="34">
        <v>102.7</v>
      </c>
      <c r="AU329" s="34">
        <v>101.2</v>
      </c>
      <c r="AV329" s="34">
        <v>100.3</v>
      </c>
      <c r="AW329" s="34">
        <v>102</v>
      </c>
      <c r="AX329" s="34">
        <v>16.8</v>
      </c>
      <c r="AY329" s="34">
        <v>18.100000000000001</v>
      </c>
      <c r="AZ329" s="34">
        <v>15.6</v>
      </c>
      <c r="BA329" s="34">
        <v>8.6999999999999993</v>
      </c>
      <c r="BB329" s="34">
        <v>104</v>
      </c>
      <c r="BC329" s="34">
        <v>103</v>
      </c>
      <c r="BD329" s="34">
        <v>105</v>
      </c>
      <c r="BE329" s="34">
        <v>77.3</v>
      </c>
      <c r="BF329" s="34">
        <v>16.600000000000001</v>
      </c>
      <c r="BG329" s="34">
        <v>21.6</v>
      </c>
      <c r="BH329" s="34">
        <v>144.69999999999999</v>
      </c>
      <c r="BI329" s="34">
        <v>28.7</v>
      </c>
      <c r="BJ329" s="34">
        <v>56.4</v>
      </c>
      <c r="BK329" s="34">
        <v>41.921979547926639</v>
      </c>
      <c r="BL329" s="34">
        <v>0.45100000000000001</v>
      </c>
      <c r="BM329" s="34">
        <v>100.2653</v>
      </c>
      <c r="BN329" s="34">
        <v>100.2294</v>
      </c>
      <c r="BO329" s="34">
        <v>-1.7</v>
      </c>
      <c r="BP329" s="34">
        <v>-5.8</v>
      </c>
      <c r="BQ329" s="34">
        <v>2.8</v>
      </c>
      <c r="BR329" s="34">
        <v>11.9</v>
      </c>
      <c r="BS329" s="34">
        <v>8.5</v>
      </c>
      <c r="BT329" s="34">
        <v>5.4</v>
      </c>
      <c r="BU329" s="34">
        <v>2.5</v>
      </c>
      <c r="BV329" s="34">
        <v>19.3</v>
      </c>
      <c r="BW329" s="34">
        <v>-0.1</v>
      </c>
      <c r="BX329" s="34">
        <v>-6.3</v>
      </c>
      <c r="BY329" s="34">
        <v>5.0999999999999996</v>
      </c>
      <c r="BZ329" s="34">
        <v>109.1</v>
      </c>
      <c r="CA329" s="34">
        <v>-0.1</v>
      </c>
      <c r="CB329" s="34">
        <v>9.6</v>
      </c>
      <c r="CC329" s="34">
        <v>9.8000000000000007</v>
      </c>
      <c r="CD329" s="34">
        <v>-3.2</v>
      </c>
      <c r="CE329" s="34">
        <v>-12.9</v>
      </c>
      <c r="CF329" s="34">
        <v>8.3000000000000007</v>
      </c>
      <c r="CG329" s="34">
        <v>29.7</v>
      </c>
      <c r="CH329" s="34">
        <v>19</v>
      </c>
      <c r="CI329" s="34">
        <v>12.9</v>
      </c>
      <c r="CJ329" s="34">
        <v>-6.9</v>
      </c>
      <c r="CK329" s="34">
        <v>10.4</v>
      </c>
      <c r="CL329" s="34">
        <v>28.9</v>
      </c>
      <c r="CM329" s="34">
        <v>3298.7695910000002</v>
      </c>
      <c r="CN329" s="34">
        <v>19762.599999999999</v>
      </c>
      <c r="CO329" s="34">
        <v>2275.116</v>
      </c>
      <c r="CP329" s="34">
        <v>1.24</v>
      </c>
      <c r="CQ329" s="34">
        <v>2.4500000000000002</v>
      </c>
      <c r="CR329" s="34">
        <v>90.3</v>
      </c>
      <c r="CS329" s="64">
        <v>51.28</v>
      </c>
      <c r="CT329" s="34">
        <v>103.7</v>
      </c>
      <c r="CU329" s="34">
        <v>107.6</v>
      </c>
      <c r="CV329" s="34">
        <v>106</v>
      </c>
      <c r="CW329" s="34">
        <v>107.6</v>
      </c>
      <c r="CX329" s="34">
        <v>112.2</v>
      </c>
      <c r="CY329" s="34">
        <v>9.67</v>
      </c>
      <c r="CZ329" s="34">
        <v>51942.8</v>
      </c>
      <c r="DA329" s="34">
        <v>5.07</v>
      </c>
      <c r="DB329" s="34">
        <v>31.35</v>
      </c>
      <c r="DC329" s="34">
        <v>52.4</v>
      </c>
      <c r="DD329" s="34">
        <v>17.21</v>
      </c>
      <c r="DE329" s="34">
        <v>15398.727000000001</v>
      </c>
      <c r="DF329" s="34">
        <v>2315.076</v>
      </c>
      <c r="DG329" s="34">
        <v>2132.7579999999998</v>
      </c>
      <c r="DH329" s="34">
        <v>1576.309</v>
      </c>
      <c r="DI329" s="34">
        <v>6277.4539999999997</v>
      </c>
      <c r="DJ329" s="34">
        <v>100.0204</v>
      </c>
      <c r="DK329" s="34">
        <v>100.0145</v>
      </c>
      <c r="DL329" s="34">
        <v>100.33</v>
      </c>
      <c r="DM329" s="34">
        <v>100.42529999999999</v>
      </c>
      <c r="DN329" s="34">
        <v>100.2294</v>
      </c>
      <c r="DO329" s="34">
        <v>100.2653</v>
      </c>
      <c r="DP329" s="34">
        <v>99.811700000000002</v>
      </c>
      <c r="DQ329" s="34">
        <v>99.792500000000004</v>
      </c>
      <c r="DR329" s="34">
        <v>43202</v>
      </c>
      <c r="DS329" s="73">
        <v>31918</v>
      </c>
      <c r="DT329" s="73">
        <v>102.1</v>
      </c>
      <c r="DU329">
        <v>320.0238037109375</v>
      </c>
      <c r="DV329">
        <v>335.64151000976563</v>
      </c>
      <c r="DW329">
        <v>961</v>
      </c>
      <c r="DX329">
        <v>311825</v>
      </c>
      <c r="DY329">
        <v>89.3</v>
      </c>
      <c r="DZ329" t="s">
        <v>312</v>
      </c>
    </row>
    <row r="330" spans="1:130" x14ac:dyDescent="0.25">
      <c r="A330" s="1">
        <v>42767</v>
      </c>
      <c r="B330" s="34">
        <v>103.5</v>
      </c>
      <c r="C330" s="111">
        <v>-0.35</v>
      </c>
      <c r="D330" s="99">
        <v>0</v>
      </c>
      <c r="E330" s="34">
        <v>-0.32</v>
      </c>
      <c r="F330" s="34">
        <v>-0.63</v>
      </c>
      <c r="G330" s="34">
        <v>-0.23</v>
      </c>
      <c r="H330" s="34">
        <v>0.26</v>
      </c>
      <c r="I330" s="34">
        <f t="shared" si="84"/>
        <v>0.61</v>
      </c>
      <c r="J330" s="34">
        <f t="shared" si="85"/>
        <v>0.26</v>
      </c>
      <c r="K330" s="34">
        <f t="shared" si="86"/>
        <v>0.58000000000000007</v>
      </c>
      <c r="L330" s="34">
        <f t="shared" si="87"/>
        <v>0.35</v>
      </c>
      <c r="M330" s="34">
        <v>94.7</v>
      </c>
      <c r="N330" s="34">
        <v>11659.5</v>
      </c>
      <c r="O330" s="34">
        <v>14.61</v>
      </c>
      <c r="P330" s="64">
        <v>1944.3</v>
      </c>
      <c r="Q330" s="34">
        <f t="shared" si="56"/>
        <v>20.27424400417101</v>
      </c>
      <c r="R330" s="34">
        <v>2797.2</v>
      </c>
      <c r="S330" s="34">
        <f t="shared" si="57"/>
        <v>2916.7883211678827</v>
      </c>
      <c r="T330" s="34">
        <v>2840</v>
      </c>
      <c r="U330" s="34">
        <f t="shared" si="58"/>
        <v>2961.4181438998953</v>
      </c>
      <c r="V330" s="118">
        <v>209472</v>
      </c>
      <c r="W330" s="118">
        <v>7263871</v>
      </c>
      <c r="X330" s="119">
        <v>10814115</v>
      </c>
      <c r="Y330" s="119">
        <v>677435</v>
      </c>
      <c r="Z330" s="34">
        <v>98.9</v>
      </c>
      <c r="AA330" s="34">
        <v>95.1</v>
      </c>
      <c r="AB330" s="34">
        <v>91.5</v>
      </c>
      <c r="AC330" s="34">
        <v>95.1</v>
      </c>
      <c r="AD330" s="34">
        <v>44045</v>
      </c>
      <c r="AE330" s="34">
        <v>5.9</v>
      </c>
      <c r="AF330" s="34">
        <v>693</v>
      </c>
      <c r="AG330" s="34">
        <v>96.1</v>
      </c>
      <c r="AH330" s="34">
        <v>95.9</v>
      </c>
      <c r="AI330" s="64">
        <v>93.3</v>
      </c>
      <c r="AJ330" s="64">
        <v>94.3</v>
      </c>
      <c r="AK330" s="64">
        <v>172.46226200000001</v>
      </c>
      <c r="AL330" s="64">
        <v>85.5</v>
      </c>
      <c r="AM330" s="34">
        <v>98.98</v>
      </c>
      <c r="AN330" s="33">
        <v>141.44</v>
      </c>
      <c r="AO330" s="33">
        <v>101.48</v>
      </c>
      <c r="AP330" s="33">
        <v>52.71</v>
      </c>
      <c r="AQ330" s="34">
        <f t="shared" si="79"/>
        <v>0.56495176848874595</v>
      </c>
      <c r="AR330" s="34">
        <v>102.6</v>
      </c>
      <c r="AS330" s="34">
        <v>100.7</v>
      </c>
      <c r="AT330" s="34">
        <v>104.6</v>
      </c>
      <c r="AU330" s="34">
        <v>102.5</v>
      </c>
      <c r="AV330" s="34">
        <v>100.6</v>
      </c>
      <c r="AW330" s="34">
        <v>104.4</v>
      </c>
      <c r="AX330" s="34">
        <v>19.899999999999999</v>
      </c>
      <c r="AY330" s="34">
        <v>10.3</v>
      </c>
      <c r="AZ330" s="34">
        <v>19.5</v>
      </c>
      <c r="BA330" s="34">
        <v>9.1</v>
      </c>
      <c r="BB330" s="34">
        <v>103.9</v>
      </c>
      <c r="BC330" s="34">
        <v>102</v>
      </c>
      <c r="BD330" s="34">
        <v>105.9</v>
      </c>
      <c r="BE330" s="34">
        <v>76.400000000000006</v>
      </c>
      <c r="BF330" s="34">
        <v>10.4</v>
      </c>
      <c r="BG330" s="34">
        <v>9.6999999999999993</v>
      </c>
      <c r="BH330" s="34">
        <v>137</v>
      </c>
      <c r="BI330" s="34">
        <v>60.5</v>
      </c>
      <c r="BJ330" s="34">
        <v>56.8</v>
      </c>
      <c r="BK330" s="34">
        <v>51.546372565148694</v>
      </c>
      <c r="BL330" s="34">
        <v>0.52200000000000002</v>
      </c>
      <c r="BM330" s="34">
        <v>100.4308</v>
      </c>
      <c r="BN330" s="34">
        <v>100.3716</v>
      </c>
      <c r="BO330" s="34">
        <v>2.4</v>
      </c>
      <c r="BP330" s="34">
        <v>-4.8</v>
      </c>
      <c r="BQ330" s="34">
        <v>2.8</v>
      </c>
      <c r="BR330" s="34">
        <v>11.9</v>
      </c>
      <c r="BS330" s="34">
        <v>11.7</v>
      </c>
      <c r="BT330" s="34">
        <v>7.3</v>
      </c>
      <c r="BU330" s="34">
        <v>3.8</v>
      </c>
      <c r="BV330" s="34">
        <v>19.8</v>
      </c>
      <c r="BW330" s="34">
        <v>-1.4</v>
      </c>
      <c r="BX330" s="34">
        <v>-6.8</v>
      </c>
      <c r="BY330" s="34">
        <v>4.8</v>
      </c>
      <c r="BZ330" s="34">
        <v>109.1</v>
      </c>
      <c r="CA330" s="34">
        <v>-1.4</v>
      </c>
      <c r="CB330" s="34">
        <v>7.7</v>
      </c>
      <c r="CC330" s="34">
        <v>8.1999999999999993</v>
      </c>
      <c r="CD330" s="34">
        <v>-4.5</v>
      </c>
      <c r="CE330" s="34">
        <v>-14.3</v>
      </c>
      <c r="CF330" s="34">
        <v>13.1</v>
      </c>
      <c r="CG330" s="34">
        <v>30.1</v>
      </c>
      <c r="CH330" s="34">
        <v>17.899999999999999</v>
      </c>
      <c r="CI330" s="34">
        <v>9.5</v>
      </c>
      <c r="CJ330" s="34">
        <v>-7.2</v>
      </c>
      <c r="CK330" s="34">
        <v>8.6</v>
      </c>
      <c r="CL330" s="34">
        <v>27.3</v>
      </c>
      <c r="CM330" s="34">
        <v>3293.0971</v>
      </c>
      <c r="CN330" s="34">
        <v>19890.939999999999</v>
      </c>
      <c r="CO330" s="34">
        <v>2329.9105260000001</v>
      </c>
      <c r="CP330" s="34">
        <v>1.4510000000000001</v>
      </c>
      <c r="CQ330" s="34">
        <v>2.48</v>
      </c>
      <c r="CR330" s="34">
        <v>86.5</v>
      </c>
      <c r="CS330" s="64">
        <v>50.91</v>
      </c>
      <c r="CT330" s="34">
        <v>105.3</v>
      </c>
      <c r="CU330" s="34">
        <v>109.9</v>
      </c>
      <c r="CV330" s="34">
        <v>105.1</v>
      </c>
      <c r="CW330" s="34">
        <v>106.2</v>
      </c>
      <c r="CX330" s="34">
        <v>111.3</v>
      </c>
      <c r="CY330" s="34">
        <v>9.59</v>
      </c>
      <c r="CZ330" s="34">
        <v>53655.894999999997</v>
      </c>
      <c r="DA330" s="34">
        <v>4.87</v>
      </c>
      <c r="DB330" s="34">
        <v>31.34</v>
      </c>
      <c r="DC330" s="34">
        <v>54.34</v>
      </c>
      <c r="DD330" s="34">
        <v>17.059999999999999</v>
      </c>
      <c r="DE330" s="34">
        <v>16127.308999999999</v>
      </c>
      <c r="DF330" s="34">
        <v>2729.6550000000002</v>
      </c>
      <c r="DG330" s="34">
        <v>1826.614</v>
      </c>
      <c r="DH330" s="34">
        <v>1519.354</v>
      </c>
      <c r="DI330" s="34">
        <v>6296.2439999999997</v>
      </c>
      <c r="DJ330" s="34">
        <v>100.07250000000001</v>
      </c>
      <c r="DK330" s="34">
        <v>100.0825</v>
      </c>
      <c r="DL330" s="34">
        <v>100.38</v>
      </c>
      <c r="DM330" s="34">
        <v>100.48220000000001</v>
      </c>
      <c r="DN330" s="34">
        <v>100.3716</v>
      </c>
      <c r="DO330" s="34">
        <v>100.4308</v>
      </c>
      <c r="DP330" s="34">
        <v>99.881600000000006</v>
      </c>
      <c r="DQ330" s="34">
        <v>99.869399999999999</v>
      </c>
      <c r="DR330" s="34">
        <v>41672</v>
      </c>
      <c r="DS330" s="73">
        <v>31979</v>
      </c>
      <c r="DT330" s="73">
        <v>101.9</v>
      </c>
      <c r="DU330">
        <v>237.06755065917969</v>
      </c>
      <c r="DV330">
        <v>170.40043640136719</v>
      </c>
      <c r="DW330">
        <v>786</v>
      </c>
      <c r="DX330">
        <v>259500</v>
      </c>
      <c r="DY330">
        <v>91.9</v>
      </c>
      <c r="DZ330" t="s">
        <v>312</v>
      </c>
    </row>
    <row r="331" spans="1:130" s="56" customFormat="1" x14ac:dyDescent="0.25">
      <c r="A331" s="53">
        <v>42795</v>
      </c>
      <c r="B331" s="34">
        <v>103</v>
      </c>
      <c r="C331" s="112">
        <v>-0.35</v>
      </c>
      <c r="D331" s="98">
        <v>0</v>
      </c>
      <c r="E331" s="54">
        <v>-0.33</v>
      </c>
      <c r="F331" s="54">
        <v>-0.56000000000000005</v>
      </c>
      <c r="G331" s="54">
        <v>-0.17</v>
      </c>
      <c r="H331" s="54">
        <v>0.35</v>
      </c>
      <c r="I331" s="54">
        <f t="shared" si="84"/>
        <v>0.7</v>
      </c>
      <c r="J331" s="54">
        <f t="shared" si="85"/>
        <v>0.35</v>
      </c>
      <c r="K331" s="54">
        <f t="shared" si="86"/>
        <v>0.67999999999999994</v>
      </c>
      <c r="L331" s="54">
        <f t="shared" si="87"/>
        <v>0.35</v>
      </c>
      <c r="M331" s="54">
        <v>94.8</v>
      </c>
      <c r="N331" s="54">
        <v>12067.19</v>
      </c>
      <c r="O331" s="54">
        <v>16.34</v>
      </c>
      <c r="P331" s="64">
        <v>1956.4</v>
      </c>
      <c r="Q331" s="34">
        <f t="shared" si="56"/>
        <v>20.400417101147028</v>
      </c>
      <c r="R331" s="34">
        <v>2809</v>
      </c>
      <c r="S331" s="34">
        <f t="shared" si="57"/>
        <v>2929.0928050052139</v>
      </c>
      <c r="T331" s="34">
        <v>2849.1</v>
      </c>
      <c r="U331" s="34">
        <f t="shared" si="58"/>
        <v>2970.9071949947861</v>
      </c>
      <c r="V331" s="118">
        <v>208912</v>
      </c>
      <c r="W331" s="118">
        <v>7344648</v>
      </c>
      <c r="X331" s="119">
        <v>10881654</v>
      </c>
      <c r="Y331" s="119">
        <v>699490</v>
      </c>
      <c r="Z331" s="54">
        <v>99</v>
      </c>
      <c r="AA331" s="54">
        <v>94</v>
      </c>
      <c r="AB331" s="54">
        <v>89.7</v>
      </c>
      <c r="AC331" s="54">
        <v>95</v>
      </c>
      <c r="AD331" s="54">
        <v>44119</v>
      </c>
      <c r="AE331" s="54">
        <v>5.8</v>
      </c>
      <c r="AF331" s="54">
        <v>697</v>
      </c>
      <c r="AG331" s="54">
        <v>96</v>
      </c>
      <c r="AH331" s="54">
        <v>95.9</v>
      </c>
      <c r="AI331" s="64">
        <v>92.9</v>
      </c>
      <c r="AJ331" s="64">
        <v>94.1</v>
      </c>
      <c r="AK331" s="64">
        <v>172.65757600000001</v>
      </c>
      <c r="AL331" s="64">
        <v>85.6</v>
      </c>
      <c r="AM331" s="54">
        <v>99.27</v>
      </c>
      <c r="AN331" s="33">
        <v>130.4</v>
      </c>
      <c r="AO331" s="33">
        <v>100.12</v>
      </c>
      <c r="AP331" s="33">
        <v>49.26</v>
      </c>
      <c r="AQ331" s="54">
        <f t="shared" si="79"/>
        <v>0.53024757804090417</v>
      </c>
      <c r="AR331" s="54">
        <v>104.3</v>
      </c>
      <c r="AS331" s="54">
        <v>103.2</v>
      </c>
      <c r="AT331" s="54">
        <v>105.4</v>
      </c>
      <c r="AU331" s="54">
        <v>104.5</v>
      </c>
      <c r="AV331" s="54">
        <v>103.8</v>
      </c>
      <c r="AW331" s="54">
        <v>105.2</v>
      </c>
      <c r="AX331" s="54">
        <v>25.9</v>
      </c>
      <c r="AY331" s="54">
        <v>20.7</v>
      </c>
      <c r="AZ331" s="54">
        <v>21.7</v>
      </c>
      <c r="BA331" s="54">
        <v>11</v>
      </c>
      <c r="BB331" s="54">
        <v>104.4</v>
      </c>
      <c r="BC331" s="54">
        <v>102.9</v>
      </c>
      <c r="BD331" s="54">
        <v>105.9</v>
      </c>
      <c r="BE331" s="54">
        <v>77.3</v>
      </c>
      <c r="BF331" s="54">
        <v>12.8</v>
      </c>
      <c r="BG331" s="54">
        <v>18.100000000000001</v>
      </c>
      <c r="BH331" s="54">
        <v>130.4</v>
      </c>
      <c r="BI331" s="54">
        <v>49.8</v>
      </c>
      <c r="BJ331" s="34">
        <v>58.3</v>
      </c>
      <c r="BK331" s="54">
        <v>45.815563347321934</v>
      </c>
      <c r="BL331" s="54">
        <v>0.55800000000000005</v>
      </c>
      <c r="BM331" s="54">
        <v>100.5998</v>
      </c>
      <c r="BN331" s="54">
        <v>100.5167</v>
      </c>
      <c r="BO331" s="54">
        <v>2.6</v>
      </c>
      <c r="BP331" s="54">
        <v>-3</v>
      </c>
      <c r="BQ331" s="54">
        <v>1.5</v>
      </c>
      <c r="BR331" s="54">
        <v>15.4</v>
      </c>
      <c r="BS331" s="54">
        <v>12.8</v>
      </c>
      <c r="BT331" s="54">
        <v>5.0999999999999996</v>
      </c>
      <c r="BU331" s="54">
        <v>5.5</v>
      </c>
      <c r="BV331" s="54">
        <v>19.8</v>
      </c>
      <c r="BW331" s="54">
        <v>-0.4</v>
      </c>
      <c r="BX331" s="54">
        <v>-4.8</v>
      </c>
      <c r="BY331" s="54">
        <v>8.6999999999999993</v>
      </c>
      <c r="BZ331" s="54">
        <v>110.4</v>
      </c>
      <c r="CA331" s="54">
        <v>-0.4</v>
      </c>
      <c r="CB331" s="54">
        <v>8.5</v>
      </c>
      <c r="CC331" s="54">
        <v>7</v>
      </c>
      <c r="CD331" s="54">
        <v>-4.7</v>
      </c>
      <c r="CE331" s="54">
        <v>-12</v>
      </c>
      <c r="CF331" s="54">
        <v>19.8</v>
      </c>
      <c r="CG331" s="54">
        <v>32.9</v>
      </c>
      <c r="CH331" s="54">
        <v>16.2</v>
      </c>
      <c r="CI331" s="54">
        <v>12.5</v>
      </c>
      <c r="CJ331" s="54">
        <v>-5.3</v>
      </c>
      <c r="CK331" s="54">
        <v>12.7</v>
      </c>
      <c r="CL331" s="54">
        <v>29</v>
      </c>
      <c r="CM331" s="54">
        <v>3427.1039569999998</v>
      </c>
      <c r="CN331" s="54">
        <v>21115.55</v>
      </c>
      <c r="CO331" s="54">
        <v>2366.8221739999999</v>
      </c>
      <c r="CP331" s="54">
        <v>1.1220000000000001</v>
      </c>
      <c r="CQ331" s="54">
        <v>2.46</v>
      </c>
      <c r="CR331" s="54">
        <v>86.5</v>
      </c>
      <c r="CS331" s="64">
        <v>49.6</v>
      </c>
      <c r="CT331" s="54">
        <v>104.8</v>
      </c>
      <c r="CU331" s="54">
        <v>107.2</v>
      </c>
      <c r="CV331" s="54">
        <v>106.2</v>
      </c>
      <c r="CW331" s="54">
        <v>104.6</v>
      </c>
      <c r="CX331" s="54">
        <v>112.4</v>
      </c>
      <c r="CY331" s="54">
        <v>9.5</v>
      </c>
      <c r="CZ331" s="54">
        <v>59522.59</v>
      </c>
      <c r="DA331" s="54">
        <v>5.32</v>
      </c>
      <c r="DB331" s="54">
        <v>30.81</v>
      </c>
      <c r="DC331" s="54">
        <v>52.92</v>
      </c>
      <c r="DD331" s="54">
        <v>17.010000000000002</v>
      </c>
      <c r="DE331" s="54">
        <v>20100.795999999998</v>
      </c>
      <c r="DF331" s="54">
        <v>3484.386</v>
      </c>
      <c r="DG331" s="54">
        <v>2299.424</v>
      </c>
      <c r="DH331" s="54">
        <v>1842.828</v>
      </c>
      <c r="DI331" s="54">
        <v>7886.8959999999997</v>
      </c>
      <c r="DJ331" s="54">
        <v>100.1234</v>
      </c>
      <c r="DK331" s="54">
        <v>100.1494</v>
      </c>
      <c r="DL331" s="54">
        <v>100.4</v>
      </c>
      <c r="DM331" s="54">
        <v>100.5159</v>
      </c>
      <c r="DN331" s="54">
        <v>100.5167</v>
      </c>
      <c r="DO331" s="54">
        <v>100.5998</v>
      </c>
      <c r="DP331" s="54">
        <v>99.914599999999993</v>
      </c>
      <c r="DQ331" s="54">
        <v>99.905699999999996</v>
      </c>
      <c r="DR331" s="54">
        <v>39516</v>
      </c>
      <c r="DS331" s="73">
        <v>32053</v>
      </c>
      <c r="DT331" s="96">
        <v>101.5</v>
      </c>
      <c r="DU331">
        <v>267.0693359375</v>
      </c>
      <c r="DV331">
        <v>222.12301635742188</v>
      </c>
      <c r="DW331" s="56">
        <v>871</v>
      </c>
      <c r="DX331" s="56">
        <v>200000</v>
      </c>
      <c r="DY331" s="56">
        <v>91.7</v>
      </c>
      <c r="DZ331" t="s">
        <v>312</v>
      </c>
    </row>
    <row r="332" spans="1:130" x14ac:dyDescent="0.25">
      <c r="A332" s="1">
        <v>42826</v>
      </c>
      <c r="B332" s="34">
        <v>105</v>
      </c>
      <c r="C332" s="111">
        <v>-0.36</v>
      </c>
      <c r="D332" s="99">
        <v>0</v>
      </c>
      <c r="E332" s="34">
        <v>-0.33</v>
      </c>
      <c r="F332" s="34">
        <v>-0.6</v>
      </c>
      <c r="G332" s="34">
        <v>-0.26</v>
      </c>
      <c r="H332" s="34">
        <v>0.22</v>
      </c>
      <c r="I332" s="34">
        <f t="shared" si="84"/>
        <v>0.57999999999999996</v>
      </c>
      <c r="J332" s="34">
        <f t="shared" si="85"/>
        <v>0.22</v>
      </c>
      <c r="K332" s="34">
        <f t="shared" si="86"/>
        <v>0.55000000000000004</v>
      </c>
      <c r="L332" s="34">
        <f t="shared" si="87"/>
        <v>0.36</v>
      </c>
      <c r="M332" s="34">
        <v>94.7</v>
      </c>
      <c r="N332" s="34">
        <v>12257.2</v>
      </c>
      <c r="O332" s="34">
        <v>14.37</v>
      </c>
      <c r="P332" s="64">
        <v>1960.6</v>
      </c>
      <c r="Q332" s="34">
        <f t="shared" si="56"/>
        <v>20.444212721584982</v>
      </c>
      <c r="R332" s="34">
        <v>2809.7</v>
      </c>
      <c r="S332" s="34">
        <f t="shared" si="57"/>
        <v>2929.8227320125125</v>
      </c>
      <c r="T332" s="34">
        <v>2848.9</v>
      </c>
      <c r="U332" s="34">
        <f t="shared" si="58"/>
        <v>2970.6986444212721</v>
      </c>
      <c r="V332" s="118">
        <v>210132</v>
      </c>
      <c r="W332" s="118">
        <v>7394158</v>
      </c>
      <c r="X332" s="119">
        <v>10912228</v>
      </c>
      <c r="Y332" s="119">
        <v>665793</v>
      </c>
      <c r="Z332" s="34">
        <v>101.1</v>
      </c>
      <c r="AA332" s="34">
        <v>95.2</v>
      </c>
      <c r="AB332" s="34">
        <v>91.3</v>
      </c>
      <c r="AC332" s="34">
        <v>97</v>
      </c>
      <c r="AD332" s="34">
        <v>44162</v>
      </c>
      <c r="AE332" s="34">
        <v>5.8</v>
      </c>
      <c r="AF332" s="34">
        <v>708</v>
      </c>
      <c r="AG332" s="34">
        <v>96.1</v>
      </c>
      <c r="AH332" s="34">
        <v>95.9</v>
      </c>
      <c r="AI332" s="64">
        <v>92.7</v>
      </c>
      <c r="AJ332" s="64">
        <v>94.4</v>
      </c>
      <c r="AK332" s="64">
        <v>173.048204</v>
      </c>
      <c r="AL332" s="64">
        <v>86.5</v>
      </c>
      <c r="AM332" s="34">
        <v>96.59</v>
      </c>
      <c r="AN332" s="33">
        <v>133.82</v>
      </c>
      <c r="AO332" s="33">
        <v>97.12</v>
      </c>
      <c r="AP332" s="33">
        <v>50.37</v>
      </c>
      <c r="AQ332" s="34">
        <f t="shared" si="79"/>
        <v>0.54336569579288019</v>
      </c>
      <c r="AR332" s="34">
        <v>106.5</v>
      </c>
      <c r="AS332" s="34">
        <v>105</v>
      </c>
      <c r="AT332" s="34">
        <v>107.9</v>
      </c>
      <c r="AU332" s="34">
        <v>106.3</v>
      </c>
      <c r="AV332" s="34">
        <v>105.5</v>
      </c>
      <c r="AW332" s="34">
        <v>107.2</v>
      </c>
      <c r="AX332" s="34">
        <v>25.5</v>
      </c>
      <c r="AY332" s="34">
        <v>23.7</v>
      </c>
      <c r="AZ332" s="34">
        <v>26.5</v>
      </c>
      <c r="BA332" s="34">
        <v>15.8</v>
      </c>
      <c r="BB332" s="34">
        <v>107</v>
      </c>
      <c r="BC332" s="34">
        <v>104</v>
      </c>
      <c r="BD332" s="34">
        <v>110.1</v>
      </c>
      <c r="BE332" s="34">
        <v>80.099999999999994</v>
      </c>
      <c r="BF332" s="34">
        <v>19.5</v>
      </c>
      <c r="BG332" s="34">
        <v>30.5</v>
      </c>
      <c r="BH332" s="34">
        <v>126.4</v>
      </c>
      <c r="BI332" s="34">
        <v>23.4</v>
      </c>
      <c r="BJ332" s="34">
        <v>58.2</v>
      </c>
      <c r="BK332" s="34">
        <v>48.831811262738491</v>
      </c>
      <c r="BL332" s="34">
        <v>0.498</v>
      </c>
      <c r="BM332" s="34">
        <v>100.76430000000001</v>
      </c>
      <c r="BN332" s="34">
        <v>100.6581</v>
      </c>
      <c r="BO332" s="34">
        <v>7.8</v>
      </c>
      <c r="BP332" s="34">
        <v>-1.1000000000000001</v>
      </c>
      <c r="BQ332" s="34">
        <v>-0.1</v>
      </c>
      <c r="BR332" s="34">
        <v>15.8</v>
      </c>
      <c r="BS332" s="34">
        <v>11.4</v>
      </c>
      <c r="BT332" s="34">
        <v>7.8</v>
      </c>
      <c r="BU332" s="34">
        <v>7.9</v>
      </c>
      <c r="BV332" s="34">
        <v>20.3</v>
      </c>
      <c r="BW332" s="34">
        <v>0.4</v>
      </c>
      <c r="BX332" s="34">
        <v>3.1</v>
      </c>
      <c r="BY332" s="34">
        <v>10.9</v>
      </c>
      <c r="BZ332" s="34">
        <v>112.1</v>
      </c>
      <c r="CA332" s="34">
        <v>0.4</v>
      </c>
      <c r="CB332" s="34">
        <v>9.1</v>
      </c>
      <c r="CC332" s="34">
        <v>9.6</v>
      </c>
      <c r="CD332" s="34">
        <v>-2.8</v>
      </c>
      <c r="CE332" s="34">
        <v>-10.199999999999999</v>
      </c>
      <c r="CF332" s="34">
        <v>17.3</v>
      </c>
      <c r="CG332" s="34">
        <v>29.8</v>
      </c>
      <c r="CH332" s="34">
        <v>14.3</v>
      </c>
      <c r="CI332" s="34">
        <v>14</v>
      </c>
      <c r="CJ332" s="34">
        <v>-7.1</v>
      </c>
      <c r="CK332" s="34">
        <v>11</v>
      </c>
      <c r="CL332" s="34">
        <v>29.8</v>
      </c>
      <c r="CM332" s="34">
        <v>3491.8341110000001</v>
      </c>
      <c r="CN332" s="34">
        <v>20650.21</v>
      </c>
      <c r="CO332" s="34">
        <v>2359.3094740000001</v>
      </c>
      <c r="CP332" s="34">
        <v>1.004</v>
      </c>
      <c r="CQ332" s="34">
        <v>2.35</v>
      </c>
      <c r="CR332" s="34">
        <v>87</v>
      </c>
      <c r="CS332" s="64">
        <v>51.67</v>
      </c>
      <c r="CT332" s="34">
        <v>105.9</v>
      </c>
      <c r="CU332" s="34">
        <v>107.7</v>
      </c>
      <c r="CV332" s="34">
        <v>107.8</v>
      </c>
      <c r="CW332" s="34">
        <v>107</v>
      </c>
      <c r="CX332" s="34">
        <v>112.6</v>
      </c>
      <c r="CY332" s="34">
        <v>9.0500000000000007</v>
      </c>
      <c r="CZ332" s="34">
        <v>53983.521000000001</v>
      </c>
      <c r="DA332" s="34">
        <v>5.25</v>
      </c>
      <c r="DB332" s="34">
        <v>32.01</v>
      </c>
      <c r="DC332" s="34">
        <v>56.63</v>
      </c>
      <c r="DD332" s="34">
        <v>17.64</v>
      </c>
      <c r="DE332" s="34">
        <v>15221.71</v>
      </c>
      <c r="DF332" s="34">
        <v>2155.0459999999998</v>
      </c>
      <c r="DG332" s="34">
        <v>2045.431</v>
      </c>
      <c r="DH332" s="34">
        <v>1472.9860000000001</v>
      </c>
      <c r="DI332" s="34">
        <v>6089.9949999999999</v>
      </c>
      <c r="DJ332" s="34">
        <v>100.17440000000001</v>
      </c>
      <c r="DK332" s="34">
        <v>100.217</v>
      </c>
      <c r="DL332" s="34">
        <v>100.42</v>
      </c>
      <c r="DM332" s="34">
        <v>100.53740000000001</v>
      </c>
      <c r="DN332" s="34">
        <v>100.6581</v>
      </c>
      <c r="DO332" s="34">
        <v>100.76430000000001</v>
      </c>
      <c r="DP332" s="34">
        <v>99.924899999999994</v>
      </c>
      <c r="DQ332" s="34">
        <v>99.917000000000002</v>
      </c>
      <c r="DR332" s="34">
        <v>27424</v>
      </c>
      <c r="DS332" s="73">
        <v>32084</v>
      </c>
      <c r="DT332" s="73">
        <v>103.2</v>
      </c>
      <c r="DU332">
        <v>249.21891784667969</v>
      </c>
      <c r="DV332">
        <v>204.83882141113281</v>
      </c>
      <c r="DW332">
        <v>1282</v>
      </c>
      <c r="DX332">
        <v>279875</v>
      </c>
      <c r="DY332">
        <v>93</v>
      </c>
      <c r="DZ332" t="s">
        <v>312</v>
      </c>
    </row>
    <row r="333" spans="1:130" x14ac:dyDescent="0.25">
      <c r="A333" s="1">
        <v>42856</v>
      </c>
      <c r="B333" s="34">
        <v>105.1</v>
      </c>
      <c r="C333" s="111">
        <v>-0.36</v>
      </c>
      <c r="D333" s="99">
        <v>0</v>
      </c>
      <c r="E333" s="34">
        <v>-0.33</v>
      </c>
      <c r="F333" s="34">
        <v>-0.51</v>
      </c>
      <c r="G333" s="34">
        <v>-0.14000000000000001</v>
      </c>
      <c r="H333" s="34">
        <v>0.34</v>
      </c>
      <c r="I333" s="34">
        <f t="shared" si="84"/>
        <v>0.7</v>
      </c>
      <c r="J333" s="34">
        <f t="shared" si="85"/>
        <v>0.34</v>
      </c>
      <c r="K333" s="34">
        <f t="shared" si="86"/>
        <v>0.67</v>
      </c>
      <c r="L333" s="34">
        <f t="shared" si="87"/>
        <v>0.36</v>
      </c>
      <c r="M333" s="34">
        <v>95.6</v>
      </c>
      <c r="N333" s="34">
        <v>12438.01</v>
      </c>
      <c r="O333" s="34">
        <v>12.45</v>
      </c>
      <c r="P333" s="64">
        <v>1967.9</v>
      </c>
      <c r="Q333" s="34">
        <f t="shared" si="56"/>
        <v>20.498958333333334</v>
      </c>
      <c r="R333" s="34">
        <v>2815.9</v>
      </c>
      <c r="S333" s="34">
        <f t="shared" si="57"/>
        <v>2933.2291666666665</v>
      </c>
      <c r="T333" s="34">
        <v>2855.8</v>
      </c>
      <c r="U333" s="34">
        <f t="shared" si="58"/>
        <v>2974.791666666667</v>
      </c>
      <c r="V333" s="118">
        <v>209361</v>
      </c>
      <c r="W333" s="118">
        <v>7423638</v>
      </c>
      <c r="X333" s="119">
        <v>10928508</v>
      </c>
      <c r="Y333" s="119">
        <v>679067</v>
      </c>
      <c r="Z333" s="34">
        <v>100.5</v>
      </c>
      <c r="AA333" s="34">
        <v>93.6</v>
      </c>
      <c r="AB333" s="34">
        <v>91.2</v>
      </c>
      <c r="AC333" s="34">
        <v>94.5</v>
      </c>
      <c r="AD333" s="34">
        <v>44210</v>
      </c>
      <c r="AE333" s="34">
        <v>5.7</v>
      </c>
      <c r="AF333" s="34">
        <v>714</v>
      </c>
      <c r="AG333" s="34">
        <v>96.1</v>
      </c>
      <c r="AH333" s="34">
        <v>96</v>
      </c>
      <c r="AI333" s="64">
        <v>92</v>
      </c>
      <c r="AJ333" s="64">
        <v>94.1</v>
      </c>
      <c r="AK333" s="64">
        <v>173.048204</v>
      </c>
      <c r="AL333" s="64">
        <v>86.4</v>
      </c>
      <c r="AM333" s="34">
        <v>94.09</v>
      </c>
      <c r="AN333" s="33">
        <v>127.82</v>
      </c>
      <c r="AO333" s="33">
        <v>95.88</v>
      </c>
      <c r="AP333" s="33">
        <v>46.47</v>
      </c>
      <c r="AQ333" s="34">
        <f t="shared" si="79"/>
        <v>0.50510869565217387</v>
      </c>
      <c r="AR333" s="34">
        <v>106.1</v>
      </c>
      <c r="AS333" s="34">
        <v>104.1</v>
      </c>
      <c r="AT333" s="34">
        <v>108.2</v>
      </c>
      <c r="AU333" s="34">
        <v>106.9</v>
      </c>
      <c r="AV333" s="34">
        <v>105</v>
      </c>
      <c r="AW333" s="34">
        <v>108.8</v>
      </c>
      <c r="AX333" s="34">
        <v>35.5</v>
      </c>
      <c r="AY333" s="34">
        <v>23</v>
      </c>
      <c r="AZ333" s="34">
        <v>23.8</v>
      </c>
      <c r="BA333" s="34">
        <v>14.6</v>
      </c>
      <c r="BB333" s="34">
        <v>104.7</v>
      </c>
      <c r="BC333" s="34">
        <v>102.3</v>
      </c>
      <c r="BD333" s="34">
        <v>107.2</v>
      </c>
      <c r="BE333" s="34">
        <v>83.9</v>
      </c>
      <c r="BF333" s="34">
        <v>20.6</v>
      </c>
      <c r="BG333" s="34">
        <v>34.799999999999997</v>
      </c>
      <c r="BH333" s="34">
        <v>126.2</v>
      </c>
      <c r="BI333" s="34">
        <v>11.7</v>
      </c>
      <c r="BJ333" s="34">
        <v>59.5</v>
      </c>
      <c r="BK333" s="34">
        <v>41.638079750417049</v>
      </c>
      <c r="BL333" s="34">
        <v>0.41599999999999998</v>
      </c>
      <c r="BM333" s="34">
        <v>100.9121</v>
      </c>
      <c r="BN333" s="34">
        <v>100.7851</v>
      </c>
      <c r="BO333" s="34">
        <v>7.8</v>
      </c>
      <c r="BP333" s="34">
        <v>-0.3</v>
      </c>
      <c r="BQ333" s="34">
        <v>1.3</v>
      </c>
      <c r="BR333" s="34">
        <v>18.100000000000001</v>
      </c>
      <c r="BS333" s="34">
        <v>13.3</v>
      </c>
      <c r="BT333" s="34">
        <v>8.8000000000000007</v>
      </c>
      <c r="BU333" s="34">
        <v>8.1999999999999993</v>
      </c>
      <c r="BV333" s="34">
        <v>17.600000000000001</v>
      </c>
      <c r="BW333" s="34">
        <v>1.3</v>
      </c>
      <c r="BX333" s="34">
        <v>-5.9</v>
      </c>
      <c r="BY333" s="34">
        <v>10.3</v>
      </c>
      <c r="BZ333" s="34">
        <v>111.2</v>
      </c>
      <c r="CA333" s="34">
        <v>1.3</v>
      </c>
      <c r="CB333" s="34">
        <v>9.8000000000000007</v>
      </c>
      <c r="CC333" s="34">
        <v>9.4</v>
      </c>
      <c r="CD333" s="34">
        <v>-2.1</v>
      </c>
      <c r="CE333" s="34">
        <v>-8.9</v>
      </c>
      <c r="CF333" s="34">
        <v>15.5</v>
      </c>
      <c r="CG333" s="34">
        <v>28.6</v>
      </c>
      <c r="CH333" s="34">
        <v>13.1</v>
      </c>
      <c r="CI333" s="34">
        <v>13.3</v>
      </c>
      <c r="CJ333" s="34">
        <v>-5.2</v>
      </c>
      <c r="CK333" s="34">
        <v>10.8</v>
      </c>
      <c r="CL333" s="34">
        <v>28.3</v>
      </c>
      <c r="CM333" s="34">
        <v>3601.8719999999998</v>
      </c>
      <c r="CN333" s="34">
        <v>20913.46</v>
      </c>
      <c r="CO333" s="34">
        <v>2395.3459090000001</v>
      </c>
      <c r="CP333" s="34">
        <v>1.0229999999999999</v>
      </c>
      <c r="CQ333" s="34">
        <v>2.33</v>
      </c>
      <c r="CR333" s="34">
        <v>87.7</v>
      </c>
      <c r="CS333" s="64">
        <v>50.59</v>
      </c>
      <c r="CT333" s="34">
        <v>106.9</v>
      </c>
      <c r="CU333" s="34">
        <v>108</v>
      </c>
      <c r="CV333" s="34">
        <v>106.4</v>
      </c>
      <c r="CW333" s="34">
        <v>105.2</v>
      </c>
      <c r="CX333" s="34">
        <v>113.2</v>
      </c>
      <c r="CY333" s="34">
        <v>9.5299999999999994</v>
      </c>
      <c r="CZ333" s="34">
        <v>56882.455999999998</v>
      </c>
      <c r="DA333" s="34">
        <v>5.31</v>
      </c>
      <c r="DB333" s="34">
        <v>31.23</v>
      </c>
      <c r="DC333" s="34">
        <v>54.94</v>
      </c>
      <c r="DD333" s="34">
        <v>17.62</v>
      </c>
      <c r="DE333" s="34">
        <v>18406.723999999998</v>
      </c>
      <c r="DF333" s="34">
        <v>3038.29</v>
      </c>
      <c r="DG333" s="34">
        <v>2201.357</v>
      </c>
      <c r="DH333" s="34">
        <v>1558.3030000000001</v>
      </c>
      <c r="DI333" s="34">
        <v>7473.7219999999998</v>
      </c>
      <c r="DJ333" s="34">
        <v>100.22669999999999</v>
      </c>
      <c r="DK333" s="34">
        <v>100.2865</v>
      </c>
      <c r="DL333" s="34">
        <v>100.44</v>
      </c>
      <c r="DM333" s="34">
        <v>100.5598</v>
      </c>
      <c r="DN333" s="34">
        <v>100.7851</v>
      </c>
      <c r="DO333" s="34">
        <v>100.9121</v>
      </c>
      <c r="DP333" s="34">
        <v>99.931100000000001</v>
      </c>
      <c r="DQ333" s="34">
        <v>99.9238</v>
      </c>
      <c r="DR333" s="34">
        <v>24690</v>
      </c>
      <c r="DS333" s="73">
        <v>32174</v>
      </c>
      <c r="DT333" s="73">
        <v>102.7</v>
      </c>
      <c r="DU333">
        <v>197.58967590332031</v>
      </c>
      <c r="DV333">
        <v>151.38441467285156</v>
      </c>
      <c r="DW333">
        <v>1109</v>
      </c>
      <c r="DX333">
        <v>253675</v>
      </c>
      <c r="DY333">
        <v>93.5</v>
      </c>
      <c r="DZ333" t="s">
        <v>312</v>
      </c>
    </row>
    <row r="334" spans="1:130" s="56" customFormat="1" x14ac:dyDescent="0.25">
      <c r="A334" s="53">
        <v>42887</v>
      </c>
      <c r="B334" s="34">
        <v>105</v>
      </c>
      <c r="C334" s="112">
        <v>-0.36</v>
      </c>
      <c r="D334" s="98">
        <v>0</v>
      </c>
      <c r="E334" s="54">
        <v>-0.33</v>
      </c>
      <c r="F334" s="54">
        <v>-0.53</v>
      </c>
      <c r="G334" s="54">
        <v>-0.21</v>
      </c>
      <c r="H334" s="54">
        <v>0.25</v>
      </c>
      <c r="I334" s="54">
        <f t="shared" si="84"/>
        <v>0.61</v>
      </c>
      <c r="J334" s="54">
        <f t="shared" si="85"/>
        <v>0.25</v>
      </c>
      <c r="K334" s="54">
        <f t="shared" si="86"/>
        <v>0.58000000000000007</v>
      </c>
      <c r="L334" s="54">
        <f t="shared" si="87"/>
        <v>0.36</v>
      </c>
      <c r="M334" s="54">
        <v>96.1</v>
      </c>
      <c r="N334" s="54">
        <v>12664.92</v>
      </c>
      <c r="O334" s="54">
        <v>13.68</v>
      </c>
      <c r="P334" s="64">
        <v>1996.3</v>
      </c>
      <c r="Q334" s="34">
        <f t="shared" si="56"/>
        <v>20.773152965660771</v>
      </c>
      <c r="R334" s="34">
        <v>2844.7</v>
      </c>
      <c r="S334" s="34">
        <f t="shared" si="57"/>
        <v>2960.1456815816855</v>
      </c>
      <c r="T334" s="34">
        <v>2885.1</v>
      </c>
      <c r="U334" s="34">
        <f t="shared" si="58"/>
        <v>3002.1852237252861</v>
      </c>
      <c r="V334" s="118">
        <v>208514</v>
      </c>
      <c r="W334" s="118">
        <v>7488142</v>
      </c>
      <c r="X334" s="119">
        <v>10988182</v>
      </c>
      <c r="Y334" s="119">
        <v>664558</v>
      </c>
      <c r="Z334" s="54">
        <v>101</v>
      </c>
      <c r="AA334" s="54">
        <v>94.9</v>
      </c>
      <c r="AB334" s="54">
        <v>90.9</v>
      </c>
      <c r="AC334" s="54">
        <v>95.4</v>
      </c>
      <c r="AD334" s="54">
        <v>44284</v>
      </c>
      <c r="AE334" s="54">
        <v>5.7</v>
      </c>
      <c r="AF334" s="54">
        <v>721</v>
      </c>
      <c r="AG334" s="54">
        <v>96.2</v>
      </c>
      <c r="AH334" s="54">
        <v>96.1</v>
      </c>
      <c r="AI334" s="64">
        <v>91.3</v>
      </c>
      <c r="AJ334" s="64">
        <v>93.9</v>
      </c>
      <c r="AK334" s="64">
        <v>173.048204</v>
      </c>
      <c r="AL334" s="64">
        <v>86.2</v>
      </c>
      <c r="AM334" s="54">
        <v>92.56</v>
      </c>
      <c r="AN334" s="33">
        <v>120.38</v>
      </c>
      <c r="AO334" s="33">
        <v>94.85</v>
      </c>
      <c r="AP334" s="33">
        <v>42.41</v>
      </c>
      <c r="AQ334" s="54">
        <f t="shared" si="79"/>
        <v>0.464512595837897</v>
      </c>
      <c r="AR334" s="54">
        <v>106.1</v>
      </c>
      <c r="AS334" s="54">
        <v>103.4</v>
      </c>
      <c r="AT334" s="54">
        <v>109</v>
      </c>
      <c r="AU334" s="54">
        <v>106.5</v>
      </c>
      <c r="AV334" s="54">
        <v>104.1</v>
      </c>
      <c r="AW334" s="54">
        <v>108.9</v>
      </c>
      <c r="AX334" s="54">
        <v>34</v>
      </c>
      <c r="AY334" s="54">
        <v>18.5</v>
      </c>
      <c r="AZ334" s="54">
        <v>26.7</v>
      </c>
      <c r="BA334" s="54">
        <v>15.7</v>
      </c>
      <c r="BB334" s="54">
        <v>107.1</v>
      </c>
      <c r="BC334" s="54">
        <v>104.4</v>
      </c>
      <c r="BD334" s="54">
        <v>109.9</v>
      </c>
      <c r="BE334" s="34">
        <v>88</v>
      </c>
      <c r="BF334" s="54">
        <v>18.600000000000001</v>
      </c>
      <c r="BG334" s="54">
        <v>41.3</v>
      </c>
      <c r="BH334" s="54">
        <v>125.9</v>
      </c>
      <c r="BI334" s="54">
        <v>3.1</v>
      </c>
      <c r="BJ334" s="34">
        <v>59.6</v>
      </c>
      <c r="BK334" s="54">
        <v>41.439522210210328</v>
      </c>
      <c r="BL334" s="54">
        <v>0.45200000000000001</v>
      </c>
      <c r="BM334" s="54">
        <v>101.0531</v>
      </c>
      <c r="BN334" s="54">
        <v>100.9062</v>
      </c>
      <c r="BO334" s="54">
        <v>13.1</v>
      </c>
      <c r="BP334" s="54">
        <v>4.0999999999999996</v>
      </c>
      <c r="BQ334" s="54">
        <v>-0.1</v>
      </c>
      <c r="BR334" s="54">
        <v>17.399999999999999</v>
      </c>
      <c r="BS334" s="54">
        <v>10.4</v>
      </c>
      <c r="BT334" s="54">
        <v>9.1</v>
      </c>
      <c r="BU334" s="54">
        <v>10.199999999999999</v>
      </c>
      <c r="BV334" s="54">
        <v>18.2</v>
      </c>
      <c r="BW334" s="54">
        <v>2</v>
      </c>
      <c r="BX334" s="54">
        <v>-0.6</v>
      </c>
      <c r="BY334" s="54">
        <v>13</v>
      </c>
      <c r="BZ334" s="54">
        <v>112.6</v>
      </c>
      <c r="CA334" s="54">
        <v>2</v>
      </c>
      <c r="CB334" s="54">
        <v>9.8000000000000007</v>
      </c>
      <c r="CC334" s="54">
        <v>10</v>
      </c>
      <c r="CD334" s="54">
        <v>0.5</v>
      </c>
      <c r="CE334" s="54">
        <v>-7.5</v>
      </c>
      <c r="CF334" s="54">
        <v>13.4</v>
      </c>
      <c r="CG334" s="54">
        <v>29.2</v>
      </c>
      <c r="CH334" s="54">
        <v>12.6</v>
      </c>
      <c r="CI334" s="54">
        <v>13.8</v>
      </c>
      <c r="CJ334" s="54">
        <v>-4.4000000000000004</v>
      </c>
      <c r="CK334" s="54">
        <v>14.2</v>
      </c>
      <c r="CL334" s="54">
        <v>29.8</v>
      </c>
      <c r="CM334" s="54">
        <v>3547.8494089999999</v>
      </c>
      <c r="CN334" s="54">
        <v>21144.18</v>
      </c>
      <c r="CO334" s="54">
        <v>2433.985455</v>
      </c>
      <c r="CP334" s="54">
        <v>1.002</v>
      </c>
      <c r="CQ334" s="54">
        <v>2.21</v>
      </c>
      <c r="CR334" s="54">
        <v>83.8</v>
      </c>
      <c r="CS334" s="64">
        <v>49.79</v>
      </c>
      <c r="CT334" s="54">
        <v>107.5</v>
      </c>
      <c r="CU334" s="54">
        <v>109.7</v>
      </c>
      <c r="CV334" s="54">
        <v>107.2</v>
      </c>
      <c r="CW334" s="54">
        <v>106.5</v>
      </c>
      <c r="CX334" s="54">
        <v>115</v>
      </c>
      <c r="CY334" s="54">
        <v>8.92</v>
      </c>
      <c r="CZ334" s="54">
        <v>56579.072</v>
      </c>
      <c r="DA334" s="54">
        <v>5.26</v>
      </c>
      <c r="DB334" s="54">
        <v>30.86</v>
      </c>
      <c r="DC334" s="54">
        <v>55.11</v>
      </c>
      <c r="DD334" s="54">
        <v>17.61</v>
      </c>
      <c r="DE334" s="54">
        <v>17057.736000000001</v>
      </c>
      <c r="DF334" s="54">
        <v>2337.2280000000001</v>
      </c>
      <c r="DG334" s="54">
        <v>2184.0700000000002</v>
      </c>
      <c r="DH334" s="54">
        <v>1531.6210000000001</v>
      </c>
      <c r="DI334" s="54">
        <v>7077.6289999999999</v>
      </c>
      <c r="DJ334" s="54">
        <v>100.28100000000001</v>
      </c>
      <c r="DK334" s="54">
        <v>100.3583</v>
      </c>
      <c r="DL334" s="54">
        <v>100.46</v>
      </c>
      <c r="DM334" s="54">
        <v>100.58839999999999</v>
      </c>
      <c r="DN334" s="54">
        <v>100.9062</v>
      </c>
      <c r="DO334" s="54">
        <v>101.0531</v>
      </c>
      <c r="DP334" s="54">
        <v>99.946899999999999</v>
      </c>
      <c r="DQ334" s="54">
        <v>99.941299999999998</v>
      </c>
      <c r="DR334" s="54">
        <v>21953</v>
      </c>
      <c r="DS334" s="73">
        <v>32239</v>
      </c>
      <c r="DT334" s="96">
        <v>103</v>
      </c>
      <c r="DU334">
        <v>274.39016723632813</v>
      </c>
      <c r="DV334">
        <v>192.22428894042969</v>
      </c>
      <c r="DW334" s="56">
        <v>850</v>
      </c>
      <c r="DX334" s="56">
        <v>305550</v>
      </c>
      <c r="DY334" s="56">
        <v>93.1</v>
      </c>
      <c r="DZ334" t="s">
        <v>312</v>
      </c>
    </row>
    <row r="335" spans="1:130" x14ac:dyDescent="0.25">
      <c r="A335" s="1">
        <v>42917</v>
      </c>
      <c r="B335" s="34">
        <v>105.4</v>
      </c>
      <c r="C335" s="111">
        <v>-0.36</v>
      </c>
      <c r="D335" s="99">
        <v>0</v>
      </c>
      <c r="E335" s="34">
        <v>-0.33</v>
      </c>
      <c r="F335" s="34">
        <v>-0.36</v>
      </c>
      <c r="G335" s="34">
        <v>0</v>
      </c>
      <c r="H335" s="34">
        <v>0.46</v>
      </c>
      <c r="I335" s="34">
        <f t="shared" ref="I335:I342" si="88">IF(ISNUMBER(C335),IF(ISNUMBER(H335),H335-C335,""),"")</f>
        <v>0.82000000000000006</v>
      </c>
      <c r="J335" s="34">
        <f t="shared" ref="J335:J342" si="89">IF(ISNUMBER(D335),IF(ISNUMBER(H335),H335-D335,""),"")</f>
        <v>0.46</v>
      </c>
      <c r="K335" s="34">
        <f t="shared" ref="K335:K342" si="90">IF(ISNUMBER(H335),IF(ISNUMBER(E335),H335-E335,""),"")</f>
        <v>0.79</v>
      </c>
      <c r="L335" s="34">
        <f t="shared" ref="L335:L342" si="91">IF(ISNUMBER(D335),IF(ISNUMBER(C335),D335-C335,""),"")</f>
        <v>0.36</v>
      </c>
      <c r="M335" s="34">
        <v>96.7</v>
      </c>
      <c r="N335" s="34">
        <v>12475.31</v>
      </c>
      <c r="O335" s="34">
        <v>13.53</v>
      </c>
      <c r="P335" s="64">
        <v>1993.2</v>
      </c>
      <c r="Q335" s="34">
        <f t="shared" si="56"/>
        <v>20.697819314641745</v>
      </c>
      <c r="R335" s="34">
        <v>2839</v>
      </c>
      <c r="S335" s="34">
        <f t="shared" si="57"/>
        <v>2948.078920041537</v>
      </c>
      <c r="T335" s="34">
        <v>2878.9</v>
      </c>
      <c r="U335" s="34">
        <f t="shared" si="58"/>
        <v>2989.5119418483905</v>
      </c>
      <c r="V335" s="118">
        <v>209989</v>
      </c>
      <c r="W335" s="118">
        <v>7522548</v>
      </c>
      <c r="X335" s="119">
        <v>11008582</v>
      </c>
      <c r="Y335" s="119">
        <v>659456</v>
      </c>
      <c r="Z335" s="34">
        <v>102.5</v>
      </c>
      <c r="AA335" s="34">
        <v>94.8</v>
      </c>
      <c r="AB335" s="34">
        <v>90.6</v>
      </c>
      <c r="AC335" s="34">
        <v>95.7</v>
      </c>
      <c r="AD335" s="34">
        <v>44336</v>
      </c>
      <c r="AE335" s="34">
        <v>5.7</v>
      </c>
      <c r="AF335" s="34">
        <v>732</v>
      </c>
      <c r="AG335" s="34">
        <v>96.3</v>
      </c>
      <c r="AH335" s="34">
        <v>96.3</v>
      </c>
      <c r="AI335" s="64">
        <v>91</v>
      </c>
      <c r="AJ335" s="64">
        <v>93.8</v>
      </c>
      <c r="AK335" s="64">
        <v>173.24351799999999</v>
      </c>
      <c r="AL335" s="64">
        <v>109.7</v>
      </c>
      <c r="AM335" s="34">
        <v>96.78</v>
      </c>
      <c r="AN335" s="33">
        <v>123.42</v>
      </c>
      <c r="AO335" s="33">
        <v>98.9</v>
      </c>
      <c r="AP335" s="33">
        <v>42.75</v>
      </c>
      <c r="AQ335" s="34">
        <f t="shared" si="79"/>
        <v>0.46978021978021978</v>
      </c>
      <c r="AR335" s="34">
        <v>107.2</v>
      </c>
      <c r="AS335" s="34">
        <v>103.9</v>
      </c>
      <c r="AT335" s="34">
        <v>110.6</v>
      </c>
      <c r="AU335" s="34">
        <v>107.9</v>
      </c>
      <c r="AV335" s="34">
        <v>104.6</v>
      </c>
      <c r="AW335" s="34">
        <v>111.3</v>
      </c>
      <c r="AX335" s="34">
        <v>36.799999999999997</v>
      </c>
      <c r="AY335" s="34">
        <v>30</v>
      </c>
      <c r="AZ335" s="34">
        <v>29.8</v>
      </c>
      <c r="BA335" s="34">
        <v>15.9</v>
      </c>
      <c r="BB335" s="34">
        <v>107.3</v>
      </c>
      <c r="BC335" s="34">
        <v>104.5</v>
      </c>
      <c r="BD335" s="34">
        <v>110.3</v>
      </c>
      <c r="BE335" s="34">
        <v>86.4</v>
      </c>
      <c r="BF335" s="34">
        <v>17.5</v>
      </c>
      <c r="BG335" s="34">
        <v>44.6</v>
      </c>
      <c r="BH335" s="34">
        <v>125.3</v>
      </c>
      <c r="BI335" s="34">
        <v>2.5</v>
      </c>
      <c r="BJ335" s="34">
        <v>58.1</v>
      </c>
      <c r="BK335" s="34">
        <v>34.72278674660636</v>
      </c>
      <c r="BL335" s="34">
        <v>0.41499999999999998</v>
      </c>
      <c r="BM335" s="34">
        <v>101.18519999999999</v>
      </c>
      <c r="BN335" s="34">
        <v>101.0197</v>
      </c>
      <c r="BO335" s="34">
        <v>13</v>
      </c>
      <c r="BP335" s="34">
        <v>4.8</v>
      </c>
      <c r="BQ335" s="34">
        <v>-2</v>
      </c>
      <c r="BR335" s="34">
        <v>20.5</v>
      </c>
      <c r="BS335" s="34">
        <v>9.9</v>
      </c>
      <c r="BT335" s="34">
        <v>11</v>
      </c>
      <c r="BU335" s="34">
        <v>11.8</v>
      </c>
      <c r="BV335" s="34">
        <v>18.3</v>
      </c>
      <c r="BW335" s="34">
        <v>2</v>
      </c>
      <c r="BX335" s="34">
        <v>-2.2999999999999998</v>
      </c>
      <c r="BY335" s="34">
        <v>12.2</v>
      </c>
      <c r="BZ335" s="34">
        <v>113.3</v>
      </c>
      <c r="CA335" s="34">
        <v>2</v>
      </c>
      <c r="CB335" s="34">
        <v>9.5</v>
      </c>
      <c r="CC335" s="34">
        <v>10.8</v>
      </c>
      <c r="CD335" s="34">
        <v>0.5</v>
      </c>
      <c r="CE335" s="34">
        <v>-6</v>
      </c>
      <c r="CF335" s="34">
        <v>15.1</v>
      </c>
      <c r="CG335" s="34">
        <v>26</v>
      </c>
      <c r="CH335" s="34">
        <v>12.6</v>
      </c>
      <c r="CI335" s="34">
        <v>12.2</v>
      </c>
      <c r="CJ335" s="34">
        <v>-6.4</v>
      </c>
      <c r="CK335" s="34">
        <v>12.1</v>
      </c>
      <c r="CL335" s="34">
        <v>29.4</v>
      </c>
      <c r="CM335" s="34">
        <v>3483.8939999999998</v>
      </c>
      <c r="CN335" s="34">
        <v>21479.27</v>
      </c>
      <c r="CO335" s="34">
        <v>2454.1025</v>
      </c>
      <c r="CP335" s="34">
        <v>1.3420000000000001</v>
      </c>
      <c r="CQ335" s="34">
        <v>2.35</v>
      </c>
      <c r="CR335" s="34">
        <v>80.5</v>
      </c>
      <c r="CS335" s="64">
        <v>49.19</v>
      </c>
      <c r="CT335" s="34">
        <v>107.2</v>
      </c>
      <c r="CU335" s="34">
        <v>107.8</v>
      </c>
      <c r="CV335" s="34">
        <v>106.6</v>
      </c>
      <c r="CW335" s="34">
        <v>106.7</v>
      </c>
      <c r="CX335" s="34">
        <v>116.3</v>
      </c>
      <c r="CY335" s="34">
        <v>9</v>
      </c>
      <c r="CZ335" s="34">
        <v>52686.904000000002</v>
      </c>
      <c r="DA335" s="34">
        <v>4.8899999999999997</v>
      </c>
      <c r="DB335" s="34">
        <v>31.77</v>
      </c>
      <c r="DC335" s="34">
        <v>55.19</v>
      </c>
      <c r="DD335" s="34">
        <v>17.39</v>
      </c>
      <c r="DE335" s="34">
        <v>17494.545999999998</v>
      </c>
      <c r="DF335" s="34">
        <v>2577.4899999999998</v>
      </c>
      <c r="DG335" s="34">
        <v>2112.951</v>
      </c>
      <c r="DH335" s="34">
        <v>1812.3610000000001</v>
      </c>
      <c r="DI335" s="34">
        <v>7336.7749999999996</v>
      </c>
      <c r="DJ335" s="34">
        <v>100.3327</v>
      </c>
      <c r="DK335" s="34">
        <v>100.4265</v>
      </c>
      <c r="DL335" s="34">
        <v>100.48</v>
      </c>
      <c r="DM335" s="34">
        <v>100.6161</v>
      </c>
      <c r="DN335" s="34">
        <v>101.0197</v>
      </c>
      <c r="DO335" s="34">
        <v>101.18519999999999</v>
      </c>
      <c r="DP335" s="34">
        <v>99.977999999999994</v>
      </c>
      <c r="DQ335" s="34">
        <v>99.975399999999993</v>
      </c>
      <c r="DR335" s="34">
        <v>17850</v>
      </c>
      <c r="DS335" s="73">
        <v>32303</v>
      </c>
      <c r="DT335" s="73">
        <v>103.6</v>
      </c>
      <c r="DU335">
        <v>181.41523742675781</v>
      </c>
      <c r="DV335">
        <v>142.71235656738281</v>
      </c>
      <c r="DW335">
        <v>882</v>
      </c>
      <c r="DX335">
        <v>275600</v>
      </c>
      <c r="DY335">
        <v>93.6</v>
      </c>
      <c r="DZ335" t="s">
        <v>312</v>
      </c>
    </row>
    <row r="336" spans="1:130" x14ac:dyDescent="0.25">
      <c r="A336" s="1">
        <v>42948</v>
      </c>
      <c r="B336" s="34">
        <v>107.4</v>
      </c>
      <c r="C336" s="111">
        <v>-0.36</v>
      </c>
      <c r="D336" s="99">
        <v>0</v>
      </c>
      <c r="E336" s="34">
        <v>-0.33</v>
      </c>
      <c r="F336" s="34">
        <v>-0.48</v>
      </c>
      <c r="G336" s="34">
        <v>-0.1</v>
      </c>
      <c r="H336" s="34">
        <v>0.35</v>
      </c>
      <c r="I336" s="34">
        <f t="shared" si="88"/>
        <v>0.71</v>
      </c>
      <c r="J336" s="34">
        <f t="shared" si="89"/>
        <v>0.35</v>
      </c>
      <c r="K336" s="34">
        <f t="shared" si="90"/>
        <v>0.67999999999999994</v>
      </c>
      <c r="L336" s="34">
        <f t="shared" si="91"/>
        <v>0.36</v>
      </c>
      <c r="M336" s="34">
        <v>97.6</v>
      </c>
      <c r="N336" s="34">
        <v>12251.29</v>
      </c>
      <c r="O336" s="34">
        <v>14.86</v>
      </c>
      <c r="P336" s="64">
        <v>2003.2</v>
      </c>
      <c r="Q336" s="34">
        <f t="shared" si="56"/>
        <v>20.780082987551868</v>
      </c>
      <c r="R336" s="34">
        <v>2847</v>
      </c>
      <c r="S336" s="34">
        <f t="shared" si="57"/>
        <v>2953.3195020746889</v>
      </c>
      <c r="T336" s="34">
        <v>2886.6</v>
      </c>
      <c r="U336" s="34">
        <f t="shared" si="58"/>
        <v>2994.3983402489625</v>
      </c>
      <c r="V336" s="118">
        <v>210781</v>
      </c>
      <c r="W336" s="118">
        <v>7579897</v>
      </c>
      <c r="X336" s="119">
        <v>11066852</v>
      </c>
      <c r="Y336" s="119">
        <v>669819</v>
      </c>
      <c r="Z336" s="34">
        <v>103.4</v>
      </c>
      <c r="AA336" s="34">
        <v>97.8</v>
      </c>
      <c r="AB336" s="34">
        <v>95.3</v>
      </c>
      <c r="AC336" s="34">
        <v>96.7</v>
      </c>
      <c r="AD336" s="34">
        <v>44379</v>
      </c>
      <c r="AE336" s="34">
        <v>5.6</v>
      </c>
      <c r="AF336" s="34">
        <v>741</v>
      </c>
      <c r="AG336" s="34">
        <v>96.5</v>
      </c>
      <c r="AH336" s="34">
        <v>96.4</v>
      </c>
      <c r="AI336" s="64">
        <v>91.1</v>
      </c>
      <c r="AJ336" s="64">
        <v>93.8</v>
      </c>
      <c r="AK336" s="64">
        <v>173.43883199999999</v>
      </c>
      <c r="AL336" s="64">
        <v>86.6</v>
      </c>
      <c r="AM336" s="34">
        <v>103.05</v>
      </c>
      <c r="AN336" s="33">
        <v>130.47</v>
      </c>
      <c r="AO336" s="33">
        <v>101.4</v>
      </c>
      <c r="AP336" s="33">
        <v>43.96</v>
      </c>
      <c r="AQ336" s="34">
        <f t="shared" si="79"/>
        <v>0.48254665203073549</v>
      </c>
      <c r="AR336" s="34">
        <v>106.8</v>
      </c>
      <c r="AS336" s="34">
        <v>103.9</v>
      </c>
      <c r="AT336" s="34">
        <v>109.8</v>
      </c>
      <c r="AU336" s="34">
        <v>107.8</v>
      </c>
      <c r="AV336" s="34">
        <v>105.1</v>
      </c>
      <c r="AW336" s="34">
        <v>110.5</v>
      </c>
      <c r="AX336" s="34">
        <v>35.6</v>
      </c>
      <c r="AY336" s="34">
        <v>13.5</v>
      </c>
      <c r="AZ336" s="34">
        <v>30.7</v>
      </c>
      <c r="BA336" s="34">
        <v>18.100000000000001</v>
      </c>
      <c r="BB336" s="34">
        <v>106.1</v>
      </c>
      <c r="BC336" s="34">
        <v>103.8</v>
      </c>
      <c r="BD336" s="34">
        <v>108.5</v>
      </c>
      <c r="BE336" s="34">
        <v>86.7</v>
      </c>
      <c r="BF336" s="34">
        <v>10</v>
      </c>
      <c r="BG336" s="34">
        <v>30.4</v>
      </c>
      <c r="BH336" s="34">
        <v>126.5</v>
      </c>
      <c r="BI336" s="34">
        <v>6.5</v>
      </c>
      <c r="BJ336" s="34">
        <v>59.3</v>
      </c>
      <c r="BK336" s="34">
        <v>33.422647690929736</v>
      </c>
      <c r="BL336" s="34">
        <v>0.52800000000000002</v>
      </c>
      <c r="BM336" s="34">
        <v>101.3039</v>
      </c>
      <c r="BN336" s="34">
        <v>101.1217</v>
      </c>
      <c r="BO336" s="34">
        <v>13.8</v>
      </c>
      <c r="BP336" s="34">
        <v>4.2</v>
      </c>
      <c r="BQ336" s="34">
        <v>-0.3</v>
      </c>
      <c r="BR336" s="34">
        <v>18</v>
      </c>
      <c r="BS336" s="34">
        <v>8.8000000000000007</v>
      </c>
      <c r="BT336" s="34">
        <v>12.5</v>
      </c>
      <c r="BU336" s="34">
        <v>10.7</v>
      </c>
      <c r="BV336" s="34">
        <v>18.3</v>
      </c>
      <c r="BW336" s="34">
        <v>1.4</v>
      </c>
      <c r="BX336" s="34">
        <v>-6.6</v>
      </c>
      <c r="BY336" s="34">
        <v>12.3</v>
      </c>
      <c r="BZ336" s="34">
        <v>112.4</v>
      </c>
      <c r="CA336" s="34">
        <v>1.4</v>
      </c>
      <c r="CB336" s="34">
        <v>10.3</v>
      </c>
      <c r="CC336" s="34">
        <v>9.9</v>
      </c>
      <c r="CD336" s="34">
        <v>-1.3</v>
      </c>
      <c r="CE336" s="34">
        <v>-8.3000000000000007</v>
      </c>
      <c r="CF336" s="34">
        <v>15.5</v>
      </c>
      <c r="CG336" s="34">
        <v>26.9</v>
      </c>
      <c r="CH336" s="34">
        <v>12.8</v>
      </c>
      <c r="CI336" s="34">
        <v>12.8</v>
      </c>
      <c r="CJ336" s="34">
        <v>-6.2</v>
      </c>
      <c r="CK336" s="34">
        <v>12.3</v>
      </c>
      <c r="CL336" s="34">
        <v>29.5</v>
      </c>
      <c r="CM336" s="34">
        <v>3451.341739</v>
      </c>
      <c r="CN336" s="34">
        <v>21963.919999999998</v>
      </c>
      <c r="CO336" s="34">
        <v>2456.223043</v>
      </c>
      <c r="CP336" s="34">
        <v>1.258</v>
      </c>
      <c r="CQ336" s="34">
        <v>2.2599999999999998</v>
      </c>
      <c r="CR336" s="34">
        <v>87.7</v>
      </c>
      <c r="CS336" s="64">
        <v>49.53</v>
      </c>
      <c r="CT336" s="34">
        <v>108.7</v>
      </c>
      <c r="CU336" s="34">
        <v>109.6</v>
      </c>
      <c r="CV336" s="34">
        <v>106.7</v>
      </c>
      <c r="CW336" s="34">
        <v>108.2</v>
      </c>
      <c r="CX336" s="34">
        <v>115</v>
      </c>
      <c r="CY336" s="34">
        <v>9.15</v>
      </c>
      <c r="CZ336" s="34">
        <v>51930.622000000003</v>
      </c>
      <c r="DA336" s="34">
        <v>5.12</v>
      </c>
      <c r="DB336" s="34">
        <v>32</v>
      </c>
      <c r="DC336" s="34">
        <v>56.55</v>
      </c>
      <c r="DD336" s="34">
        <v>17.29</v>
      </c>
      <c r="DE336" s="34">
        <v>18286.866999999998</v>
      </c>
      <c r="DF336" s="34">
        <v>2767.3449999999998</v>
      </c>
      <c r="DG336" s="34">
        <v>2276.4639999999999</v>
      </c>
      <c r="DH336" s="34">
        <v>1638.9280000000001</v>
      </c>
      <c r="DI336" s="34">
        <v>7690.4989999999998</v>
      </c>
      <c r="DJ336" s="34">
        <v>100.3751</v>
      </c>
      <c r="DK336" s="34">
        <v>100.4819</v>
      </c>
      <c r="DL336" s="34">
        <v>100.49</v>
      </c>
      <c r="DM336" s="34">
        <v>100.6306</v>
      </c>
      <c r="DN336" s="34">
        <v>101.1217</v>
      </c>
      <c r="DO336" s="34">
        <v>101.3039</v>
      </c>
      <c r="DP336" s="34">
        <v>100.04730000000001</v>
      </c>
      <c r="DQ336" s="34">
        <v>100.0517</v>
      </c>
      <c r="DR336" s="34">
        <v>15343</v>
      </c>
      <c r="DS336" s="73">
        <v>32361</v>
      </c>
      <c r="DT336" s="73">
        <v>102.9</v>
      </c>
      <c r="DU336">
        <v>149.70864868164063</v>
      </c>
      <c r="DV336">
        <v>104.73080444335938</v>
      </c>
      <c r="DW336">
        <v>965</v>
      </c>
      <c r="DX336">
        <v>301100</v>
      </c>
      <c r="DY336">
        <v>94.8</v>
      </c>
      <c r="DZ336" t="s">
        <v>312</v>
      </c>
    </row>
    <row r="337" spans="1:130" s="56" customFormat="1" x14ac:dyDescent="0.25">
      <c r="A337" s="53">
        <v>42979</v>
      </c>
      <c r="B337" s="34">
        <v>106.6</v>
      </c>
      <c r="C337" s="112">
        <v>-0.36</v>
      </c>
      <c r="D337" s="98">
        <v>0</v>
      </c>
      <c r="E337" s="54">
        <v>-0.33</v>
      </c>
      <c r="F337" s="54">
        <v>-0.49</v>
      </c>
      <c r="G337" s="54">
        <v>-0.11</v>
      </c>
      <c r="H337" s="54">
        <v>0.35</v>
      </c>
      <c r="I337" s="54">
        <f t="shared" si="88"/>
        <v>0.71</v>
      </c>
      <c r="J337" s="54">
        <f t="shared" si="89"/>
        <v>0.35</v>
      </c>
      <c r="K337" s="54">
        <f t="shared" si="90"/>
        <v>0.67999999999999994</v>
      </c>
      <c r="L337" s="54">
        <f t="shared" si="91"/>
        <v>0.36</v>
      </c>
      <c r="M337" s="54">
        <v>97.6</v>
      </c>
      <c r="N337" s="54">
        <v>12142.64</v>
      </c>
      <c r="O337" s="54">
        <v>11.81</v>
      </c>
      <c r="P337" s="64">
        <v>2011.4</v>
      </c>
      <c r="Q337" s="34">
        <f t="shared" ref="Q337:Q400" si="92">IF(ISNUMBER(P337),IF(ISNUMBER(AH337),P337/AH337,"NA"),"")</f>
        <v>20.843523316062178</v>
      </c>
      <c r="R337" s="34">
        <v>2857.7</v>
      </c>
      <c r="S337" s="34">
        <f t="shared" ref="S337:S400" si="93">IF(ISNUMBER(R337),IF(ISNUMBER(AH337),R337/AH337*100,""),"")</f>
        <v>2961.3471502590669</v>
      </c>
      <c r="T337" s="34">
        <v>2897.3</v>
      </c>
      <c r="U337" s="34">
        <f t="shared" ref="U337:U400" si="94">IF(ISNUMBER(T337),IF(ISNUMBER(AH337),T337/AH337*100,""),"")</f>
        <v>3002.3834196891194</v>
      </c>
      <c r="V337" s="118">
        <v>211515</v>
      </c>
      <c r="W337" s="118">
        <v>7621867</v>
      </c>
      <c r="X337" s="119">
        <v>11095402</v>
      </c>
      <c r="Y337" s="119">
        <v>677785</v>
      </c>
      <c r="Z337" s="54">
        <v>103.4</v>
      </c>
      <c r="AA337" s="54">
        <v>98.3</v>
      </c>
      <c r="AB337" s="54">
        <v>92</v>
      </c>
      <c r="AC337" s="54">
        <v>99.9</v>
      </c>
      <c r="AD337" s="54">
        <v>44423</v>
      </c>
      <c r="AE337" s="54">
        <v>5.6</v>
      </c>
      <c r="AF337" s="54">
        <v>749</v>
      </c>
      <c r="AG337" s="54">
        <v>96.5</v>
      </c>
      <c r="AH337" s="54">
        <v>96.5</v>
      </c>
      <c r="AI337" s="64">
        <v>91.7</v>
      </c>
      <c r="AJ337" s="64">
        <v>93.9</v>
      </c>
      <c r="AK337" s="64">
        <v>174.220088</v>
      </c>
      <c r="AL337" s="64">
        <v>86.7</v>
      </c>
      <c r="AM337" s="54">
        <v>104.93</v>
      </c>
      <c r="AN337" s="33">
        <v>138.81</v>
      </c>
      <c r="AO337" s="33">
        <v>102.97</v>
      </c>
      <c r="AP337" s="33">
        <v>46.65</v>
      </c>
      <c r="AQ337" s="54">
        <f t="shared" si="79"/>
        <v>0.50872410032715376</v>
      </c>
      <c r="AR337" s="54">
        <v>106.6</v>
      </c>
      <c r="AS337" s="54">
        <v>104.1</v>
      </c>
      <c r="AT337" s="54">
        <v>109.2</v>
      </c>
      <c r="AU337" s="54">
        <v>107.4</v>
      </c>
      <c r="AV337" s="54">
        <v>105</v>
      </c>
      <c r="AW337" s="54">
        <v>109.9</v>
      </c>
      <c r="AX337" s="54">
        <v>32.5</v>
      </c>
      <c r="AY337" s="54">
        <v>26.1</v>
      </c>
      <c r="AZ337" s="54">
        <v>30.1</v>
      </c>
      <c r="BA337" s="54">
        <v>18</v>
      </c>
      <c r="BB337" s="54">
        <v>106.8</v>
      </c>
      <c r="BC337" s="54">
        <v>104.6</v>
      </c>
      <c r="BD337" s="54">
        <v>108.9</v>
      </c>
      <c r="BE337" s="34">
        <v>87.9</v>
      </c>
      <c r="BF337" s="54">
        <v>17</v>
      </c>
      <c r="BG337" s="54">
        <v>33.4</v>
      </c>
      <c r="BH337" s="54">
        <v>130.19999999999999</v>
      </c>
      <c r="BI337" s="54">
        <v>5</v>
      </c>
      <c r="BJ337" s="34">
        <v>60.6</v>
      </c>
      <c r="BK337" s="54">
        <v>35.409597429099748</v>
      </c>
      <c r="BL337" s="54">
        <v>0.51400000000000001</v>
      </c>
      <c r="BM337" s="54">
        <v>101.40779999999999</v>
      </c>
      <c r="BN337" s="54">
        <v>101.211</v>
      </c>
      <c r="BO337" s="54">
        <v>15.2</v>
      </c>
      <c r="BP337" s="54">
        <v>7.3</v>
      </c>
      <c r="BQ337" s="54">
        <v>-0.3</v>
      </c>
      <c r="BR337" s="54">
        <v>20.3</v>
      </c>
      <c r="BS337" s="54">
        <v>12.1</v>
      </c>
      <c r="BT337" s="54">
        <v>11.5</v>
      </c>
      <c r="BU337" s="54">
        <v>11.9</v>
      </c>
      <c r="BV337" s="54">
        <v>17.8</v>
      </c>
      <c r="BW337" s="54">
        <v>1.3</v>
      </c>
      <c r="BX337" s="54">
        <v>-4.7</v>
      </c>
      <c r="BY337" s="54">
        <v>11.7</v>
      </c>
      <c r="BZ337" s="54">
        <v>112.6</v>
      </c>
      <c r="CA337" s="54">
        <v>1.3</v>
      </c>
      <c r="CB337" s="54">
        <v>9.4</v>
      </c>
      <c r="CC337" s="54">
        <v>9</v>
      </c>
      <c r="CD337" s="54">
        <v>-1.3</v>
      </c>
      <c r="CE337" s="54">
        <v>-6.9</v>
      </c>
      <c r="CF337" s="54">
        <v>18.100000000000001</v>
      </c>
      <c r="CG337" s="54">
        <v>30.4</v>
      </c>
      <c r="CH337" s="54">
        <v>12.6</v>
      </c>
      <c r="CI337" s="54">
        <v>12.5</v>
      </c>
      <c r="CJ337" s="54">
        <v>-6.4</v>
      </c>
      <c r="CK337" s="54">
        <v>15</v>
      </c>
      <c r="CL337" s="54">
        <v>29.6</v>
      </c>
      <c r="CM337" s="54">
        <v>3507.1223810000001</v>
      </c>
      <c r="CN337" s="54">
        <v>21987.55</v>
      </c>
      <c r="CO337" s="54">
        <v>2492.8409999999999</v>
      </c>
      <c r="CP337" s="54">
        <v>1.105</v>
      </c>
      <c r="CQ337" s="54">
        <v>2.16</v>
      </c>
      <c r="CR337" s="54">
        <v>84.4</v>
      </c>
      <c r="CS337" s="64">
        <v>47.78</v>
      </c>
      <c r="CT337" s="54">
        <v>110.6</v>
      </c>
      <c r="CU337" s="54">
        <v>110.3</v>
      </c>
      <c r="CV337" s="54">
        <v>108.8</v>
      </c>
      <c r="CW337" s="54">
        <v>109</v>
      </c>
      <c r="CX337" s="54">
        <v>119</v>
      </c>
      <c r="CY337" s="54">
        <v>8.92</v>
      </c>
      <c r="CZ337" s="54">
        <v>57561.125</v>
      </c>
      <c r="DA337" s="54">
        <v>5.13</v>
      </c>
      <c r="DB337" s="54">
        <v>31.3</v>
      </c>
      <c r="DC337" s="54">
        <v>55.74</v>
      </c>
      <c r="DD337" s="54">
        <v>17.52</v>
      </c>
      <c r="DE337" s="54">
        <v>18777.189999999999</v>
      </c>
      <c r="DF337" s="54">
        <v>3260.4059999999999</v>
      </c>
      <c r="DG337" s="54">
        <v>2404.9270000000001</v>
      </c>
      <c r="DH337" s="54">
        <v>1764.037</v>
      </c>
      <c r="DI337" s="54">
        <v>7183.3819999999996</v>
      </c>
      <c r="DJ337" s="54">
        <v>100.4032</v>
      </c>
      <c r="DK337" s="54">
        <v>100.5176</v>
      </c>
      <c r="DL337" s="54">
        <v>100.48</v>
      </c>
      <c r="DM337" s="54">
        <v>100.6191</v>
      </c>
      <c r="DN337" s="54">
        <v>101.211</v>
      </c>
      <c r="DO337" s="54">
        <v>101.40779999999999</v>
      </c>
      <c r="DP337" s="54">
        <v>100.1476</v>
      </c>
      <c r="DQ337" s="54">
        <v>100.1621</v>
      </c>
      <c r="DR337" s="54">
        <v>15591</v>
      </c>
      <c r="DS337" s="73">
        <v>32425</v>
      </c>
      <c r="DT337" s="96">
        <v>103.5</v>
      </c>
      <c r="DU337">
        <v>205.76640319824219</v>
      </c>
      <c r="DV337">
        <v>164.52679443359375</v>
      </c>
      <c r="DW337" s="56">
        <v>1183</v>
      </c>
      <c r="DX337" s="56">
        <v>220875</v>
      </c>
      <c r="DY337" s="56">
        <v>95.1</v>
      </c>
      <c r="DZ337" t="s">
        <v>312</v>
      </c>
    </row>
    <row r="338" spans="1:130" x14ac:dyDescent="0.25">
      <c r="A338" s="1">
        <v>43009</v>
      </c>
      <c r="B338" s="34">
        <v>105.3</v>
      </c>
      <c r="C338" s="111">
        <v>-0.36</v>
      </c>
      <c r="D338" s="99">
        <v>0</v>
      </c>
      <c r="E338" s="34">
        <v>-0.33</v>
      </c>
      <c r="F338" s="34">
        <v>-0.45</v>
      </c>
      <c r="G338" s="34">
        <v>-0.08</v>
      </c>
      <c r="H338" s="34">
        <v>0.37</v>
      </c>
      <c r="I338" s="34">
        <f t="shared" si="88"/>
        <v>0.73</v>
      </c>
      <c r="J338" s="34">
        <f t="shared" si="89"/>
        <v>0.37</v>
      </c>
      <c r="K338" s="34">
        <f t="shared" si="90"/>
        <v>0.7</v>
      </c>
      <c r="L338" s="34">
        <f t="shared" si="91"/>
        <v>0.36</v>
      </c>
      <c r="M338" s="34">
        <v>97.3</v>
      </c>
      <c r="N338" s="34">
        <v>12902.65</v>
      </c>
      <c r="O338" s="34">
        <v>11.89</v>
      </c>
      <c r="P338" s="64">
        <v>2018.7</v>
      </c>
      <c r="Q338" s="34">
        <f t="shared" si="92"/>
        <v>20.940871369294605</v>
      </c>
      <c r="R338" s="34">
        <v>2858</v>
      </c>
      <c r="S338" s="34">
        <f t="shared" si="93"/>
        <v>2964.7302904564312</v>
      </c>
      <c r="T338" s="34">
        <v>2896.4</v>
      </c>
      <c r="U338" s="34">
        <f t="shared" si="94"/>
        <v>3004.5643153526971</v>
      </c>
      <c r="V338" s="118">
        <v>217011</v>
      </c>
      <c r="W338" s="118">
        <v>7666219</v>
      </c>
      <c r="X338" s="119">
        <v>11139576</v>
      </c>
      <c r="Y338" s="119">
        <v>664579</v>
      </c>
      <c r="Z338" s="34">
        <v>102.3</v>
      </c>
      <c r="AA338" s="34">
        <v>99.2</v>
      </c>
      <c r="AB338" s="34">
        <v>93.1</v>
      </c>
      <c r="AC338" s="34">
        <v>100.8</v>
      </c>
      <c r="AD338" s="34">
        <v>44451</v>
      </c>
      <c r="AE338" s="34">
        <v>5.6</v>
      </c>
      <c r="AF338" s="34">
        <v>760</v>
      </c>
      <c r="AG338" s="34">
        <v>96.5</v>
      </c>
      <c r="AH338" s="34">
        <v>96.4</v>
      </c>
      <c r="AI338" s="64">
        <v>92.3</v>
      </c>
      <c r="AJ338" s="64">
        <v>94.1</v>
      </c>
      <c r="AK338" s="64">
        <v>174.415402</v>
      </c>
      <c r="AL338" s="64">
        <v>87.1</v>
      </c>
      <c r="AM338" s="34">
        <v>104.79</v>
      </c>
      <c r="AN338" s="33">
        <v>142.94</v>
      </c>
      <c r="AO338" s="33">
        <v>103.17</v>
      </c>
      <c r="AP338" s="33">
        <v>48.95</v>
      </c>
      <c r="AQ338" s="34">
        <f t="shared" si="79"/>
        <v>0.5303358613217769</v>
      </c>
      <c r="AR338" s="34">
        <v>107.6</v>
      </c>
      <c r="AS338" s="34">
        <v>105.5</v>
      </c>
      <c r="AT338" s="34">
        <v>109.8</v>
      </c>
      <c r="AU338" s="34">
        <v>108.7</v>
      </c>
      <c r="AV338" s="34">
        <v>107</v>
      </c>
      <c r="AW338" s="34">
        <v>110.5</v>
      </c>
      <c r="AX338" s="34">
        <v>38.5</v>
      </c>
      <c r="AY338" s="34">
        <v>25.2</v>
      </c>
      <c r="AZ338" s="34">
        <v>30.3</v>
      </c>
      <c r="BA338" s="34">
        <v>21.9</v>
      </c>
      <c r="BB338" s="34">
        <v>106</v>
      </c>
      <c r="BC338" s="34">
        <v>104.1</v>
      </c>
      <c r="BD338" s="34">
        <v>107.9</v>
      </c>
      <c r="BE338" s="34">
        <v>87</v>
      </c>
      <c r="BF338" s="34">
        <v>17.600000000000001</v>
      </c>
      <c r="BG338" s="34">
        <v>43.5</v>
      </c>
      <c r="BH338" s="34">
        <v>129.69999999999999</v>
      </c>
      <c r="BI338" s="34">
        <v>6.9</v>
      </c>
      <c r="BJ338" s="34">
        <v>60.6</v>
      </c>
      <c r="BK338" s="34">
        <v>38.521490756482564</v>
      </c>
      <c r="BL338" s="34">
        <v>0.52900000000000003</v>
      </c>
      <c r="BM338" s="34">
        <v>101.4892</v>
      </c>
      <c r="BN338" s="34">
        <v>101.2809</v>
      </c>
      <c r="BO338" s="34">
        <v>18</v>
      </c>
      <c r="BP338" s="34">
        <v>7.9</v>
      </c>
      <c r="BQ338" s="34">
        <v>0.5</v>
      </c>
      <c r="BR338" s="34">
        <v>22.6</v>
      </c>
      <c r="BS338" s="34">
        <v>11.7</v>
      </c>
      <c r="BT338" s="34">
        <v>14.3</v>
      </c>
      <c r="BU338" s="34">
        <v>13.3</v>
      </c>
      <c r="BV338" s="34">
        <v>19.600000000000001</v>
      </c>
      <c r="BW338" s="34">
        <v>1.6</v>
      </c>
      <c r="BX338" s="34">
        <v>-2.4</v>
      </c>
      <c r="BY338" s="34">
        <v>10.9</v>
      </c>
      <c r="BZ338" s="34">
        <v>113.6</v>
      </c>
      <c r="CA338" s="34">
        <v>1.6</v>
      </c>
      <c r="CB338" s="34">
        <v>9.1999999999999993</v>
      </c>
      <c r="CC338" s="34">
        <v>8.6</v>
      </c>
      <c r="CD338" s="34">
        <v>0.3</v>
      </c>
      <c r="CE338" s="34">
        <v>-5.6</v>
      </c>
      <c r="CF338" s="34">
        <v>17.8</v>
      </c>
      <c r="CG338" s="34">
        <v>27.7</v>
      </c>
      <c r="CH338" s="34">
        <v>11.6</v>
      </c>
      <c r="CI338" s="34">
        <v>15</v>
      </c>
      <c r="CJ338" s="34">
        <v>-5.8</v>
      </c>
      <c r="CK338" s="34">
        <v>11.5</v>
      </c>
      <c r="CL338" s="34">
        <v>29.4</v>
      </c>
      <c r="CM338" s="34">
        <v>3614.7454550000002</v>
      </c>
      <c r="CN338" s="34">
        <v>22557.599999999999</v>
      </c>
      <c r="CO338" s="34">
        <v>2556.997273</v>
      </c>
      <c r="CP338" s="34">
        <v>1.36</v>
      </c>
      <c r="CQ338" s="34">
        <v>2.34</v>
      </c>
      <c r="CR338" s="34">
        <v>90.5</v>
      </c>
      <c r="CS338" s="64">
        <v>49.83</v>
      </c>
      <c r="CT338" s="34">
        <v>109.8</v>
      </c>
      <c r="CU338" s="34">
        <v>110.9</v>
      </c>
      <c r="CV338" s="34">
        <v>109.8</v>
      </c>
      <c r="CW338" s="34">
        <v>110.7</v>
      </c>
      <c r="CX338" s="34">
        <v>116.6</v>
      </c>
      <c r="CY338" s="34">
        <v>9.15</v>
      </c>
      <c r="CZ338" s="34">
        <v>57487.98</v>
      </c>
      <c r="DA338" s="34">
        <v>5.26</v>
      </c>
      <c r="DB338" s="34">
        <v>32.61</v>
      </c>
      <c r="DC338" s="34">
        <v>56.51</v>
      </c>
      <c r="DD338" s="34">
        <v>17.63</v>
      </c>
      <c r="DE338" s="34">
        <v>17003.887999999999</v>
      </c>
      <c r="DF338" s="34">
        <v>2499.451</v>
      </c>
      <c r="DG338" s="34">
        <v>2165.6309999999999</v>
      </c>
      <c r="DH338" s="34">
        <v>1558.43</v>
      </c>
      <c r="DI338" s="34">
        <v>7034.9040000000005</v>
      </c>
      <c r="DJ338" s="34">
        <v>100.41589999999999</v>
      </c>
      <c r="DK338" s="34">
        <v>100.5325</v>
      </c>
      <c r="DL338" s="34">
        <v>100.45</v>
      </c>
      <c r="DM338" s="34">
        <v>100.577</v>
      </c>
      <c r="DN338" s="34">
        <v>101.2809</v>
      </c>
      <c r="DO338" s="34">
        <v>101.4892</v>
      </c>
      <c r="DP338" s="34">
        <v>100.2676</v>
      </c>
      <c r="DQ338" s="34">
        <v>100.2941</v>
      </c>
      <c r="DR338" s="34">
        <v>16146</v>
      </c>
      <c r="DS338" s="73">
        <v>32481</v>
      </c>
      <c r="DT338" s="73">
        <v>103.5</v>
      </c>
      <c r="DU338">
        <v>227.23361206054688</v>
      </c>
      <c r="DV338">
        <v>142.697509765625</v>
      </c>
      <c r="DW338">
        <v>1328</v>
      </c>
      <c r="DX338">
        <v>302050</v>
      </c>
      <c r="DY338">
        <v>94.7</v>
      </c>
      <c r="DZ338" t="s">
        <v>312</v>
      </c>
    </row>
    <row r="339" spans="1:130" x14ac:dyDescent="0.25">
      <c r="A339" s="1">
        <v>43040</v>
      </c>
      <c r="B339" s="34">
        <v>108.5</v>
      </c>
      <c r="C339" s="111">
        <v>-0.35</v>
      </c>
      <c r="D339" s="99">
        <v>0</v>
      </c>
      <c r="E339" s="34">
        <v>-0.33</v>
      </c>
      <c r="F339" s="34">
        <v>-0.49</v>
      </c>
      <c r="G339" s="34">
        <v>-0.13</v>
      </c>
      <c r="H339" s="34">
        <v>0.31</v>
      </c>
      <c r="I339" s="34">
        <f t="shared" si="88"/>
        <v>0.65999999999999992</v>
      </c>
      <c r="J339" s="34">
        <f t="shared" si="89"/>
        <v>0.31</v>
      </c>
      <c r="K339" s="34">
        <f t="shared" si="90"/>
        <v>0.64</v>
      </c>
      <c r="L339" s="34">
        <f t="shared" si="91"/>
        <v>0.35</v>
      </c>
      <c r="M339" s="34">
        <v>97.6</v>
      </c>
      <c r="N339" s="34">
        <v>13465.51</v>
      </c>
      <c r="O339" s="34">
        <v>16.13</v>
      </c>
      <c r="P339" s="64">
        <v>2032.2</v>
      </c>
      <c r="Q339" s="34">
        <f t="shared" si="92"/>
        <v>20.993801652892564</v>
      </c>
      <c r="R339" s="34">
        <v>2871.2</v>
      </c>
      <c r="S339" s="34">
        <f t="shared" si="93"/>
        <v>2966.1157024793388</v>
      </c>
      <c r="T339" s="34">
        <v>2910</v>
      </c>
      <c r="U339" s="34">
        <f t="shared" si="94"/>
        <v>3006.1983471074382</v>
      </c>
      <c r="V339" s="118">
        <v>216413</v>
      </c>
      <c r="W339" s="118">
        <v>7713565</v>
      </c>
      <c r="X339" s="119">
        <v>11176686</v>
      </c>
      <c r="Y339" s="119">
        <v>672523</v>
      </c>
      <c r="Z339" s="34">
        <v>105.1</v>
      </c>
      <c r="AA339" s="34">
        <v>99</v>
      </c>
      <c r="AB339" s="34">
        <v>95.3</v>
      </c>
      <c r="AC339" s="34">
        <v>98.7</v>
      </c>
      <c r="AD339" s="34">
        <v>44515</v>
      </c>
      <c r="AE339" s="34">
        <v>5.5</v>
      </c>
      <c r="AF339" s="34">
        <v>768</v>
      </c>
      <c r="AG339" s="34">
        <v>97</v>
      </c>
      <c r="AH339" s="34">
        <v>96.8</v>
      </c>
      <c r="AI339" s="64">
        <v>93</v>
      </c>
      <c r="AJ339" s="64">
        <v>94.4</v>
      </c>
      <c r="AK339" s="64">
        <v>174.415402</v>
      </c>
      <c r="AL339" s="64">
        <v>131.5</v>
      </c>
      <c r="AM339" s="34">
        <v>105.17</v>
      </c>
      <c r="AN339" s="33">
        <v>153.91</v>
      </c>
      <c r="AO339" s="33">
        <v>103.44</v>
      </c>
      <c r="AP339" s="33">
        <v>53.52</v>
      </c>
      <c r="AQ339" s="34">
        <f t="shared" si="79"/>
        <v>0.57548387096774201</v>
      </c>
      <c r="AR339" s="34">
        <v>107.8</v>
      </c>
      <c r="AS339" s="34">
        <v>106.1</v>
      </c>
      <c r="AT339" s="34">
        <v>109.6</v>
      </c>
      <c r="AU339" s="34">
        <v>109.4</v>
      </c>
      <c r="AV339" s="34">
        <v>107.8</v>
      </c>
      <c r="AW339" s="34">
        <v>111</v>
      </c>
      <c r="AX339" s="34">
        <v>39.6</v>
      </c>
      <c r="AY339" s="34">
        <v>24</v>
      </c>
      <c r="AZ339" s="34">
        <v>32.299999999999997</v>
      </c>
      <c r="BA339" s="34">
        <v>22.4</v>
      </c>
      <c r="BB339" s="34">
        <v>107.4</v>
      </c>
      <c r="BC339" s="34">
        <v>105.8</v>
      </c>
      <c r="BD339" s="34">
        <v>109.2</v>
      </c>
      <c r="BE339" s="34">
        <v>88.8</v>
      </c>
      <c r="BF339" s="34">
        <v>18.7</v>
      </c>
      <c r="BG339" s="34">
        <v>44.3</v>
      </c>
      <c r="BH339" s="34">
        <v>124.8</v>
      </c>
      <c r="BI339" s="34">
        <v>6.5</v>
      </c>
      <c r="BJ339" s="34">
        <v>62.5</v>
      </c>
      <c r="BK339" s="34">
        <v>36.016576994927171</v>
      </c>
      <c r="BL339" s="34">
        <v>0.66800000000000004</v>
      </c>
      <c r="BM339" s="34">
        <v>101.5364</v>
      </c>
      <c r="BN339" s="34">
        <v>101.3215</v>
      </c>
      <c r="BO339" s="34">
        <v>16.7</v>
      </c>
      <c r="BP339" s="34">
        <v>8.6</v>
      </c>
      <c r="BQ339" s="34">
        <v>-1.6</v>
      </c>
      <c r="BR339" s="34">
        <v>21.4</v>
      </c>
      <c r="BS339" s="34">
        <v>11.9</v>
      </c>
      <c r="BT339" s="34">
        <v>14.1</v>
      </c>
      <c r="BU339" s="34">
        <v>13.3</v>
      </c>
      <c r="BV339" s="34">
        <v>20.8</v>
      </c>
      <c r="BW339" s="34">
        <v>1.5</v>
      </c>
      <c r="BX339" s="34">
        <v>-2.1</v>
      </c>
      <c r="BY339" s="34">
        <v>12.1</v>
      </c>
      <c r="BZ339" s="34">
        <v>114.2</v>
      </c>
      <c r="CA339" s="34">
        <v>1.5</v>
      </c>
      <c r="CB339" s="34">
        <v>9.3000000000000007</v>
      </c>
      <c r="CC339" s="34">
        <v>7.8</v>
      </c>
      <c r="CD339" s="34">
        <v>1.7</v>
      </c>
      <c r="CE339" s="34">
        <v>-4.7</v>
      </c>
      <c r="CF339" s="34">
        <v>20.6</v>
      </c>
      <c r="CG339" s="34">
        <v>30.8</v>
      </c>
      <c r="CH339" s="34">
        <v>10.6</v>
      </c>
      <c r="CI339" s="34">
        <v>13.9</v>
      </c>
      <c r="CJ339" s="34">
        <v>-6.5</v>
      </c>
      <c r="CK339" s="34">
        <v>12.4</v>
      </c>
      <c r="CL339" s="34">
        <v>29.1</v>
      </c>
      <c r="CM339" s="34">
        <v>3601.4313179999999</v>
      </c>
      <c r="CN339" s="34">
        <v>23435.01</v>
      </c>
      <c r="CO339" s="34">
        <v>2593.6057139999998</v>
      </c>
      <c r="CP339" s="34">
        <v>1.387</v>
      </c>
      <c r="CQ339" s="34">
        <v>2.37</v>
      </c>
      <c r="CR339" s="34">
        <v>88.9</v>
      </c>
      <c r="CS339" s="64">
        <v>49.46</v>
      </c>
      <c r="CT339" s="34">
        <v>110.1</v>
      </c>
      <c r="CU339" s="34">
        <v>112.6</v>
      </c>
      <c r="CV339" s="34">
        <v>109</v>
      </c>
      <c r="CW339" s="34">
        <v>110.1</v>
      </c>
      <c r="CX339" s="34">
        <v>117.5</v>
      </c>
      <c r="CY339" s="34">
        <v>9.75</v>
      </c>
      <c r="CZ339" s="34">
        <v>60421.038999999997</v>
      </c>
      <c r="DA339" s="34">
        <v>5.24</v>
      </c>
      <c r="DB339" s="34">
        <v>32.71</v>
      </c>
      <c r="DC339" s="34">
        <v>57.48</v>
      </c>
      <c r="DD339" s="34">
        <v>17.5</v>
      </c>
      <c r="DE339" s="34">
        <v>19726.179</v>
      </c>
      <c r="DF339" s="34">
        <v>3176.1860000000001</v>
      </c>
      <c r="DG339" s="34">
        <v>2379.1060000000002</v>
      </c>
      <c r="DH339" s="34">
        <v>1650.7470000000001</v>
      </c>
      <c r="DI339" s="34">
        <v>8065.8360000000002</v>
      </c>
      <c r="DJ339" s="34">
        <v>100.41289999999999</v>
      </c>
      <c r="DK339" s="34">
        <v>100.52679999999999</v>
      </c>
      <c r="DL339" s="34">
        <v>100.39</v>
      </c>
      <c r="DM339" s="34">
        <v>100.5035</v>
      </c>
      <c r="DN339" s="34">
        <v>101.3215</v>
      </c>
      <c r="DO339" s="34">
        <v>101.5364</v>
      </c>
      <c r="DP339" s="34">
        <v>100.39100000000001</v>
      </c>
      <c r="DQ339" s="34">
        <v>100.4297</v>
      </c>
      <c r="DR339" s="34">
        <v>15758</v>
      </c>
      <c r="DS339" s="73">
        <v>32562</v>
      </c>
      <c r="DT339" s="73">
        <v>103.3</v>
      </c>
      <c r="DU339">
        <v>229.71336364746094</v>
      </c>
      <c r="DV339">
        <v>189.63558959960938</v>
      </c>
      <c r="DW339">
        <v>1496</v>
      </c>
      <c r="DX339">
        <v>273850</v>
      </c>
      <c r="DY339">
        <v>96.6</v>
      </c>
      <c r="DZ339" t="s">
        <v>312</v>
      </c>
    </row>
    <row r="340" spans="1:130" s="56" customFormat="1" x14ac:dyDescent="0.25">
      <c r="A340" s="53">
        <v>43070</v>
      </c>
      <c r="B340" s="34">
        <v>107.9</v>
      </c>
      <c r="C340" s="112">
        <v>-0.34</v>
      </c>
      <c r="D340" s="98">
        <v>0</v>
      </c>
      <c r="E340" s="54">
        <v>-0.33</v>
      </c>
      <c r="F340" s="54">
        <v>-0.46</v>
      </c>
      <c r="G340" s="54">
        <v>-0.11</v>
      </c>
      <c r="H340" s="54">
        <v>0.3</v>
      </c>
      <c r="I340" s="54">
        <f t="shared" si="88"/>
        <v>0.64</v>
      </c>
      <c r="J340" s="54">
        <f t="shared" si="89"/>
        <v>0.3</v>
      </c>
      <c r="K340" s="54">
        <f t="shared" si="90"/>
        <v>0.63</v>
      </c>
      <c r="L340" s="54">
        <f t="shared" si="91"/>
        <v>0.34</v>
      </c>
      <c r="M340" s="54">
        <v>97.8</v>
      </c>
      <c r="N340" s="54">
        <v>12861.49</v>
      </c>
      <c r="O340" s="54">
        <v>14.15</v>
      </c>
      <c r="P340" s="64">
        <v>2046.1</v>
      </c>
      <c r="Q340" s="34">
        <f t="shared" si="92"/>
        <v>21.093814432989689</v>
      </c>
      <c r="R340" s="34">
        <v>2885.1</v>
      </c>
      <c r="S340" s="34">
        <f t="shared" si="93"/>
        <v>2974.3298969072166</v>
      </c>
      <c r="T340" s="34">
        <v>2922.5</v>
      </c>
      <c r="U340" s="34">
        <f t="shared" si="94"/>
        <v>3012.8865979381444</v>
      </c>
      <c r="V340" s="118">
        <v>216666</v>
      </c>
      <c r="W340" s="118">
        <v>7749170</v>
      </c>
      <c r="X340" s="119">
        <v>11208278</v>
      </c>
      <c r="Y340" s="119">
        <v>650646</v>
      </c>
      <c r="Z340" s="54">
        <v>105.3</v>
      </c>
      <c r="AA340" s="54">
        <v>101.7</v>
      </c>
      <c r="AB340" s="54">
        <v>91.3</v>
      </c>
      <c r="AC340" s="54">
        <v>104.2</v>
      </c>
      <c r="AD340" s="54">
        <v>44573</v>
      </c>
      <c r="AE340" s="54">
        <v>5.5</v>
      </c>
      <c r="AF340" s="54">
        <v>786</v>
      </c>
      <c r="AG340" s="54">
        <v>97.1</v>
      </c>
      <c r="AH340" s="54">
        <v>97</v>
      </c>
      <c r="AI340" s="64">
        <v>93.2</v>
      </c>
      <c r="AJ340" s="64">
        <v>94.5</v>
      </c>
      <c r="AK340" s="64">
        <v>174.80602999999999</v>
      </c>
      <c r="AL340" s="64">
        <v>88.3</v>
      </c>
      <c r="AM340" s="54">
        <v>106.58</v>
      </c>
      <c r="AN340" s="33">
        <v>158.01</v>
      </c>
      <c r="AO340" s="33">
        <v>103.46</v>
      </c>
      <c r="AP340" s="33">
        <v>54.15</v>
      </c>
      <c r="AQ340" s="54">
        <f t="shared" si="79"/>
        <v>0.58100858369098707</v>
      </c>
      <c r="AR340" s="54">
        <v>107.4</v>
      </c>
      <c r="AS340" s="54">
        <v>105.1</v>
      </c>
      <c r="AT340" s="54">
        <v>109.8</v>
      </c>
      <c r="AU340" s="54">
        <v>108.1</v>
      </c>
      <c r="AV340" s="54">
        <v>105.9</v>
      </c>
      <c r="AW340" s="54">
        <v>110.4</v>
      </c>
      <c r="AX340" s="54">
        <v>34.9</v>
      </c>
      <c r="AY340" s="54">
        <v>25</v>
      </c>
      <c r="AZ340" s="54">
        <v>30.4</v>
      </c>
      <c r="BA340" s="54">
        <v>21</v>
      </c>
      <c r="BB340" s="54">
        <v>107.3</v>
      </c>
      <c r="BC340" s="54">
        <v>104.9</v>
      </c>
      <c r="BD340" s="54">
        <v>109.8</v>
      </c>
      <c r="BE340" s="54">
        <v>89.3</v>
      </c>
      <c r="BF340" s="54">
        <v>17.399999999999999</v>
      </c>
      <c r="BG340" s="54">
        <v>45.2</v>
      </c>
      <c r="BH340" s="54">
        <v>124</v>
      </c>
      <c r="BI340" s="54">
        <v>15</v>
      </c>
      <c r="BJ340" s="34">
        <v>63.3</v>
      </c>
      <c r="BK340" s="54">
        <v>33.303451049586585</v>
      </c>
      <c r="BL340" s="54">
        <v>0.74399999999999999</v>
      </c>
      <c r="BM340" s="54">
        <v>101.5427</v>
      </c>
      <c r="BN340" s="54">
        <v>101.32680000000001</v>
      </c>
      <c r="BO340" s="54">
        <v>18.8</v>
      </c>
      <c r="BP340" s="54">
        <v>8.9</v>
      </c>
      <c r="BQ340" s="54">
        <v>-1.9</v>
      </c>
      <c r="BR340" s="54">
        <v>22.7</v>
      </c>
      <c r="BS340" s="54">
        <v>15.7</v>
      </c>
      <c r="BT340" s="54">
        <v>16.600000000000001</v>
      </c>
      <c r="BU340" s="54">
        <v>14.5</v>
      </c>
      <c r="BV340" s="54">
        <v>21.6</v>
      </c>
      <c r="BW340" s="54">
        <v>1.4</v>
      </c>
      <c r="BX340" s="54">
        <v>0.2</v>
      </c>
      <c r="BY340" s="54">
        <v>12.3</v>
      </c>
      <c r="BZ340" s="54">
        <v>114.9</v>
      </c>
      <c r="CA340" s="54">
        <v>1.4</v>
      </c>
      <c r="CB340" s="54">
        <v>8.6</v>
      </c>
      <c r="CC340" s="54">
        <v>9.3000000000000007</v>
      </c>
      <c r="CD340" s="54">
        <v>2.2999999999999998</v>
      </c>
      <c r="CE340" s="54">
        <v>-5.3</v>
      </c>
      <c r="CF340" s="54">
        <v>16.7</v>
      </c>
      <c r="CG340" s="54">
        <v>27.4</v>
      </c>
      <c r="CH340" s="54">
        <v>9.3000000000000007</v>
      </c>
      <c r="CI340" s="54">
        <v>13.5</v>
      </c>
      <c r="CJ340" s="54">
        <v>-6.9</v>
      </c>
      <c r="CK340" s="54">
        <v>13.8</v>
      </c>
      <c r="CL340" s="54">
        <v>30.7</v>
      </c>
      <c r="CM340" s="54">
        <v>3564.6552630000001</v>
      </c>
      <c r="CN340" s="54">
        <v>24231.59</v>
      </c>
      <c r="CO340" s="54">
        <v>2664.3404999999998</v>
      </c>
      <c r="CP340" s="54">
        <v>1.2549999999999999</v>
      </c>
      <c r="CQ340" s="54">
        <v>2.37</v>
      </c>
      <c r="CR340" s="54">
        <v>84.3</v>
      </c>
      <c r="CS340" s="64">
        <v>48.21</v>
      </c>
      <c r="CT340" s="54">
        <v>113.4</v>
      </c>
      <c r="CU340" s="54">
        <v>112.1</v>
      </c>
      <c r="CV340" s="54">
        <v>109.9</v>
      </c>
      <c r="CW340" s="54">
        <v>109.5</v>
      </c>
      <c r="CX340" s="54">
        <v>119.6</v>
      </c>
      <c r="CY340" s="54">
        <v>9.9600000000000009</v>
      </c>
      <c r="CZ340" s="54">
        <v>51701.082000000002</v>
      </c>
      <c r="DA340" s="54">
        <v>5.28</v>
      </c>
      <c r="DB340" s="54">
        <v>33.270000000000003</v>
      </c>
      <c r="DC340" s="54">
        <v>58.81</v>
      </c>
      <c r="DD340" s="54">
        <v>17.07</v>
      </c>
      <c r="DE340" s="54">
        <v>18468.524000000001</v>
      </c>
      <c r="DF340" s="54">
        <v>2763.0279999999998</v>
      </c>
      <c r="DG340" s="54">
        <v>1721.9079999999999</v>
      </c>
      <c r="DH340" s="54">
        <v>1619.7670000000001</v>
      </c>
      <c r="DI340" s="54">
        <v>7727.835</v>
      </c>
      <c r="DJ340" s="54">
        <v>100.39409999999999</v>
      </c>
      <c r="DK340" s="54">
        <v>100.5008</v>
      </c>
      <c r="DL340" s="54">
        <v>100.31</v>
      </c>
      <c r="DM340" s="54">
        <v>100.4015</v>
      </c>
      <c r="DN340" s="54">
        <v>101.32680000000001</v>
      </c>
      <c r="DO340" s="54">
        <v>101.5427</v>
      </c>
      <c r="DP340" s="54">
        <v>100.51349999999999</v>
      </c>
      <c r="DQ340" s="54">
        <v>100.5646</v>
      </c>
      <c r="DR340" s="54">
        <v>12064</v>
      </c>
      <c r="DS340" s="96">
        <v>32619</v>
      </c>
      <c r="DT340" s="96">
        <v>104.5</v>
      </c>
      <c r="DU340">
        <v>173.39306640625</v>
      </c>
      <c r="DV340">
        <v>110.69769287109375</v>
      </c>
      <c r="DW340" s="56">
        <v>1626</v>
      </c>
      <c r="DX340" s="56">
        <v>182425</v>
      </c>
      <c r="DY340" s="56">
        <v>94.8</v>
      </c>
      <c r="DZ340" t="s">
        <v>312</v>
      </c>
    </row>
    <row r="341" spans="1:130" x14ac:dyDescent="0.25">
      <c r="A341" s="1">
        <v>43101</v>
      </c>
      <c r="B341" s="34">
        <v>107.2</v>
      </c>
      <c r="C341" s="111">
        <v>-0.36</v>
      </c>
      <c r="D341" s="99">
        <v>0</v>
      </c>
      <c r="E341" s="34">
        <v>-0.33</v>
      </c>
      <c r="F341" s="34">
        <v>-0.28000000000000003</v>
      </c>
      <c r="G341" s="34">
        <v>7.0000000000000007E-2</v>
      </c>
      <c r="H341" s="34">
        <v>0.47</v>
      </c>
      <c r="I341" s="34">
        <f t="shared" si="88"/>
        <v>0.83</v>
      </c>
      <c r="J341" s="34">
        <f t="shared" si="89"/>
        <v>0.47</v>
      </c>
      <c r="K341" s="34">
        <f t="shared" si="90"/>
        <v>0.8</v>
      </c>
      <c r="L341" s="34">
        <f t="shared" si="91"/>
        <v>0.36</v>
      </c>
      <c r="M341" s="34">
        <v>98</v>
      </c>
      <c r="N341" s="34">
        <v>12917.64</v>
      </c>
      <c r="O341" s="34">
        <v>17.62</v>
      </c>
      <c r="P341" s="64">
        <v>2056.3000000000002</v>
      </c>
      <c r="Q341" s="34">
        <f t="shared" si="92"/>
        <v>21.19896907216495</v>
      </c>
      <c r="R341" s="34">
        <v>2893.3</v>
      </c>
      <c r="S341" s="34">
        <f t="shared" si="93"/>
        <v>2982.7835051546394</v>
      </c>
      <c r="T341" s="34">
        <v>2928.6</v>
      </c>
      <c r="U341" s="34">
        <f t="shared" si="94"/>
        <v>3019.1752577319585</v>
      </c>
      <c r="V341" s="118">
        <v>221765</v>
      </c>
      <c r="W341" s="118">
        <v>7816816</v>
      </c>
      <c r="X341" s="119">
        <v>11269445</v>
      </c>
      <c r="Y341" s="119">
        <v>642890</v>
      </c>
      <c r="Z341" s="34">
        <v>102.9</v>
      </c>
      <c r="AA341" s="34">
        <v>97.3</v>
      </c>
      <c r="AB341" s="34">
        <v>95.2</v>
      </c>
      <c r="AC341" s="34">
        <v>98.9</v>
      </c>
      <c r="AD341" s="34">
        <v>44659</v>
      </c>
      <c r="AE341" s="34">
        <v>5.4</v>
      </c>
      <c r="AF341" s="34">
        <v>784</v>
      </c>
      <c r="AG341" s="34">
        <v>97.3</v>
      </c>
      <c r="AH341" s="34">
        <v>97</v>
      </c>
      <c r="AI341" s="64">
        <v>93.5</v>
      </c>
      <c r="AJ341" s="64">
        <v>94.5</v>
      </c>
      <c r="AK341" s="64">
        <v>175.7826</v>
      </c>
      <c r="AL341" s="64">
        <v>87.4</v>
      </c>
      <c r="AM341" s="34">
        <v>112.94</v>
      </c>
      <c r="AN341" s="33">
        <v>166.97</v>
      </c>
      <c r="AO341" s="33">
        <v>108.04</v>
      </c>
      <c r="AP341" s="33">
        <v>56.48</v>
      </c>
      <c r="AQ341" s="34">
        <f t="shared" si="79"/>
        <v>0.6040641711229946</v>
      </c>
      <c r="AR341" s="34">
        <v>108.3</v>
      </c>
      <c r="AS341" s="34">
        <v>104.3</v>
      </c>
      <c r="AT341" s="34">
        <v>112.5</v>
      </c>
      <c r="AU341" s="34">
        <v>109</v>
      </c>
      <c r="AV341" s="34">
        <v>105.1</v>
      </c>
      <c r="AW341" s="34">
        <v>113.1</v>
      </c>
      <c r="AX341" s="34">
        <v>37.5</v>
      </c>
      <c r="AY341" s="34">
        <v>24.2</v>
      </c>
      <c r="AZ341" s="34">
        <v>32.5</v>
      </c>
      <c r="BA341" s="34">
        <v>21.9</v>
      </c>
      <c r="BB341" s="34">
        <v>107.5</v>
      </c>
      <c r="BC341" s="34">
        <v>103.9</v>
      </c>
      <c r="BD341" s="34">
        <v>111.2</v>
      </c>
      <c r="BE341" s="34">
        <v>95.2</v>
      </c>
      <c r="BF341" s="34">
        <v>20.399999999999999</v>
      </c>
      <c r="BG341" s="34">
        <v>54.4</v>
      </c>
      <c r="BH341" s="34">
        <v>117.9</v>
      </c>
      <c r="BI341" s="34">
        <v>29.4</v>
      </c>
      <c r="BJ341" s="34">
        <v>61.1</v>
      </c>
      <c r="BK341" s="34">
        <v>31.20740542423318</v>
      </c>
      <c r="BL341" s="34">
        <v>0.746</v>
      </c>
      <c r="BM341" s="34">
        <v>101.4999</v>
      </c>
      <c r="BN341" s="34">
        <v>101.2901</v>
      </c>
      <c r="BO341" s="34">
        <v>21.4</v>
      </c>
      <c r="BP341" s="34">
        <v>11.9</v>
      </c>
      <c r="BQ341" s="34">
        <v>-1.6</v>
      </c>
      <c r="BR341" s="34">
        <v>21.4</v>
      </c>
      <c r="BS341" s="34">
        <v>14.4</v>
      </c>
      <c r="BT341" s="34">
        <v>15</v>
      </c>
      <c r="BU341" s="34">
        <v>14.8</v>
      </c>
      <c r="BV341" s="34">
        <v>23.1</v>
      </c>
      <c r="BW341" s="34">
        <v>2.2999999999999998</v>
      </c>
      <c r="BX341" s="34">
        <v>-2</v>
      </c>
      <c r="BY341" s="34">
        <v>13.5</v>
      </c>
      <c r="BZ341" s="34">
        <v>115.5</v>
      </c>
      <c r="CA341" s="34">
        <v>2.2999999999999998</v>
      </c>
      <c r="CB341" s="34">
        <v>10.3</v>
      </c>
      <c r="CC341" s="34">
        <v>9.5</v>
      </c>
      <c r="CD341" s="34">
        <v>4.0999999999999996</v>
      </c>
      <c r="CE341" s="34">
        <v>-3.2</v>
      </c>
      <c r="CF341" s="34">
        <v>16.899999999999999</v>
      </c>
      <c r="CG341" s="34">
        <v>28.5</v>
      </c>
      <c r="CH341" s="34">
        <v>8.1</v>
      </c>
      <c r="CI341" s="34">
        <v>12.9</v>
      </c>
      <c r="CJ341" s="34">
        <v>-7.5</v>
      </c>
      <c r="CK341" s="34">
        <v>16.100000000000001</v>
      </c>
      <c r="CL341" s="34">
        <v>30.9</v>
      </c>
      <c r="CM341" s="34">
        <v>3612.163818</v>
      </c>
      <c r="CN341" s="34">
        <v>24719.22</v>
      </c>
      <c r="CO341" s="34">
        <v>2789.8038099999999</v>
      </c>
      <c r="CP341" s="34">
        <v>1.226</v>
      </c>
      <c r="CQ341" s="34">
        <v>2.4</v>
      </c>
      <c r="CR341" s="34">
        <v>86.3</v>
      </c>
      <c r="CS341" s="64">
        <v>50.52</v>
      </c>
      <c r="CT341" s="34">
        <v>113.2</v>
      </c>
      <c r="CU341" s="34">
        <v>112.2</v>
      </c>
      <c r="CV341" s="34">
        <v>115.5</v>
      </c>
      <c r="CW341" s="34">
        <v>108.4</v>
      </c>
      <c r="CX341" s="34">
        <v>119.4</v>
      </c>
      <c r="CY341" s="34">
        <v>9.1</v>
      </c>
      <c r="CZ341" s="34">
        <v>57629.400999999998</v>
      </c>
      <c r="DA341" s="34">
        <v>5.08</v>
      </c>
      <c r="DB341" s="34">
        <v>33.479999999999997</v>
      </c>
      <c r="DC341" s="34">
        <v>57.42</v>
      </c>
      <c r="DD341" s="34">
        <v>17.59</v>
      </c>
      <c r="DE341" s="34">
        <v>17140.420999999998</v>
      </c>
      <c r="DF341" s="34">
        <v>2084.8490000000002</v>
      </c>
      <c r="DG341" s="34">
        <v>1846.923</v>
      </c>
      <c r="DH341" s="34">
        <v>1605.6389999999999</v>
      </c>
      <c r="DI341" s="34">
        <v>7328.94</v>
      </c>
      <c r="DJ341" s="34">
        <v>100.3665</v>
      </c>
      <c r="DK341" s="34">
        <v>100.46339999999999</v>
      </c>
      <c r="DL341" s="34">
        <v>100.22</v>
      </c>
      <c r="DM341" s="34">
        <v>100.28830000000001</v>
      </c>
      <c r="DN341" s="34">
        <v>101.2901</v>
      </c>
      <c r="DO341" s="34">
        <v>101.4999</v>
      </c>
      <c r="DP341" s="34">
        <v>100.63500000000001</v>
      </c>
      <c r="DQ341" s="34">
        <v>100.6982</v>
      </c>
      <c r="DR341" s="34">
        <v>22520</v>
      </c>
      <c r="DS341" s="73">
        <v>32701</v>
      </c>
      <c r="DT341" s="73">
        <v>105</v>
      </c>
      <c r="DU341">
        <v>196.43605041503906</v>
      </c>
      <c r="DV341">
        <v>150.03556823730469</v>
      </c>
      <c r="DW341">
        <v>1366</v>
      </c>
      <c r="DX341">
        <v>200650</v>
      </c>
      <c r="DY341">
        <v>96.2</v>
      </c>
      <c r="DZ341" t="s">
        <v>312</v>
      </c>
    </row>
    <row r="342" spans="1:130" x14ac:dyDescent="0.25">
      <c r="A342" s="1">
        <v>43132</v>
      </c>
      <c r="B342" s="34">
        <v>104.9</v>
      </c>
      <c r="C342" s="111">
        <v>-0.36</v>
      </c>
      <c r="D342" s="99">
        <v>0</v>
      </c>
      <c r="E342" s="34">
        <v>-0.33</v>
      </c>
      <c r="F342" s="34">
        <v>-0.16</v>
      </c>
      <c r="G342" s="34">
        <v>0.28000000000000003</v>
      </c>
      <c r="H342" s="34">
        <v>0.66</v>
      </c>
      <c r="I342" s="34">
        <f t="shared" si="88"/>
        <v>1.02</v>
      </c>
      <c r="J342" s="34">
        <f t="shared" si="89"/>
        <v>0.66</v>
      </c>
      <c r="K342" s="34">
        <f t="shared" si="90"/>
        <v>0.99</v>
      </c>
      <c r="L342" s="34">
        <f t="shared" si="91"/>
        <v>0.36</v>
      </c>
      <c r="M342" s="34">
        <v>98.1</v>
      </c>
      <c r="N342" s="34">
        <v>13003.9</v>
      </c>
      <c r="O342" s="34">
        <v>21.92</v>
      </c>
      <c r="P342" s="64">
        <v>2063.3000000000002</v>
      </c>
      <c r="Q342" s="34">
        <f t="shared" si="92"/>
        <v>21.249227600411949</v>
      </c>
      <c r="R342" s="34">
        <v>2896.9</v>
      </c>
      <c r="S342" s="34">
        <f t="shared" si="93"/>
        <v>2983.4191555097836</v>
      </c>
      <c r="T342" s="34">
        <v>2932.8</v>
      </c>
      <c r="U342" s="34">
        <f t="shared" si="94"/>
        <v>3020.391349124614</v>
      </c>
      <c r="V342" s="118">
        <v>221059</v>
      </c>
      <c r="W342" s="118">
        <v>7838336</v>
      </c>
      <c r="X342" s="119">
        <v>11279345</v>
      </c>
      <c r="Y342" s="119">
        <v>641579</v>
      </c>
      <c r="Z342" s="34">
        <v>101.8</v>
      </c>
      <c r="AA342" s="34">
        <v>98.5</v>
      </c>
      <c r="AB342" s="34">
        <v>93.5</v>
      </c>
      <c r="AC342" s="34">
        <v>101.7</v>
      </c>
      <c r="AD342" s="34">
        <v>44686</v>
      </c>
      <c r="AE342" s="34">
        <v>5.4</v>
      </c>
      <c r="AF342" s="34">
        <v>786</v>
      </c>
      <c r="AG342" s="34">
        <v>97.3</v>
      </c>
      <c r="AH342" s="34">
        <v>97.1</v>
      </c>
      <c r="AI342" s="64">
        <v>92.8</v>
      </c>
      <c r="AJ342" s="64">
        <v>94.4</v>
      </c>
      <c r="AK342" s="64">
        <v>175.58728600000001</v>
      </c>
      <c r="AL342" s="64">
        <v>87.4</v>
      </c>
      <c r="AM342" s="34">
        <v>113.8</v>
      </c>
      <c r="AN342" s="33">
        <v>158.11000000000001</v>
      </c>
      <c r="AO342" s="33">
        <v>109.89</v>
      </c>
      <c r="AP342" s="33">
        <v>53.23</v>
      </c>
      <c r="AQ342" s="34">
        <f t="shared" si="79"/>
        <v>0.57359913793103445</v>
      </c>
      <c r="AR342" s="34">
        <v>106.7</v>
      </c>
      <c r="AS342" s="34">
        <v>102.6</v>
      </c>
      <c r="AT342" s="34">
        <v>110.9</v>
      </c>
      <c r="AU342" s="34">
        <v>107.1</v>
      </c>
      <c r="AV342" s="34">
        <v>103</v>
      </c>
      <c r="AW342" s="34">
        <v>111.4</v>
      </c>
      <c r="AX342" s="34">
        <v>32.299999999999997</v>
      </c>
      <c r="AY342" s="34">
        <v>14.5</v>
      </c>
      <c r="AZ342" s="34">
        <v>31.4</v>
      </c>
      <c r="BA342" s="34">
        <v>11.7</v>
      </c>
      <c r="BB342" s="34">
        <v>106.8</v>
      </c>
      <c r="BC342" s="34">
        <v>103</v>
      </c>
      <c r="BD342" s="34">
        <v>110.7</v>
      </c>
      <c r="BE342" s="34">
        <v>92.3</v>
      </c>
      <c r="BF342" s="34">
        <v>17.8</v>
      </c>
      <c r="BG342" s="34">
        <v>45.6</v>
      </c>
      <c r="BH342" s="34">
        <v>120.2</v>
      </c>
      <c r="BI342" s="34">
        <v>46.9</v>
      </c>
      <c r="BJ342" s="34">
        <v>60.6</v>
      </c>
      <c r="BK342" s="34">
        <v>29.638556486754283</v>
      </c>
      <c r="BL342" s="34">
        <v>0.78200000000000003</v>
      </c>
      <c r="BM342" s="34">
        <v>101.4181</v>
      </c>
      <c r="BN342" s="34">
        <v>101.21980000000001</v>
      </c>
      <c r="BO342" s="34">
        <v>19.2</v>
      </c>
      <c r="BP342" s="34">
        <v>9.6</v>
      </c>
      <c r="BQ342" s="34">
        <v>-2.9</v>
      </c>
      <c r="BR342" s="34">
        <v>15.5</v>
      </c>
      <c r="BS342" s="34">
        <v>14</v>
      </c>
      <c r="BT342" s="34">
        <v>12.9</v>
      </c>
      <c r="BU342" s="34">
        <v>12.5</v>
      </c>
      <c r="BV342" s="34">
        <v>21.5</v>
      </c>
      <c r="BW342" s="34">
        <v>2.2999999999999998</v>
      </c>
      <c r="BX342" s="34">
        <v>-2.2999999999999998</v>
      </c>
      <c r="BY342" s="34">
        <v>14.7</v>
      </c>
      <c r="BZ342" s="34">
        <v>114.5</v>
      </c>
      <c r="CA342" s="34">
        <v>2.2999999999999998</v>
      </c>
      <c r="CB342" s="34">
        <v>9.1999999999999993</v>
      </c>
      <c r="CC342" s="34">
        <v>9.1999999999999993</v>
      </c>
      <c r="CD342" s="34">
        <v>5.5</v>
      </c>
      <c r="CE342" s="34">
        <v>-5.0999999999999996</v>
      </c>
      <c r="CF342" s="34">
        <v>19.8</v>
      </c>
      <c r="CG342" s="34">
        <v>29.6</v>
      </c>
      <c r="CH342" s="34">
        <v>7.2</v>
      </c>
      <c r="CI342" s="34">
        <v>12.2</v>
      </c>
      <c r="CJ342" s="34">
        <v>-4.0999999999999996</v>
      </c>
      <c r="CK342" s="34">
        <v>13</v>
      </c>
      <c r="CL342" s="34">
        <v>29.7</v>
      </c>
      <c r="CM342" s="34">
        <v>3426.7103000000002</v>
      </c>
      <c r="CN342" s="34">
        <v>26186.71</v>
      </c>
      <c r="CO342" s="34">
        <v>2705.1552630000001</v>
      </c>
      <c r="CP342" s="34">
        <v>1.556</v>
      </c>
      <c r="CQ342" s="34">
        <v>2.78</v>
      </c>
      <c r="CR342" s="34">
        <v>90</v>
      </c>
      <c r="CS342" s="64">
        <v>49.35</v>
      </c>
      <c r="CT342" s="34">
        <v>109.7</v>
      </c>
      <c r="CU342" s="34">
        <v>111.4</v>
      </c>
      <c r="CV342" s="34">
        <v>115.2</v>
      </c>
      <c r="CW342" s="34">
        <v>108.3</v>
      </c>
      <c r="CX342" s="34">
        <v>118.6</v>
      </c>
      <c r="CY342" s="34">
        <v>9.1</v>
      </c>
      <c r="CZ342" s="34">
        <v>56252.481</v>
      </c>
      <c r="DA342" s="34">
        <v>5.43</v>
      </c>
      <c r="DB342" s="34">
        <v>33</v>
      </c>
      <c r="DC342" s="34">
        <v>56.97</v>
      </c>
      <c r="DD342" s="34">
        <v>17.239999999999998</v>
      </c>
      <c r="DE342" s="34">
        <v>16250.973</v>
      </c>
      <c r="DF342" s="34">
        <v>2286.8090000000002</v>
      </c>
      <c r="DG342" s="34">
        <v>2146.308</v>
      </c>
      <c r="DH342" s="34">
        <v>1536.403</v>
      </c>
      <c r="DI342" s="34">
        <v>6914.6440000000002</v>
      </c>
      <c r="DJ342" s="34">
        <v>100.334</v>
      </c>
      <c r="DK342" s="34">
        <v>100.419</v>
      </c>
      <c r="DL342" s="34">
        <v>100.13</v>
      </c>
      <c r="DM342" s="34">
        <v>100.1674</v>
      </c>
      <c r="DN342" s="34">
        <v>101.21980000000001</v>
      </c>
      <c r="DO342" s="34">
        <v>101.4181</v>
      </c>
      <c r="DP342" s="34">
        <v>100.7452</v>
      </c>
      <c r="DQ342" s="34">
        <v>100.8194</v>
      </c>
      <c r="DR342" s="34">
        <v>23137</v>
      </c>
      <c r="DS342" s="73">
        <v>32746</v>
      </c>
      <c r="DT342" s="73">
        <v>105</v>
      </c>
      <c r="DU342">
        <v>135.16371154785156</v>
      </c>
      <c r="DV342">
        <v>97.528968811035156</v>
      </c>
      <c r="DW342">
        <v>1114</v>
      </c>
      <c r="DX342">
        <v>304325</v>
      </c>
      <c r="DY342">
        <v>95</v>
      </c>
      <c r="DZ342" t="s">
        <v>312</v>
      </c>
    </row>
    <row r="343" spans="1:130" s="56" customFormat="1" x14ac:dyDescent="0.25">
      <c r="A343" s="53">
        <v>43160</v>
      </c>
      <c r="B343" s="34">
        <v>106.4</v>
      </c>
      <c r="C343" s="112">
        <v>-0.36</v>
      </c>
      <c r="D343" s="98">
        <v>0</v>
      </c>
      <c r="E343" s="54">
        <v>-0.33</v>
      </c>
      <c r="F343" s="54">
        <v>-0.25</v>
      </c>
      <c r="G343" s="54">
        <v>0.16</v>
      </c>
      <c r="H343" s="54">
        <v>0.53</v>
      </c>
      <c r="I343" s="54">
        <f t="shared" ref="I343:I348" si="95">IF(ISNUMBER(C343),IF(ISNUMBER(H343),H343-C343,""),"")</f>
        <v>0.89</v>
      </c>
      <c r="J343" s="54">
        <f t="shared" ref="J343:J348" si="96">IF(ISNUMBER(D343),IF(ISNUMBER(H343),H343-D343,""),"")</f>
        <v>0.53</v>
      </c>
      <c r="K343" s="54">
        <f t="shared" ref="K343:K348" si="97">IF(ISNUMBER(H343),IF(ISNUMBER(E343),H343-E343,""),"")</f>
        <v>0.8600000000000001</v>
      </c>
      <c r="L343" s="54">
        <f t="shared" ref="L343:L348" si="98">IF(ISNUMBER(D343),IF(ISNUMBER(C343),D343-C343,""),"")</f>
        <v>0.36</v>
      </c>
      <c r="M343" s="54">
        <v>98.2</v>
      </c>
      <c r="N343" s="54">
        <v>12190.94</v>
      </c>
      <c r="O343" s="54">
        <v>18.440000000000001</v>
      </c>
      <c r="P343" s="64">
        <v>2073.1999999999998</v>
      </c>
      <c r="Q343" s="34">
        <f t="shared" si="92"/>
        <v>21.307297019527233</v>
      </c>
      <c r="R343" s="34">
        <v>2909.8</v>
      </c>
      <c r="S343" s="34">
        <f t="shared" si="93"/>
        <v>2990.5447070914702</v>
      </c>
      <c r="T343" s="34">
        <v>2944.8</v>
      </c>
      <c r="U343" s="34">
        <f t="shared" si="94"/>
        <v>3026.5159301130529</v>
      </c>
      <c r="V343" s="118">
        <v>219513</v>
      </c>
      <c r="W343" s="118">
        <v>7860032</v>
      </c>
      <c r="X343" s="119">
        <v>11291178</v>
      </c>
      <c r="Y343" s="119">
        <v>656237</v>
      </c>
      <c r="Z343" s="54">
        <v>101.7</v>
      </c>
      <c r="AA343" s="54">
        <v>96.8</v>
      </c>
      <c r="AB343" s="54">
        <v>95.1</v>
      </c>
      <c r="AC343" s="54">
        <v>98.3</v>
      </c>
      <c r="AD343" s="54">
        <v>44730</v>
      </c>
      <c r="AE343" s="54">
        <v>5.3</v>
      </c>
      <c r="AF343" s="54">
        <v>786</v>
      </c>
      <c r="AG343" s="54">
        <v>97.3</v>
      </c>
      <c r="AH343" s="54">
        <v>97.3</v>
      </c>
      <c r="AI343" s="64">
        <v>92.6</v>
      </c>
      <c r="AJ343" s="64">
        <v>94.4</v>
      </c>
      <c r="AK343" s="64">
        <v>175.7826</v>
      </c>
      <c r="AL343" s="64">
        <v>88.2</v>
      </c>
      <c r="AM343" s="54">
        <v>111.11</v>
      </c>
      <c r="AN343" s="33">
        <v>158.13</v>
      </c>
      <c r="AO343" s="33">
        <v>109.31</v>
      </c>
      <c r="AP343" s="33">
        <v>54.25</v>
      </c>
      <c r="AQ343" s="54">
        <f t="shared" si="79"/>
        <v>0.58585313174946008</v>
      </c>
      <c r="AR343" s="54">
        <v>106.3</v>
      </c>
      <c r="AS343" s="54">
        <v>102.4</v>
      </c>
      <c r="AT343" s="54">
        <v>110.4</v>
      </c>
      <c r="AU343" s="54">
        <v>106.9</v>
      </c>
      <c r="AV343" s="54">
        <v>103</v>
      </c>
      <c r="AW343" s="54">
        <v>111</v>
      </c>
      <c r="AX343" s="54">
        <v>33.5</v>
      </c>
      <c r="AY343" s="54">
        <v>22.6</v>
      </c>
      <c r="AZ343" s="54">
        <v>30.7</v>
      </c>
      <c r="BA343" s="54">
        <v>14.2</v>
      </c>
      <c r="BB343" s="54">
        <v>105.5</v>
      </c>
      <c r="BC343" s="54">
        <v>102</v>
      </c>
      <c r="BD343" s="54">
        <v>109.1</v>
      </c>
      <c r="BE343" s="54">
        <v>90.7</v>
      </c>
      <c r="BF343" s="54">
        <v>5.0999999999999996</v>
      </c>
      <c r="BG343" s="54">
        <v>45.9</v>
      </c>
      <c r="BH343" s="54">
        <v>122.6</v>
      </c>
      <c r="BI343" s="54">
        <v>65.8</v>
      </c>
      <c r="BJ343" s="34">
        <v>58.2</v>
      </c>
      <c r="BK343" s="54">
        <v>27.585046987870847</v>
      </c>
      <c r="BL343" s="54">
        <v>0.72899999999999998</v>
      </c>
      <c r="BM343" s="54">
        <v>101.30629999999999</v>
      </c>
      <c r="BN343" s="54">
        <v>101.1238</v>
      </c>
      <c r="BO343" s="54">
        <v>15.7</v>
      </c>
      <c r="BP343" s="54">
        <v>7.2</v>
      </c>
      <c r="BQ343" s="54">
        <v>-1.6</v>
      </c>
      <c r="BR343" s="54">
        <v>15.1</v>
      </c>
      <c r="BS343" s="54">
        <v>13.1</v>
      </c>
      <c r="BT343" s="54">
        <v>11.9</v>
      </c>
      <c r="BU343" s="54">
        <v>10.8</v>
      </c>
      <c r="BV343" s="54">
        <v>20.3</v>
      </c>
      <c r="BW343" s="54">
        <v>1.6</v>
      </c>
      <c r="BX343" s="54">
        <v>-7</v>
      </c>
      <c r="BY343" s="54">
        <v>15.7</v>
      </c>
      <c r="BZ343" s="54">
        <v>113</v>
      </c>
      <c r="CA343" s="54">
        <v>1.6</v>
      </c>
      <c r="CB343" s="54">
        <v>8.8000000000000007</v>
      </c>
      <c r="CC343" s="54">
        <v>8.3000000000000007</v>
      </c>
      <c r="CD343" s="54">
        <v>5.2</v>
      </c>
      <c r="CE343" s="54">
        <v>-5.0999999999999996</v>
      </c>
      <c r="CF343" s="54">
        <v>15.1</v>
      </c>
      <c r="CG343" s="54">
        <v>26.4</v>
      </c>
      <c r="CH343" s="54">
        <v>7.1</v>
      </c>
      <c r="CI343" s="54">
        <v>12.4</v>
      </c>
      <c r="CJ343" s="54">
        <v>-5.6</v>
      </c>
      <c r="CK343" s="54">
        <v>11.6</v>
      </c>
      <c r="CL343" s="54">
        <v>29.2</v>
      </c>
      <c r="CM343" s="54">
        <v>3374.2947140000001</v>
      </c>
      <c r="CN343" s="54">
        <v>24608.98</v>
      </c>
      <c r="CO343" s="54">
        <v>2702.7738100000001</v>
      </c>
      <c r="CP343" s="54">
        <v>1.4890000000000001</v>
      </c>
      <c r="CQ343" s="54">
        <v>2.81</v>
      </c>
      <c r="CR343" s="54">
        <v>88.8</v>
      </c>
      <c r="CS343" s="64">
        <v>51.49</v>
      </c>
      <c r="CT343" s="54">
        <v>108.4</v>
      </c>
      <c r="CU343" s="54">
        <v>108.6</v>
      </c>
      <c r="CV343" s="54">
        <v>113.7</v>
      </c>
      <c r="CW343" s="54">
        <v>109.8</v>
      </c>
      <c r="CX343" s="54">
        <v>117.4</v>
      </c>
      <c r="CY343" s="54">
        <v>10.02</v>
      </c>
      <c r="CZ343" s="54">
        <v>61461.69</v>
      </c>
      <c r="DA343" s="54">
        <v>4.91</v>
      </c>
      <c r="DB343" s="54">
        <v>33.270000000000003</v>
      </c>
      <c r="DC343" s="54">
        <v>57.67</v>
      </c>
      <c r="DD343" s="54">
        <v>17.11</v>
      </c>
      <c r="DE343" s="54">
        <v>18511.595000000001</v>
      </c>
      <c r="DF343" s="54">
        <v>2280.116</v>
      </c>
      <c r="DG343" s="54">
        <v>2262.404</v>
      </c>
      <c r="DH343" s="54">
        <v>1844.973</v>
      </c>
      <c r="DI343" s="54">
        <v>7864.4949999999999</v>
      </c>
      <c r="DJ343" s="54">
        <v>100.294</v>
      </c>
      <c r="DK343" s="54">
        <v>100.3648</v>
      </c>
      <c r="DL343" s="54">
        <v>100.03</v>
      </c>
      <c r="DM343" s="54">
        <v>100.0408</v>
      </c>
      <c r="DN343" s="54">
        <v>101.1238</v>
      </c>
      <c r="DO343" s="54">
        <v>101.30629999999999</v>
      </c>
      <c r="DP343" s="54">
        <v>100.81489999999999</v>
      </c>
      <c r="DQ343" s="54">
        <v>100.8961</v>
      </c>
      <c r="DR343" s="54">
        <v>26837</v>
      </c>
      <c r="DS343" s="96">
        <v>32780</v>
      </c>
      <c r="DT343" s="96">
        <v>104.5</v>
      </c>
      <c r="DU343">
        <v>175.576171875</v>
      </c>
      <c r="DV343">
        <v>113.25939178466797</v>
      </c>
      <c r="DW343" s="56">
        <v>1196</v>
      </c>
      <c r="DX343" s="56">
        <v>324900</v>
      </c>
      <c r="DY343" s="56">
        <v>94.7</v>
      </c>
      <c r="DZ343" t="s">
        <v>312</v>
      </c>
    </row>
    <row r="344" spans="1:130" x14ac:dyDescent="0.25">
      <c r="A344" s="1">
        <v>43191</v>
      </c>
      <c r="B344" s="34">
        <v>106.2</v>
      </c>
      <c r="C344" s="111">
        <v>-0.37</v>
      </c>
      <c r="D344" s="99">
        <v>0</v>
      </c>
      <c r="E344" s="34">
        <v>-0.33</v>
      </c>
      <c r="F344" s="34">
        <v>-0.26</v>
      </c>
      <c r="G344" s="34">
        <v>0.11</v>
      </c>
      <c r="H344" s="34">
        <v>0.48</v>
      </c>
      <c r="I344" s="34">
        <f t="shared" si="95"/>
        <v>0.85</v>
      </c>
      <c r="J344" s="34">
        <f t="shared" si="96"/>
        <v>0.48</v>
      </c>
      <c r="K344" s="34">
        <f t="shared" si="97"/>
        <v>0.81</v>
      </c>
      <c r="L344" s="34">
        <f t="shared" si="98"/>
        <v>0.37</v>
      </c>
      <c r="M344" s="34">
        <v>98.3</v>
      </c>
      <c r="N344" s="34">
        <v>12096.73</v>
      </c>
      <c r="O344" s="34">
        <v>15.68</v>
      </c>
      <c r="P344" s="64">
        <v>2084.1</v>
      </c>
      <c r="Q344" s="34">
        <f t="shared" si="92"/>
        <v>21.419321685508734</v>
      </c>
      <c r="R344" s="34">
        <v>2914.8</v>
      </c>
      <c r="S344" s="34">
        <f t="shared" si="93"/>
        <v>2995.6834532374105</v>
      </c>
      <c r="T344" s="34">
        <v>2948.4</v>
      </c>
      <c r="U344" s="34">
        <f t="shared" si="94"/>
        <v>3030.2158273381297</v>
      </c>
      <c r="V344" s="118">
        <v>220464</v>
      </c>
      <c r="W344" s="118">
        <v>7917301</v>
      </c>
      <c r="X344" s="119">
        <v>11338310</v>
      </c>
      <c r="Y344" s="119">
        <v>658709</v>
      </c>
      <c r="Z344" s="34">
        <v>101.6</v>
      </c>
      <c r="AA344" s="34">
        <v>96.3</v>
      </c>
      <c r="AB344" s="34">
        <v>94</v>
      </c>
      <c r="AC344" s="34">
        <v>96.3</v>
      </c>
      <c r="AD344" s="34">
        <v>44784</v>
      </c>
      <c r="AE344" s="34">
        <v>5.3</v>
      </c>
      <c r="AF344" s="34">
        <v>789</v>
      </c>
      <c r="AG344" s="34">
        <v>97.6</v>
      </c>
      <c r="AH344" s="34">
        <v>97.3</v>
      </c>
      <c r="AI344" s="64">
        <v>93.2</v>
      </c>
      <c r="AJ344" s="64">
        <v>94.5</v>
      </c>
      <c r="AK344" s="64">
        <v>176.36854199999999</v>
      </c>
      <c r="AL344" s="64">
        <v>89</v>
      </c>
      <c r="AM344" s="34">
        <v>113.03</v>
      </c>
      <c r="AN344" s="33">
        <v>165.52</v>
      </c>
      <c r="AO344" s="33">
        <v>111.01</v>
      </c>
      <c r="AP344" s="33">
        <v>58.63</v>
      </c>
      <c r="AQ344" s="34">
        <f t="shared" si="79"/>
        <v>0.62907725321888408</v>
      </c>
      <c r="AR344" s="34">
        <v>105.9</v>
      </c>
      <c r="AS344" s="34">
        <v>102.5</v>
      </c>
      <c r="AT344" s="34">
        <v>109.4</v>
      </c>
      <c r="AU344" s="34">
        <v>106.5</v>
      </c>
      <c r="AV344" s="34">
        <v>102.5</v>
      </c>
      <c r="AW344" s="34">
        <v>110.7</v>
      </c>
      <c r="AX344" s="34">
        <v>32.1</v>
      </c>
      <c r="AY344" s="34">
        <v>27.1</v>
      </c>
      <c r="AZ344" s="34">
        <v>26.2</v>
      </c>
      <c r="BA344" s="34">
        <v>16.399999999999999</v>
      </c>
      <c r="BB344" s="34">
        <v>102.8</v>
      </c>
      <c r="BC344" s="34">
        <v>100.6</v>
      </c>
      <c r="BD344" s="34">
        <v>105.1</v>
      </c>
      <c r="BE344" s="34">
        <v>87.9</v>
      </c>
      <c r="BF344" s="34">
        <v>-8.1999999999999993</v>
      </c>
      <c r="BG344" s="34">
        <v>37.4</v>
      </c>
      <c r="BH344" s="34">
        <v>126.9</v>
      </c>
      <c r="BI344" s="34">
        <v>47.4</v>
      </c>
      <c r="BJ344" s="34">
        <v>58.1</v>
      </c>
      <c r="BK344" s="34">
        <v>25.031791521186811</v>
      </c>
      <c r="BL344" s="34">
        <v>0.63400000000000001</v>
      </c>
      <c r="BM344" s="34">
        <v>101.18470000000001</v>
      </c>
      <c r="BN344" s="34">
        <v>101.0192</v>
      </c>
      <c r="BO344" s="34">
        <v>17.5</v>
      </c>
      <c r="BP344" s="34">
        <v>9.1999999999999993</v>
      </c>
      <c r="BQ344" s="34">
        <v>-2.2000000000000002</v>
      </c>
      <c r="BR344" s="34">
        <v>17.100000000000001</v>
      </c>
      <c r="BS344" s="34">
        <v>14.5</v>
      </c>
      <c r="BT344" s="34">
        <v>13.6</v>
      </c>
      <c r="BU344" s="34">
        <v>12.2</v>
      </c>
      <c r="BV344" s="34">
        <v>17.7</v>
      </c>
      <c r="BW344" s="34">
        <v>1.4</v>
      </c>
      <c r="BX344" s="34">
        <v>-4.8</v>
      </c>
      <c r="BY344" s="34">
        <v>17.2</v>
      </c>
      <c r="BZ344" s="34">
        <v>113</v>
      </c>
      <c r="CA344" s="34">
        <v>1.4</v>
      </c>
      <c r="CB344" s="34">
        <v>8.6999999999999993</v>
      </c>
      <c r="CC344" s="34">
        <v>8.9</v>
      </c>
      <c r="CD344" s="34">
        <v>1.4</v>
      </c>
      <c r="CE344" s="34">
        <v>-7.5</v>
      </c>
      <c r="CF344" s="34">
        <v>16.899999999999999</v>
      </c>
      <c r="CG344" s="34">
        <v>27.4</v>
      </c>
      <c r="CH344" s="34">
        <v>7.8</v>
      </c>
      <c r="CI344" s="34">
        <v>13.6</v>
      </c>
      <c r="CJ344" s="34">
        <v>-4.5</v>
      </c>
      <c r="CK344" s="34">
        <v>14.2</v>
      </c>
      <c r="CL344" s="34">
        <v>30.6</v>
      </c>
      <c r="CM344" s="34">
        <v>3457.61825</v>
      </c>
      <c r="CN344" s="34">
        <v>23644.19</v>
      </c>
      <c r="CO344" s="34">
        <v>2653.6252380000001</v>
      </c>
      <c r="CP344" s="34">
        <v>1.39</v>
      </c>
      <c r="CQ344" s="34">
        <v>2.73</v>
      </c>
      <c r="CR344" s="34">
        <v>88.4</v>
      </c>
      <c r="CS344" s="64">
        <v>50.92</v>
      </c>
      <c r="CT344" s="34">
        <v>109.5</v>
      </c>
      <c r="CU344" s="34">
        <v>110.6</v>
      </c>
      <c r="CV344" s="34">
        <v>114.2</v>
      </c>
      <c r="CW344" s="34">
        <v>109.6</v>
      </c>
      <c r="CX344" s="34">
        <v>117.1</v>
      </c>
      <c r="CY344" s="34">
        <v>9.43</v>
      </c>
      <c r="CZ344" s="34">
        <v>59023.13</v>
      </c>
      <c r="DA344" s="34">
        <v>5.54</v>
      </c>
      <c r="DB344" s="34">
        <v>34.049999999999997</v>
      </c>
      <c r="DC344" s="34">
        <v>58.67</v>
      </c>
      <c r="DD344" s="34">
        <v>17.47</v>
      </c>
      <c r="DE344" s="34">
        <v>17690.638999999999</v>
      </c>
      <c r="DF344" s="34">
        <v>2384.8679999999999</v>
      </c>
      <c r="DG344" s="34">
        <v>2138.1179999999999</v>
      </c>
      <c r="DH344" s="34">
        <v>1426.9059999999999</v>
      </c>
      <c r="DI344" s="34">
        <v>7429.0590000000002</v>
      </c>
      <c r="DJ344" s="34">
        <v>100.2445</v>
      </c>
      <c r="DK344" s="34">
        <v>100.2984</v>
      </c>
      <c r="DL344" s="34">
        <v>99.92</v>
      </c>
      <c r="DM344" s="34">
        <v>99.898300000000006</v>
      </c>
      <c r="DN344" s="34">
        <v>101.0192</v>
      </c>
      <c r="DO344" s="34">
        <v>101.18470000000001</v>
      </c>
      <c r="DP344" s="34">
        <v>100.8378</v>
      </c>
      <c r="DQ344" s="34">
        <v>100.9212</v>
      </c>
      <c r="DR344" s="34">
        <v>13315</v>
      </c>
      <c r="DS344" s="73">
        <v>32855</v>
      </c>
      <c r="DT344" s="73">
        <v>103.9</v>
      </c>
      <c r="DU344">
        <v>150.18455505371094</v>
      </c>
      <c r="DV344">
        <v>127.53606414794922</v>
      </c>
      <c r="DW344">
        <v>1055</v>
      </c>
      <c r="DX344">
        <v>383025</v>
      </c>
      <c r="DY344">
        <v>94.6</v>
      </c>
      <c r="DZ344" t="s">
        <v>312</v>
      </c>
    </row>
    <row r="345" spans="1:130" x14ac:dyDescent="0.25">
      <c r="A345" s="1">
        <v>43221</v>
      </c>
      <c r="B345" s="34">
        <v>108</v>
      </c>
      <c r="C345" s="111">
        <v>-0.36</v>
      </c>
      <c r="D345" s="99">
        <v>0</v>
      </c>
      <c r="E345" s="34">
        <v>-0.33</v>
      </c>
      <c r="F345" s="34">
        <v>-0.28999999999999998</v>
      </c>
      <c r="G345" s="34">
        <v>0.1</v>
      </c>
      <c r="H345" s="34">
        <v>0.45</v>
      </c>
      <c r="I345" s="34">
        <f t="shared" si="95"/>
        <v>0.81</v>
      </c>
      <c r="J345" s="34">
        <f t="shared" si="96"/>
        <v>0.45</v>
      </c>
      <c r="K345" s="34">
        <f t="shared" si="97"/>
        <v>0.78</v>
      </c>
      <c r="L345" s="34">
        <f t="shared" si="98"/>
        <v>0.36</v>
      </c>
      <c r="M345" s="34">
        <v>97.8</v>
      </c>
      <c r="N345" s="34">
        <v>12612.11</v>
      </c>
      <c r="O345" s="34">
        <v>16.53</v>
      </c>
      <c r="P345" s="64">
        <v>2111.9</v>
      </c>
      <c r="Q345" s="34">
        <f t="shared" si="92"/>
        <v>21.660512820512821</v>
      </c>
      <c r="R345" s="34">
        <v>2940.9</v>
      </c>
      <c r="S345" s="34">
        <f t="shared" si="93"/>
        <v>3016.3076923076924</v>
      </c>
      <c r="T345" s="34">
        <v>2976.8</v>
      </c>
      <c r="U345" s="34">
        <f t="shared" si="94"/>
        <v>3053.1282051282051</v>
      </c>
      <c r="V345" s="118">
        <v>222819</v>
      </c>
      <c r="W345" s="118">
        <v>7994225</v>
      </c>
      <c r="X345" s="119">
        <v>11421681</v>
      </c>
      <c r="Y345" s="119">
        <v>647980</v>
      </c>
      <c r="Z345" s="34">
        <v>103.9</v>
      </c>
      <c r="AA345" s="34">
        <v>97.8</v>
      </c>
      <c r="AB345" s="34">
        <v>96</v>
      </c>
      <c r="AC345" s="34">
        <v>99.3</v>
      </c>
      <c r="AD345" s="34">
        <v>44847</v>
      </c>
      <c r="AE345" s="34">
        <v>5.2</v>
      </c>
      <c r="AF345" s="34">
        <v>794</v>
      </c>
      <c r="AG345" s="34">
        <v>97.9</v>
      </c>
      <c r="AH345" s="34">
        <v>97.5</v>
      </c>
      <c r="AI345" s="64">
        <v>94.7</v>
      </c>
      <c r="AJ345" s="64">
        <v>95.1</v>
      </c>
      <c r="AK345" s="64">
        <v>177.345112</v>
      </c>
      <c r="AL345" s="64">
        <v>90</v>
      </c>
      <c r="AM345" s="34">
        <v>114.5</v>
      </c>
      <c r="AN345" s="33">
        <v>176.63</v>
      </c>
      <c r="AO345" s="33">
        <v>112.44</v>
      </c>
      <c r="AP345" s="33">
        <v>65.180000000000007</v>
      </c>
      <c r="AQ345" s="34">
        <f t="shared" si="79"/>
        <v>0.68827877507919755</v>
      </c>
      <c r="AR345" s="34">
        <v>105.4</v>
      </c>
      <c r="AS345" s="34">
        <v>100.3</v>
      </c>
      <c r="AT345" s="34">
        <v>110.8</v>
      </c>
      <c r="AU345" s="34">
        <v>105.6</v>
      </c>
      <c r="AV345" s="34">
        <v>100.3</v>
      </c>
      <c r="AW345" s="34">
        <v>111.1</v>
      </c>
      <c r="AX345" s="34">
        <v>30.1</v>
      </c>
      <c r="AY345" s="34">
        <v>8.3000000000000007</v>
      </c>
      <c r="AZ345" s="34">
        <v>24.8</v>
      </c>
      <c r="BA345" s="34">
        <v>17</v>
      </c>
      <c r="BB345" s="34">
        <v>104</v>
      </c>
      <c r="BC345" s="34">
        <v>99.9</v>
      </c>
      <c r="BD345" s="34">
        <v>108.4</v>
      </c>
      <c r="BE345" s="34">
        <v>87.4</v>
      </c>
      <c r="BF345" s="34">
        <v>-8.1999999999999993</v>
      </c>
      <c r="BG345" s="34">
        <v>37.4</v>
      </c>
      <c r="BH345" s="34">
        <v>128.9</v>
      </c>
      <c r="BI345" s="34">
        <v>11.9</v>
      </c>
      <c r="BJ345" s="34">
        <v>56.9</v>
      </c>
      <c r="BK345" s="34">
        <v>37.282381186449626</v>
      </c>
      <c r="BL345" s="34">
        <v>0.49199999999999999</v>
      </c>
      <c r="BM345" s="34">
        <v>101.072</v>
      </c>
      <c r="BN345" s="34">
        <v>100.9225</v>
      </c>
      <c r="BO345" s="34">
        <v>20</v>
      </c>
      <c r="BP345" s="34">
        <v>9.4</v>
      </c>
      <c r="BQ345" s="34">
        <v>-2.4</v>
      </c>
      <c r="BR345" s="34">
        <v>12.2</v>
      </c>
      <c r="BS345" s="34">
        <v>12.3</v>
      </c>
      <c r="BT345" s="34">
        <v>11.4</v>
      </c>
      <c r="BU345" s="34">
        <v>11.5</v>
      </c>
      <c r="BV345" s="34">
        <v>17.600000000000001</v>
      </c>
      <c r="BW345" s="34">
        <v>1.1000000000000001</v>
      </c>
      <c r="BX345" s="34">
        <v>-1.6</v>
      </c>
      <c r="BY345" s="34">
        <v>17.399999999999999</v>
      </c>
      <c r="BZ345" s="34">
        <v>112.6</v>
      </c>
      <c r="CA345" s="34">
        <v>1.1000000000000001</v>
      </c>
      <c r="CB345" s="34">
        <v>8.6999999999999993</v>
      </c>
      <c r="CC345" s="34">
        <v>9.1</v>
      </c>
      <c r="CD345" s="34">
        <v>1</v>
      </c>
      <c r="CE345" s="34">
        <v>-7.3</v>
      </c>
      <c r="CF345" s="34">
        <v>18.399999999999999</v>
      </c>
      <c r="CG345" s="34">
        <v>29.1</v>
      </c>
      <c r="CH345" s="34">
        <v>8.3000000000000007</v>
      </c>
      <c r="CI345" s="34">
        <v>12.9</v>
      </c>
      <c r="CJ345" s="34">
        <v>-6</v>
      </c>
      <c r="CK345" s="34">
        <v>13</v>
      </c>
      <c r="CL345" s="34">
        <v>29.7</v>
      </c>
      <c r="CM345" s="34">
        <v>3537.0865650000001</v>
      </c>
      <c r="CN345" s="34">
        <v>24099.05</v>
      </c>
      <c r="CO345" s="34">
        <v>2701.4936360000002</v>
      </c>
      <c r="CP345" s="34">
        <v>1.4379999999999999</v>
      </c>
      <c r="CQ345" s="34">
        <v>2.97</v>
      </c>
      <c r="CR345" s="34">
        <v>89.1</v>
      </c>
      <c r="CS345" s="64">
        <v>52.69</v>
      </c>
      <c r="CT345" s="34">
        <v>106.2</v>
      </c>
      <c r="CU345" s="34">
        <v>108.1</v>
      </c>
      <c r="CV345" s="34">
        <v>113.4</v>
      </c>
      <c r="CW345" s="34">
        <v>108.7</v>
      </c>
      <c r="CX345" s="34">
        <v>116.5</v>
      </c>
      <c r="CY345" s="34">
        <v>9.15</v>
      </c>
      <c r="CZ345" s="34">
        <v>58714.659</v>
      </c>
      <c r="DA345" s="34">
        <v>5.66</v>
      </c>
      <c r="DB345" s="34">
        <v>33.08</v>
      </c>
      <c r="DC345" s="34">
        <v>59.41</v>
      </c>
      <c r="DD345" s="34">
        <v>17.670000000000002</v>
      </c>
      <c r="DE345" s="34">
        <v>17729.754000000001</v>
      </c>
      <c r="DF345" s="34">
        <v>2139.299</v>
      </c>
      <c r="DG345" s="34">
        <v>2108.6469999999999</v>
      </c>
      <c r="DH345" s="34">
        <v>1580.2529999999999</v>
      </c>
      <c r="DI345" s="34">
        <v>7544.2139999999999</v>
      </c>
      <c r="DJ345" s="34">
        <v>100.1789</v>
      </c>
      <c r="DK345" s="34">
        <v>100.2116</v>
      </c>
      <c r="DL345" s="34">
        <v>99.78</v>
      </c>
      <c r="DM345" s="34">
        <v>99.727099999999993</v>
      </c>
      <c r="DN345" s="34">
        <v>100.9225</v>
      </c>
      <c r="DO345" s="34">
        <v>101.072</v>
      </c>
      <c r="DP345" s="34">
        <v>100.82210000000001</v>
      </c>
      <c r="DQ345" s="34">
        <v>100.90389999999999</v>
      </c>
      <c r="DR345" s="34">
        <v>11631</v>
      </c>
      <c r="DS345" s="73">
        <v>32903</v>
      </c>
      <c r="DT345" s="73">
        <v>104.5</v>
      </c>
      <c r="DU345">
        <v>224.51605224609375</v>
      </c>
      <c r="DV345">
        <v>178.88545227050781</v>
      </c>
      <c r="DW345">
        <v>1327</v>
      </c>
      <c r="DX345">
        <v>324225</v>
      </c>
      <c r="DY345">
        <v>97.3</v>
      </c>
      <c r="DZ345" t="s">
        <v>312</v>
      </c>
    </row>
    <row r="346" spans="1:130" s="56" customFormat="1" x14ac:dyDescent="0.25">
      <c r="A346" s="53">
        <v>43252</v>
      </c>
      <c r="B346" s="54">
        <v>107.5</v>
      </c>
      <c r="C346" s="112">
        <v>-0.36</v>
      </c>
      <c r="D346" s="98">
        <v>0</v>
      </c>
      <c r="E346" s="54">
        <v>-0.33</v>
      </c>
      <c r="F346" s="54">
        <v>-0.39</v>
      </c>
      <c r="G346" s="54">
        <v>-0.03</v>
      </c>
      <c r="H346" s="54">
        <v>0.33</v>
      </c>
      <c r="I346" s="54">
        <f t="shared" si="95"/>
        <v>0.69</v>
      </c>
      <c r="J346" s="54">
        <f t="shared" si="96"/>
        <v>0.33</v>
      </c>
      <c r="K346" s="54">
        <f t="shared" si="97"/>
        <v>0.66</v>
      </c>
      <c r="L346" s="54">
        <f t="shared" si="98"/>
        <v>0.36</v>
      </c>
      <c r="M346" s="54">
        <v>97.5</v>
      </c>
      <c r="N346" s="54">
        <v>12724.27</v>
      </c>
      <c r="O346" s="54">
        <v>19.28</v>
      </c>
      <c r="P346" s="64">
        <v>2113.5</v>
      </c>
      <c r="Q346" s="34">
        <f t="shared" si="92"/>
        <v>21.654713114754099</v>
      </c>
      <c r="R346" s="34">
        <v>2957.1</v>
      </c>
      <c r="S346" s="34">
        <f t="shared" si="93"/>
        <v>3029.8155737704919</v>
      </c>
      <c r="T346" s="34">
        <v>2990.7</v>
      </c>
      <c r="U346" s="34">
        <f t="shared" si="94"/>
        <v>3064.2418032786886</v>
      </c>
      <c r="V346" s="118">
        <v>224238</v>
      </c>
      <c r="W346" s="118">
        <v>8039727</v>
      </c>
      <c r="X346" s="119">
        <v>11493439</v>
      </c>
      <c r="Y346" s="119">
        <v>655536</v>
      </c>
      <c r="Z346" s="54">
        <v>103.5</v>
      </c>
      <c r="AA346" s="54">
        <v>95</v>
      </c>
      <c r="AB346" s="54">
        <v>101.6</v>
      </c>
      <c r="AC346" s="54">
        <v>94.2</v>
      </c>
      <c r="AD346" s="54">
        <v>44871</v>
      </c>
      <c r="AE346" s="54">
        <v>5.2</v>
      </c>
      <c r="AF346" s="54">
        <v>796</v>
      </c>
      <c r="AG346" s="54">
        <v>98</v>
      </c>
      <c r="AH346" s="54">
        <v>97.6</v>
      </c>
      <c r="AI346" s="64">
        <v>95.2</v>
      </c>
      <c r="AJ346" s="64">
        <v>95.3</v>
      </c>
      <c r="AK346" s="64">
        <v>177.93105399999999</v>
      </c>
      <c r="AL346" s="64">
        <v>89.1</v>
      </c>
      <c r="AM346" s="54">
        <v>114.74</v>
      </c>
      <c r="AN346" s="33">
        <v>176.97</v>
      </c>
      <c r="AO346" s="33">
        <v>109.91</v>
      </c>
      <c r="AP346" s="33">
        <v>64.91</v>
      </c>
      <c r="AQ346" s="54">
        <f t="shared" si="79"/>
        <v>0.68182773109243688</v>
      </c>
      <c r="AR346" s="54">
        <v>104.2</v>
      </c>
      <c r="AS346" s="54">
        <v>98.8</v>
      </c>
      <c r="AT346" s="54">
        <v>109.9</v>
      </c>
      <c r="AU346" s="54">
        <v>104.4</v>
      </c>
      <c r="AV346" s="54">
        <v>98.6</v>
      </c>
      <c r="AW346" s="54">
        <v>110.5</v>
      </c>
      <c r="AX346" s="54">
        <v>24.2</v>
      </c>
      <c r="AY346" s="54">
        <v>19.600000000000001</v>
      </c>
      <c r="AZ346" s="54">
        <v>25.9</v>
      </c>
      <c r="BA346" s="54">
        <v>12.6</v>
      </c>
      <c r="BB346" s="54">
        <v>103.4</v>
      </c>
      <c r="BC346" s="54">
        <v>99</v>
      </c>
      <c r="BD346" s="54">
        <v>108</v>
      </c>
      <c r="BE346" s="54">
        <v>80.599999999999994</v>
      </c>
      <c r="BF346" s="54">
        <v>-16.100000000000001</v>
      </c>
      <c r="BG346" s="54">
        <v>23.3</v>
      </c>
      <c r="BH346" s="54">
        <v>130.69999999999999</v>
      </c>
      <c r="BI346" s="54">
        <v>3.4</v>
      </c>
      <c r="BJ346" s="34">
        <v>55.9</v>
      </c>
      <c r="BK346" s="54">
        <v>41.690430371935946</v>
      </c>
      <c r="BL346" s="54">
        <v>0.433</v>
      </c>
      <c r="BM346" s="54">
        <v>100.976</v>
      </c>
      <c r="BN346" s="54">
        <v>100.84</v>
      </c>
      <c r="BO346" s="54">
        <v>18.2</v>
      </c>
      <c r="BP346" s="54">
        <v>8.4</v>
      </c>
      <c r="BQ346" s="54">
        <v>-2.1</v>
      </c>
      <c r="BR346" s="54">
        <v>15.5</v>
      </c>
      <c r="BS346" s="54">
        <v>14.9</v>
      </c>
      <c r="BT346" s="54">
        <v>12.4</v>
      </c>
      <c r="BU346" s="54">
        <v>12</v>
      </c>
      <c r="BV346" s="54">
        <v>16.100000000000001</v>
      </c>
      <c r="BW346" s="54">
        <v>1.4</v>
      </c>
      <c r="BX346" s="54">
        <v>-6.4</v>
      </c>
      <c r="BY346" s="54">
        <v>16.399999999999999</v>
      </c>
      <c r="BZ346" s="54">
        <v>112.5</v>
      </c>
      <c r="CA346" s="54">
        <v>1.4</v>
      </c>
      <c r="CB346" s="54">
        <v>9.8000000000000007</v>
      </c>
      <c r="CC346" s="54">
        <v>10.5</v>
      </c>
      <c r="CD346" s="54">
        <v>0</v>
      </c>
      <c r="CE346" s="54">
        <v>-10.4</v>
      </c>
      <c r="CF346" s="54">
        <v>23.1</v>
      </c>
      <c r="CG346" s="54">
        <v>33.799999999999997</v>
      </c>
      <c r="CH346" s="54">
        <v>8.1</v>
      </c>
      <c r="CI346" s="54">
        <v>12.1</v>
      </c>
      <c r="CJ346" s="54">
        <v>-4.4000000000000004</v>
      </c>
      <c r="CK346" s="54">
        <v>12.5</v>
      </c>
      <c r="CL346" s="54">
        <v>28.8</v>
      </c>
      <c r="CM346" s="54">
        <v>3442.768</v>
      </c>
      <c r="CN346" s="54">
        <v>24635.21</v>
      </c>
      <c r="CO346" s="54">
        <v>2754.3528569999999</v>
      </c>
      <c r="CP346" s="54">
        <v>1.3260000000000001</v>
      </c>
      <c r="CQ346" s="54">
        <v>2.89</v>
      </c>
      <c r="CR346" s="54">
        <v>86.3</v>
      </c>
      <c r="CS346" s="64">
        <v>49.02</v>
      </c>
      <c r="CT346" s="54">
        <v>107.2</v>
      </c>
      <c r="CU346" s="54">
        <v>109.4</v>
      </c>
      <c r="CV346" s="54">
        <v>113.8</v>
      </c>
      <c r="CW346" s="54">
        <v>108.8</v>
      </c>
      <c r="CX346" s="54">
        <v>119.8</v>
      </c>
      <c r="CY346" s="54">
        <v>9.73</v>
      </c>
      <c r="CZ346" s="54">
        <v>60680.911</v>
      </c>
      <c r="DA346" s="54">
        <v>5.14</v>
      </c>
      <c r="DB346" s="54">
        <v>33.79</v>
      </c>
      <c r="DC346" s="54">
        <v>58.02</v>
      </c>
      <c r="DD346" s="54">
        <v>17.489999999999998</v>
      </c>
      <c r="DE346" s="54">
        <v>19062.486000000001</v>
      </c>
      <c r="DF346" s="54">
        <v>2553.1680000000001</v>
      </c>
      <c r="DG346" s="54">
        <v>2375.5509999999999</v>
      </c>
      <c r="DH346" s="54">
        <v>1661.771</v>
      </c>
      <c r="DI346" s="54">
        <v>8241.5</v>
      </c>
      <c r="DJ346" s="54">
        <v>100.09269999999999</v>
      </c>
      <c r="DK346" s="54">
        <v>100.09910000000001</v>
      </c>
      <c r="DL346" s="54">
        <v>99.62</v>
      </c>
      <c r="DM346" s="54">
        <v>99.522099999999995</v>
      </c>
      <c r="DN346" s="54">
        <v>100.84</v>
      </c>
      <c r="DO346" s="54">
        <v>100.976</v>
      </c>
      <c r="DP346" s="54">
        <v>100.77809999999999</v>
      </c>
      <c r="DQ346" s="54">
        <v>100.8556</v>
      </c>
      <c r="DR346" s="54">
        <v>16466</v>
      </c>
      <c r="DS346" s="96">
        <v>32953</v>
      </c>
      <c r="DT346" s="96">
        <v>104.1</v>
      </c>
      <c r="DU346">
        <v>233.21188354492188</v>
      </c>
      <c r="DV346">
        <v>209.00205993652344</v>
      </c>
      <c r="DW346" s="56">
        <v>1156</v>
      </c>
      <c r="DX346" s="56">
        <v>315350</v>
      </c>
      <c r="DY346" s="56">
        <v>96.1</v>
      </c>
      <c r="DZ346" t="s">
        <v>312</v>
      </c>
    </row>
    <row r="347" spans="1:130" x14ac:dyDescent="0.25">
      <c r="A347" s="1">
        <v>43282</v>
      </c>
      <c r="B347" s="34">
        <v>106</v>
      </c>
      <c r="C347" s="111">
        <v>-0.36</v>
      </c>
      <c r="D347" s="99">
        <v>0</v>
      </c>
      <c r="E347" s="34">
        <v>-0.32</v>
      </c>
      <c r="F347" s="34">
        <v>-0.41</v>
      </c>
      <c r="G347" s="34">
        <v>-0.09</v>
      </c>
      <c r="H347" s="34">
        <v>0.28000000000000003</v>
      </c>
      <c r="I347" s="34">
        <f t="shared" si="95"/>
        <v>0.64</v>
      </c>
      <c r="J347" s="34">
        <f t="shared" si="96"/>
        <v>0.28000000000000003</v>
      </c>
      <c r="K347" s="34">
        <f t="shared" si="97"/>
        <v>0.60000000000000009</v>
      </c>
      <c r="L347" s="34">
        <f t="shared" si="98"/>
        <v>0.36</v>
      </c>
      <c r="M347" s="34">
        <v>97.4</v>
      </c>
      <c r="N347" s="34">
        <v>12238.17</v>
      </c>
      <c r="O347" s="34">
        <v>15.59</v>
      </c>
      <c r="P347" s="64">
        <v>2120.4</v>
      </c>
      <c r="Q347" s="34">
        <f t="shared" si="92"/>
        <v>21.747692307692308</v>
      </c>
      <c r="R347" s="34">
        <v>2955.8</v>
      </c>
      <c r="S347" s="34">
        <f t="shared" si="93"/>
        <v>3031.5897435897436</v>
      </c>
      <c r="T347" s="34">
        <v>2988.2</v>
      </c>
      <c r="U347" s="34">
        <f t="shared" si="94"/>
        <v>3064.8205128205127</v>
      </c>
      <c r="V347" s="118">
        <v>224693</v>
      </c>
      <c r="W347" s="118">
        <v>8059263</v>
      </c>
      <c r="X347" s="119">
        <v>11495367</v>
      </c>
      <c r="Y347" s="119">
        <v>638318</v>
      </c>
      <c r="Z347" s="34">
        <v>102.6</v>
      </c>
      <c r="AA347" s="34">
        <v>94.9</v>
      </c>
      <c r="AB347" s="34">
        <v>102.4</v>
      </c>
      <c r="AC347" s="34">
        <v>94.1</v>
      </c>
      <c r="AD347" s="34">
        <v>44913</v>
      </c>
      <c r="AE347" s="34">
        <v>5.2</v>
      </c>
      <c r="AF347" s="34">
        <v>802</v>
      </c>
      <c r="AG347" s="34">
        <v>98</v>
      </c>
      <c r="AH347" s="34">
        <v>97.5</v>
      </c>
      <c r="AI347" s="64">
        <v>95.3</v>
      </c>
      <c r="AJ347" s="64">
        <v>95.4</v>
      </c>
      <c r="AK347" s="64">
        <v>178.32168200000001</v>
      </c>
      <c r="AL347" s="64">
        <v>113.4</v>
      </c>
      <c r="AM347" s="34">
        <v>108</v>
      </c>
      <c r="AN347" s="33">
        <v>177.84</v>
      </c>
      <c r="AO347" s="33">
        <v>104.23</v>
      </c>
      <c r="AP347" s="33">
        <v>64.38</v>
      </c>
      <c r="AQ347" s="34">
        <f t="shared" si="79"/>
        <v>0.67555089192025186</v>
      </c>
      <c r="AR347" s="34">
        <v>104.4</v>
      </c>
      <c r="AS347" s="34">
        <v>99</v>
      </c>
      <c r="AT347" s="34">
        <v>110.2</v>
      </c>
      <c r="AU347" s="34">
        <v>104</v>
      </c>
      <c r="AV347" s="34">
        <v>98.7</v>
      </c>
      <c r="AW347" s="34">
        <v>109.7</v>
      </c>
      <c r="AX347" s="34">
        <v>22.6</v>
      </c>
      <c r="AY347" s="34">
        <v>11.3</v>
      </c>
      <c r="AZ347" s="34">
        <v>24.7</v>
      </c>
      <c r="BA347" s="34">
        <v>13.1</v>
      </c>
      <c r="BB347" s="34">
        <v>102.6</v>
      </c>
      <c r="BC347" s="34">
        <v>97.2</v>
      </c>
      <c r="BD347" s="34">
        <v>108.3</v>
      </c>
      <c r="BE347" s="34">
        <v>72.400000000000006</v>
      </c>
      <c r="BF347" s="34">
        <v>-24.7</v>
      </c>
      <c r="BG347" s="34">
        <v>15.7</v>
      </c>
      <c r="BH347" s="34">
        <v>130.69999999999999</v>
      </c>
      <c r="BI347" s="34">
        <v>0.9</v>
      </c>
      <c r="BJ347" s="34">
        <v>56.9</v>
      </c>
      <c r="BK347" s="34">
        <v>39.889771164024211</v>
      </c>
      <c r="BL347" s="34">
        <v>0.44400000000000001</v>
      </c>
      <c r="BM347" s="34">
        <v>100.9029</v>
      </c>
      <c r="BN347" s="34">
        <v>100.77719999999999</v>
      </c>
      <c r="BO347" s="34">
        <v>17.100000000000001</v>
      </c>
      <c r="BP347" s="34">
        <v>7.3</v>
      </c>
      <c r="BQ347" s="34">
        <v>0.4</v>
      </c>
      <c r="BR347" s="34">
        <v>14.5</v>
      </c>
      <c r="BS347" s="34">
        <v>15.8</v>
      </c>
      <c r="BT347" s="34">
        <v>11</v>
      </c>
      <c r="BU347" s="34">
        <v>10.4</v>
      </c>
      <c r="BV347" s="34">
        <v>22.8</v>
      </c>
      <c r="BW347" s="34">
        <v>0.3</v>
      </c>
      <c r="BX347" s="34">
        <v>-7</v>
      </c>
      <c r="BY347" s="34">
        <v>20.399999999999999</v>
      </c>
      <c r="BZ347" s="34">
        <v>113.4</v>
      </c>
      <c r="CA347" s="34">
        <v>0.3</v>
      </c>
      <c r="CB347" s="34">
        <v>9.5</v>
      </c>
      <c r="CC347" s="34">
        <v>9.6999999999999993</v>
      </c>
      <c r="CD347" s="34">
        <v>-3.6</v>
      </c>
      <c r="CE347" s="34">
        <v>-11.7</v>
      </c>
      <c r="CF347" s="34">
        <v>24.7</v>
      </c>
      <c r="CG347" s="34">
        <v>33.5</v>
      </c>
      <c r="CH347" s="34">
        <v>7.4</v>
      </c>
      <c r="CI347" s="34">
        <v>11.6</v>
      </c>
      <c r="CJ347" s="34">
        <v>-6.5</v>
      </c>
      <c r="CK347" s="34">
        <v>14.2</v>
      </c>
      <c r="CL347" s="34">
        <v>30.5</v>
      </c>
      <c r="CM347" s="34">
        <v>3460.8866819999998</v>
      </c>
      <c r="CN347" s="34">
        <v>24307.18</v>
      </c>
      <c r="CO347" s="34">
        <v>2793.643333</v>
      </c>
      <c r="CP347" s="34">
        <v>1.3069999999999999</v>
      </c>
      <c r="CQ347" s="34">
        <v>2.87</v>
      </c>
      <c r="CR347" s="34">
        <v>87.3</v>
      </c>
      <c r="CS347" s="64">
        <v>50.62</v>
      </c>
      <c r="CT347" s="34">
        <v>106.6</v>
      </c>
      <c r="CU347" s="34">
        <v>106.8</v>
      </c>
      <c r="CV347" s="34">
        <v>113.5</v>
      </c>
      <c r="CW347" s="34">
        <v>106.2</v>
      </c>
      <c r="CX347" s="34">
        <v>121.9</v>
      </c>
      <c r="CY347" s="34">
        <v>9.4700000000000006</v>
      </c>
      <c r="CZ347" s="34">
        <v>57812.500999999997</v>
      </c>
      <c r="DA347" s="34">
        <v>5.47</v>
      </c>
      <c r="DB347" s="34">
        <v>35.72</v>
      </c>
      <c r="DC347" s="34">
        <v>58.87</v>
      </c>
      <c r="DD347" s="34">
        <v>16.98</v>
      </c>
      <c r="DE347" s="34">
        <v>18802.314999999999</v>
      </c>
      <c r="DF347" s="34">
        <v>2347.3090000000002</v>
      </c>
      <c r="DG347" s="34">
        <v>2250.17</v>
      </c>
      <c r="DH347" s="34">
        <v>2000.45</v>
      </c>
      <c r="DI347" s="34">
        <v>7961.84</v>
      </c>
      <c r="DJ347" s="34">
        <v>99.992500000000007</v>
      </c>
      <c r="DK347" s="34">
        <v>99.969399999999993</v>
      </c>
      <c r="DL347" s="34">
        <v>99.44</v>
      </c>
      <c r="DM347" s="34">
        <v>99.295900000000003</v>
      </c>
      <c r="DN347" s="34">
        <v>100.77719999999999</v>
      </c>
      <c r="DO347" s="34">
        <v>100.9029</v>
      </c>
      <c r="DP347" s="34">
        <v>100.7086</v>
      </c>
      <c r="DQ347" s="34">
        <v>100.7791</v>
      </c>
      <c r="DR347" s="34">
        <v>13954</v>
      </c>
      <c r="DS347" s="73">
        <v>33031</v>
      </c>
      <c r="DT347" s="73">
        <v>104.4</v>
      </c>
      <c r="DU347">
        <v>208.27210998535156</v>
      </c>
      <c r="DV347">
        <v>219.13716125488281</v>
      </c>
      <c r="DW347">
        <v>1422</v>
      </c>
      <c r="DX347">
        <v>286525</v>
      </c>
      <c r="DY347">
        <v>95.8</v>
      </c>
      <c r="DZ347" t="s">
        <v>312</v>
      </c>
    </row>
    <row r="348" spans="1:130" x14ac:dyDescent="0.25">
      <c r="A348" s="1">
        <v>43313</v>
      </c>
      <c r="B348" s="34">
        <v>107.2</v>
      </c>
      <c r="C348" s="111">
        <v>-0.36</v>
      </c>
      <c r="D348" s="99">
        <v>0</v>
      </c>
      <c r="E348" s="34">
        <v>-0.32</v>
      </c>
      <c r="F348" s="34">
        <v>-0.39</v>
      </c>
      <c r="G348" s="34">
        <v>-0.05</v>
      </c>
      <c r="H348" s="34">
        <v>0.28999999999999998</v>
      </c>
      <c r="I348" s="34">
        <f t="shared" si="95"/>
        <v>0.64999999999999991</v>
      </c>
      <c r="J348" s="34">
        <f t="shared" si="96"/>
        <v>0.28999999999999998</v>
      </c>
      <c r="K348" s="34">
        <f t="shared" si="97"/>
        <v>0.61</v>
      </c>
      <c r="L348" s="34">
        <f t="shared" si="98"/>
        <v>0.36</v>
      </c>
      <c r="M348" s="34">
        <v>97.2</v>
      </c>
      <c r="N348" s="34">
        <v>12737.05</v>
      </c>
      <c r="O348" s="34">
        <v>16.78</v>
      </c>
      <c r="P348" s="64">
        <v>2118.8000000000002</v>
      </c>
      <c r="Q348" s="34">
        <f t="shared" si="92"/>
        <v>21.686796315250771</v>
      </c>
      <c r="R348" s="34">
        <v>2952.1</v>
      </c>
      <c r="S348" s="34">
        <f t="shared" si="93"/>
        <v>3021.596724667349</v>
      </c>
      <c r="T348" s="34">
        <v>2985.5</v>
      </c>
      <c r="U348" s="34">
        <f t="shared" si="94"/>
        <v>3055.7830092118729</v>
      </c>
      <c r="V348" s="118">
        <v>227485</v>
      </c>
      <c r="W348" s="118">
        <v>8090032</v>
      </c>
      <c r="X348" s="119">
        <v>11513477</v>
      </c>
      <c r="Y348" s="119">
        <v>645613</v>
      </c>
      <c r="Z348" s="34">
        <v>102.8</v>
      </c>
      <c r="AA348" s="34">
        <v>96.1</v>
      </c>
      <c r="AB348" s="34">
        <v>97.8</v>
      </c>
      <c r="AC348" s="34">
        <v>96.4</v>
      </c>
      <c r="AD348" s="34">
        <v>44963</v>
      </c>
      <c r="AE348" s="34">
        <v>5.0999999999999996</v>
      </c>
      <c r="AF348" s="34">
        <v>801</v>
      </c>
      <c r="AG348" s="34">
        <v>98.3</v>
      </c>
      <c r="AH348" s="34">
        <v>97.7</v>
      </c>
      <c r="AI348" s="64">
        <v>95.5</v>
      </c>
      <c r="AJ348" s="64">
        <v>95.7</v>
      </c>
      <c r="AK348" s="64">
        <v>178.71231</v>
      </c>
      <c r="AL348" s="64">
        <v>89.1</v>
      </c>
      <c r="AM348" s="34">
        <v>104.83</v>
      </c>
      <c r="AN348" s="33">
        <v>177.61</v>
      </c>
      <c r="AO348" s="33">
        <v>102.16</v>
      </c>
      <c r="AP348" s="33">
        <v>63.93</v>
      </c>
      <c r="AQ348" s="34">
        <f t="shared" si="79"/>
        <v>0.66942408376963347</v>
      </c>
      <c r="AR348" s="34">
        <v>105.2</v>
      </c>
      <c r="AS348" s="34">
        <v>100.9</v>
      </c>
      <c r="AT348" s="34">
        <v>109.7</v>
      </c>
      <c r="AU348" s="34">
        <v>104.9</v>
      </c>
      <c r="AV348" s="34">
        <v>101.1</v>
      </c>
      <c r="AW348" s="34">
        <v>108.8</v>
      </c>
      <c r="AX348" s="34">
        <v>26.4</v>
      </c>
      <c r="AY348" s="34">
        <v>11.6</v>
      </c>
      <c r="AZ348" s="34">
        <v>24.4</v>
      </c>
      <c r="BA348" s="34">
        <v>14.2</v>
      </c>
      <c r="BB348" s="34">
        <v>103.7</v>
      </c>
      <c r="BC348" s="34">
        <v>99</v>
      </c>
      <c r="BD348" s="34">
        <v>108.6</v>
      </c>
      <c r="BE348" s="34">
        <v>72.599999999999994</v>
      </c>
      <c r="BF348" s="34">
        <v>-13.7</v>
      </c>
      <c r="BG348" s="34">
        <v>22.2</v>
      </c>
      <c r="BH348" s="34">
        <v>132</v>
      </c>
      <c r="BI348" s="34">
        <v>8.1</v>
      </c>
      <c r="BJ348" s="34">
        <v>55.9</v>
      </c>
      <c r="BK348" s="34">
        <v>52.261806167014761</v>
      </c>
      <c r="BL348" s="34">
        <v>0.42399999999999999</v>
      </c>
      <c r="BM348" s="34">
        <v>100.83110000000001</v>
      </c>
      <c r="BN348" s="34">
        <v>100.71550000000001</v>
      </c>
      <c r="BO348" s="34">
        <v>16.100000000000001</v>
      </c>
      <c r="BP348" s="34">
        <v>6.7</v>
      </c>
      <c r="BQ348" s="34">
        <v>2.1</v>
      </c>
      <c r="BR348" s="34">
        <v>14.8</v>
      </c>
      <c r="BS348" s="34">
        <v>16.3</v>
      </c>
      <c r="BT348" s="34">
        <v>9.6</v>
      </c>
      <c r="BU348" s="34">
        <v>9.6</v>
      </c>
      <c r="BV348" s="34">
        <v>21.7</v>
      </c>
      <c r="BW348" s="34">
        <v>0.6</v>
      </c>
      <c r="BX348" s="34">
        <v>-5.5</v>
      </c>
      <c r="BY348" s="34">
        <v>18.8</v>
      </c>
      <c r="BZ348" s="34">
        <v>112.8</v>
      </c>
      <c r="CA348" s="34">
        <v>0.6</v>
      </c>
      <c r="CB348" s="34">
        <v>9.8000000000000007</v>
      </c>
      <c r="CC348" s="34">
        <v>9</v>
      </c>
      <c r="CD348" s="34">
        <v>-0.7</v>
      </c>
      <c r="CE348" s="34">
        <v>-11.2</v>
      </c>
      <c r="CF348" s="34">
        <v>22.8</v>
      </c>
      <c r="CG348" s="34">
        <v>34.4</v>
      </c>
      <c r="CH348" s="34">
        <v>7.1</v>
      </c>
      <c r="CI348" s="34">
        <v>12.6</v>
      </c>
      <c r="CJ348" s="34">
        <v>-5.4</v>
      </c>
      <c r="CK348" s="34">
        <v>13.8</v>
      </c>
      <c r="CL348" s="34">
        <v>30.2</v>
      </c>
      <c r="CM348" s="34">
        <v>3436.828043</v>
      </c>
      <c r="CN348" s="34">
        <v>25333.82</v>
      </c>
      <c r="CO348" s="34">
        <v>2857.8204350000001</v>
      </c>
      <c r="CP348" s="34">
        <v>1.425</v>
      </c>
      <c r="CQ348" s="34">
        <v>3</v>
      </c>
      <c r="CR348" s="34">
        <v>87.1</v>
      </c>
      <c r="CS348" s="64">
        <v>50.76</v>
      </c>
      <c r="CT348" s="34">
        <v>104.6</v>
      </c>
      <c r="CU348" s="34">
        <v>105.5</v>
      </c>
      <c r="CV348" s="34">
        <v>111.8</v>
      </c>
      <c r="CW348" s="34">
        <v>105.8</v>
      </c>
      <c r="CX348" s="34">
        <v>115.2</v>
      </c>
      <c r="CY348" s="34">
        <v>9.61</v>
      </c>
      <c r="CZ348" s="34">
        <v>53116.531999999999</v>
      </c>
      <c r="DA348" s="34">
        <v>5.33</v>
      </c>
      <c r="DB348" s="34">
        <v>34.65</v>
      </c>
      <c r="DC348" s="34">
        <v>57.68</v>
      </c>
      <c r="DD348" s="34">
        <v>16.63</v>
      </c>
      <c r="DE348" s="34">
        <v>18847.510999999999</v>
      </c>
      <c r="DF348" s="34">
        <v>2328.5430000000001</v>
      </c>
      <c r="DG348" s="34">
        <v>2217.16</v>
      </c>
      <c r="DH348" s="34">
        <v>1771.8430000000001</v>
      </c>
      <c r="DI348" s="34">
        <v>7840.6809999999996</v>
      </c>
      <c r="DJ348" s="34">
        <v>99.886799999999994</v>
      </c>
      <c r="DK348" s="34">
        <v>99.833200000000005</v>
      </c>
      <c r="DL348" s="34">
        <v>99.26</v>
      </c>
      <c r="DM348" s="34">
        <v>99.066800000000001</v>
      </c>
      <c r="DN348" s="34">
        <v>100.71550000000001</v>
      </c>
      <c r="DO348" s="34">
        <v>100.83110000000001</v>
      </c>
      <c r="DP348" s="34">
        <v>100.61620000000001</v>
      </c>
      <c r="DQ348" s="34">
        <v>100.67749999999999</v>
      </c>
      <c r="DR348" s="34">
        <v>32697</v>
      </c>
      <c r="DS348" s="73">
        <v>33103</v>
      </c>
      <c r="DT348" s="73">
        <v>105</v>
      </c>
      <c r="DU348">
        <v>166.83116149902344</v>
      </c>
      <c r="DV348">
        <v>174.67610168457031</v>
      </c>
      <c r="DW348">
        <v>1760</v>
      </c>
      <c r="DX348">
        <v>251450</v>
      </c>
      <c r="DY348">
        <v>96.3</v>
      </c>
      <c r="DZ348" t="s">
        <v>312</v>
      </c>
    </row>
    <row r="349" spans="1:130" s="56" customFormat="1" x14ac:dyDescent="0.25">
      <c r="A349" s="53">
        <v>43344</v>
      </c>
      <c r="B349" s="54">
        <v>106.5</v>
      </c>
      <c r="C349" s="112">
        <v>-0.36</v>
      </c>
      <c r="D349" s="98">
        <v>0</v>
      </c>
      <c r="E349" s="54">
        <v>-0.32</v>
      </c>
      <c r="F349" s="54">
        <v>-0.3</v>
      </c>
      <c r="G349" s="54">
        <v>0.02</v>
      </c>
      <c r="H349" s="54">
        <v>0.37</v>
      </c>
      <c r="I349" s="54">
        <f t="shared" ref="I349:I357" si="99">IF(ISNUMBER(C349),IF(ISNUMBER(H349),H349-C349,""),"")</f>
        <v>0.73</v>
      </c>
      <c r="J349" s="54">
        <f t="shared" ref="J349:J357" si="100">IF(ISNUMBER(D349),IF(ISNUMBER(H349),H349-D349,""),"")</f>
        <v>0.37</v>
      </c>
      <c r="K349" s="54">
        <f t="shared" ref="K349:K357" si="101">IF(ISNUMBER(H349),IF(ISNUMBER(E349),H349-E349,""),"")</f>
        <v>0.69</v>
      </c>
      <c r="L349" s="54">
        <f t="shared" ref="L349:L357" si="102">IF(ISNUMBER(D349),IF(ISNUMBER(C349),D349-C349,""),"")</f>
        <v>0.36</v>
      </c>
      <c r="M349" s="54">
        <v>97.7</v>
      </c>
      <c r="N349" s="54">
        <v>12346.41</v>
      </c>
      <c r="O349" s="54">
        <v>14.65</v>
      </c>
      <c r="P349" s="64">
        <v>2148.6999999999998</v>
      </c>
      <c r="Q349" s="34">
        <f t="shared" si="92"/>
        <v>21.925510204081633</v>
      </c>
      <c r="R349" s="34">
        <v>2981.7</v>
      </c>
      <c r="S349" s="34">
        <f t="shared" si="93"/>
        <v>3042.5510204081634</v>
      </c>
      <c r="T349" s="34">
        <v>3014</v>
      </c>
      <c r="U349" s="34">
        <f t="shared" si="94"/>
        <v>3075.5102040816328</v>
      </c>
      <c r="V349" s="118">
        <v>231462</v>
      </c>
      <c r="W349" s="118">
        <v>8147600</v>
      </c>
      <c r="X349" s="119">
        <v>11560774</v>
      </c>
      <c r="Y349" s="119">
        <v>631954</v>
      </c>
      <c r="Z349" s="54">
        <v>102.2</v>
      </c>
      <c r="AA349" s="54">
        <v>96.3</v>
      </c>
      <c r="AB349" s="54">
        <v>98.2</v>
      </c>
      <c r="AC349" s="54">
        <v>97</v>
      </c>
      <c r="AD349" s="54">
        <v>44962</v>
      </c>
      <c r="AE349" s="54">
        <v>5.0999999999999996</v>
      </c>
      <c r="AF349" s="54">
        <v>806</v>
      </c>
      <c r="AG349" s="54">
        <v>98.7</v>
      </c>
      <c r="AH349" s="54">
        <v>98</v>
      </c>
      <c r="AI349" s="64">
        <v>95.9</v>
      </c>
      <c r="AJ349" s="64">
        <v>95.9</v>
      </c>
      <c r="AK349" s="64">
        <v>179.68888000000001</v>
      </c>
      <c r="AL349" s="64">
        <v>89.2</v>
      </c>
      <c r="AM349" s="54">
        <v>103.17</v>
      </c>
      <c r="AN349" s="33">
        <v>189.39</v>
      </c>
      <c r="AO349" s="33">
        <v>100.12</v>
      </c>
      <c r="AP349" s="33">
        <v>67.84</v>
      </c>
      <c r="AQ349" s="54">
        <f t="shared" ref="AQ349:AQ355" si="103">IF(ISNUMBER(AI349),AP349/$AI349,"")</f>
        <v>0.7074035453597497</v>
      </c>
      <c r="AR349" s="54">
        <v>105.3</v>
      </c>
      <c r="AS349" s="54">
        <v>101.6</v>
      </c>
      <c r="AT349" s="54">
        <v>109.2</v>
      </c>
      <c r="AU349" s="54">
        <v>104.6</v>
      </c>
      <c r="AV349" s="54">
        <v>101.6</v>
      </c>
      <c r="AW349" s="54">
        <v>107.7</v>
      </c>
      <c r="AX349" s="54">
        <v>22.8</v>
      </c>
      <c r="AY349" s="54">
        <v>12.1</v>
      </c>
      <c r="AZ349" s="54">
        <v>23.7</v>
      </c>
      <c r="BA349" s="54">
        <v>18.8</v>
      </c>
      <c r="BB349" s="54">
        <v>103.5</v>
      </c>
      <c r="BC349" s="54">
        <v>99.3</v>
      </c>
      <c r="BD349" s="54">
        <v>108</v>
      </c>
      <c r="BE349" s="54">
        <v>76</v>
      </c>
      <c r="BF349" s="54">
        <v>-10.6</v>
      </c>
      <c r="BG349" s="54">
        <v>27.1</v>
      </c>
      <c r="BH349" s="54">
        <v>135</v>
      </c>
      <c r="BI349" s="54">
        <v>1</v>
      </c>
      <c r="BJ349" s="34">
        <v>53.7</v>
      </c>
      <c r="BK349" s="54">
        <v>43.633945026918347</v>
      </c>
      <c r="BL349" s="54">
        <v>0.41699999999999998</v>
      </c>
      <c r="BM349" s="54">
        <v>100.738</v>
      </c>
      <c r="BN349" s="54">
        <v>100.63549999999999</v>
      </c>
      <c r="BO349" s="54">
        <v>16</v>
      </c>
      <c r="BP349" s="54">
        <v>6.2</v>
      </c>
      <c r="BQ349" s="54">
        <v>4.5999999999999996</v>
      </c>
      <c r="BR349" s="54">
        <v>16.100000000000001</v>
      </c>
      <c r="BS349" s="54">
        <v>16.899999999999999</v>
      </c>
      <c r="BT349" s="54">
        <v>11.1</v>
      </c>
      <c r="BU349" s="54">
        <v>9.1</v>
      </c>
      <c r="BV349" s="54">
        <v>22.4</v>
      </c>
      <c r="BW349" s="54">
        <v>0.2</v>
      </c>
      <c r="BX349" s="54">
        <v>-1.7</v>
      </c>
      <c r="BY349" s="54">
        <v>18.8</v>
      </c>
      <c r="BZ349" s="54">
        <v>112.7</v>
      </c>
      <c r="CA349" s="54">
        <v>0.2</v>
      </c>
      <c r="CB349" s="54">
        <v>11.1</v>
      </c>
      <c r="CC349" s="54">
        <v>9.3000000000000007</v>
      </c>
      <c r="CD349" s="54">
        <v>0.3</v>
      </c>
      <c r="CE349" s="54">
        <v>-10.7</v>
      </c>
      <c r="CF349" s="54">
        <v>25</v>
      </c>
      <c r="CG349" s="54">
        <v>35.5</v>
      </c>
      <c r="CH349" s="54">
        <v>7.7</v>
      </c>
      <c r="CI349" s="54">
        <v>10.6</v>
      </c>
      <c r="CJ349" s="54">
        <v>-8.6999999999999993</v>
      </c>
      <c r="CK349" s="54">
        <v>12.9</v>
      </c>
      <c r="CL349" s="54">
        <v>29.7</v>
      </c>
      <c r="CM349" s="54">
        <v>3365.2269000000001</v>
      </c>
      <c r="CN349" s="54">
        <v>25964.82</v>
      </c>
      <c r="CO349" s="54">
        <v>2901.5005259999998</v>
      </c>
      <c r="CP349" s="54">
        <v>1.3140000000000001</v>
      </c>
      <c r="CQ349" s="54">
        <v>2.86</v>
      </c>
      <c r="CR349" s="54">
        <v>90.5</v>
      </c>
      <c r="CS349" s="64">
        <v>51.73</v>
      </c>
      <c r="CT349" s="54">
        <v>103.4</v>
      </c>
      <c r="CU349" s="54">
        <v>105.2</v>
      </c>
      <c r="CV349" s="54">
        <v>110.6</v>
      </c>
      <c r="CW349" s="54">
        <v>109.3</v>
      </c>
      <c r="CX349" s="54">
        <v>113.1</v>
      </c>
      <c r="CY349" s="54">
        <v>9.41</v>
      </c>
      <c r="CZ349" s="54">
        <v>58258.233999999997</v>
      </c>
      <c r="DA349" s="54">
        <v>5.74</v>
      </c>
      <c r="DB349" s="54">
        <v>34.770000000000003</v>
      </c>
      <c r="DC349" s="54">
        <v>58.1</v>
      </c>
      <c r="DD349" s="54">
        <v>16.32</v>
      </c>
      <c r="DE349" s="54">
        <v>18710.436000000002</v>
      </c>
      <c r="DF349" s="54">
        <v>2468.0230000000001</v>
      </c>
      <c r="DG349" s="54">
        <v>2099.172</v>
      </c>
      <c r="DH349" s="54">
        <v>1877.17</v>
      </c>
      <c r="DI349" s="54">
        <v>7944.8310000000001</v>
      </c>
      <c r="DJ349" s="54">
        <v>99.783199999999994</v>
      </c>
      <c r="DK349" s="54">
        <v>99.700599999999994</v>
      </c>
      <c r="DL349" s="54">
        <v>99.09</v>
      </c>
      <c r="DM349" s="54">
        <v>98.850499999999997</v>
      </c>
      <c r="DN349" s="54">
        <v>100.63549999999999</v>
      </c>
      <c r="DO349" s="54">
        <v>100.738</v>
      </c>
      <c r="DP349" s="54">
        <v>100.4875</v>
      </c>
      <c r="DQ349" s="54">
        <v>100.5359</v>
      </c>
      <c r="DR349" s="54">
        <v>34138</v>
      </c>
      <c r="DS349" s="96">
        <v>33125</v>
      </c>
      <c r="DT349" s="96">
        <v>105</v>
      </c>
      <c r="DU349">
        <v>204.80448913574219</v>
      </c>
      <c r="DV349">
        <v>231.35667419433594</v>
      </c>
      <c r="DW349" s="56">
        <v>1557</v>
      </c>
      <c r="DX349" s="56">
        <v>262900</v>
      </c>
      <c r="DY349" s="56">
        <v>96.9</v>
      </c>
      <c r="DZ349" t="s">
        <v>312</v>
      </c>
    </row>
    <row r="350" spans="1:130" x14ac:dyDescent="0.25">
      <c r="A350" s="1">
        <v>43374</v>
      </c>
      <c r="B350" s="34">
        <v>106</v>
      </c>
      <c r="C350" s="111">
        <v>-0.37</v>
      </c>
      <c r="D350" s="99">
        <v>0</v>
      </c>
      <c r="E350" s="34">
        <v>-0.32</v>
      </c>
      <c r="F350" s="34">
        <v>-0.28000000000000003</v>
      </c>
      <c r="G350" s="34">
        <v>0.05</v>
      </c>
      <c r="H350" s="34">
        <v>0.4</v>
      </c>
      <c r="I350" s="34">
        <f t="shared" si="99"/>
        <v>0.77</v>
      </c>
      <c r="J350" s="34">
        <f t="shared" si="100"/>
        <v>0.4</v>
      </c>
      <c r="K350" s="34">
        <f t="shared" si="101"/>
        <v>0.72</v>
      </c>
      <c r="L350" s="34">
        <f t="shared" si="102"/>
        <v>0.37</v>
      </c>
      <c r="M350" s="34">
        <v>97.3</v>
      </c>
      <c r="N350" s="34">
        <v>12339.03</v>
      </c>
      <c r="O350" s="34">
        <v>19.64</v>
      </c>
      <c r="P350" s="64">
        <v>2156.1</v>
      </c>
      <c r="Q350" s="34">
        <f t="shared" si="92"/>
        <v>22.001020408163264</v>
      </c>
      <c r="R350" s="34">
        <v>2990</v>
      </c>
      <c r="S350" s="34">
        <f t="shared" si="93"/>
        <v>3051.0204081632655</v>
      </c>
      <c r="T350" s="34">
        <v>3025.6</v>
      </c>
      <c r="U350" s="34">
        <f t="shared" si="94"/>
        <v>3087.3469387755099</v>
      </c>
      <c r="V350" s="118">
        <v>230554</v>
      </c>
      <c r="W350" s="118">
        <v>8198188</v>
      </c>
      <c r="X350" s="119">
        <v>11622671</v>
      </c>
      <c r="Y350" s="119">
        <v>638860</v>
      </c>
      <c r="Z350" s="34">
        <v>102</v>
      </c>
      <c r="AA350" s="34">
        <v>96.6</v>
      </c>
      <c r="AB350" s="34">
        <v>92.6</v>
      </c>
      <c r="AC350" s="34">
        <v>97.7</v>
      </c>
      <c r="AD350" s="34">
        <v>45002</v>
      </c>
      <c r="AE350" s="34">
        <v>5.0999999999999996</v>
      </c>
      <c r="AF350" s="34">
        <v>802</v>
      </c>
      <c r="AG350" s="34">
        <v>98.8</v>
      </c>
      <c r="AH350" s="34">
        <v>98</v>
      </c>
      <c r="AI350" s="64">
        <v>96.8</v>
      </c>
      <c r="AJ350" s="64">
        <v>96</v>
      </c>
      <c r="AK350" s="64">
        <v>180.079508</v>
      </c>
      <c r="AL350" s="64">
        <v>89.3</v>
      </c>
      <c r="AM350" s="34">
        <v>103.47</v>
      </c>
      <c r="AN350" s="33">
        <v>189.34</v>
      </c>
      <c r="AO350" s="33">
        <v>101.12</v>
      </c>
      <c r="AP350" s="33">
        <v>70.33</v>
      </c>
      <c r="AQ350" s="34">
        <f t="shared" si="103"/>
        <v>0.72654958677685955</v>
      </c>
      <c r="AR350" s="34">
        <v>103.9</v>
      </c>
      <c r="AS350" s="34">
        <v>99.5</v>
      </c>
      <c r="AT350" s="34">
        <v>108.5</v>
      </c>
      <c r="AU350" s="34">
        <v>102.8</v>
      </c>
      <c r="AV350" s="34">
        <v>99.2</v>
      </c>
      <c r="AW350" s="34">
        <v>106.4</v>
      </c>
      <c r="AX350" s="34">
        <v>18.2</v>
      </c>
      <c r="AY350" s="34">
        <v>12</v>
      </c>
      <c r="AZ350" s="34">
        <v>19.5</v>
      </c>
      <c r="BA350" s="34">
        <v>18.100000000000001</v>
      </c>
      <c r="BB350" s="34">
        <v>103.2</v>
      </c>
      <c r="BC350" s="34">
        <v>99.2</v>
      </c>
      <c r="BD350" s="34">
        <v>107.3</v>
      </c>
      <c r="BE350" s="34">
        <v>70.099999999999994</v>
      </c>
      <c r="BF350" s="34">
        <v>-24.7</v>
      </c>
      <c r="BG350" s="34">
        <v>19</v>
      </c>
      <c r="BH350" s="34">
        <v>143.80000000000001</v>
      </c>
      <c r="BI350" s="34">
        <v>0.8</v>
      </c>
      <c r="BJ350" s="34">
        <v>52.2</v>
      </c>
      <c r="BK350" s="34">
        <v>34.876753626575095</v>
      </c>
      <c r="BL350" s="34">
        <v>0.36499999999999999</v>
      </c>
      <c r="BM350" s="34">
        <v>100.6049</v>
      </c>
      <c r="BN350" s="34">
        <v>100.52119999999999</v>
      </c>
      <c r="BO350" s="34">
        <v>10.1</v>
      </c>
      <c r="BP350" s="34">
        <v>2.2999999999999998</v>
      </c>
      <c r="BQ350" s="34">
        <v>6.6</v>
      </c>
      <c r="BR350" s="34">
        <v>16.8</v>
      </c>
      <c r="BS350" s="34">
        <v>14.5</v>
      </c>
      <c r="BT350" s="34">
        <v>10.9</v>
      </c>
      <c r="BU350" s="34">
        <v>6.8</v>
      </c>
      <c r="BV350" s="34">
        <v>20.6</v>
      </c>
      <c r="BW350" s="34">
        <v>-0.1</v>
      </c>
      <c r="BX350" s="34">
        <v>-5.8</v>
      </c>
      <c r="BY350" s="34">
        <v>20.9</v>
      </c>
      <c r="BZ350" s="34">
        <v>111.2</v>
      </c>
      <c r="CA350" s="34">
        <v>-0.1</v>
      </c>
      <c r="CB350" s="34">
        <v>9.6999999999999993</v>
      </c>
      <c r="CC350" s="34">
        <v>8.9</v>
      </c>
      <c r="CD350" s="34">
        <v>-0.6</v>
      </c>
      <c r="CE350" s="34">
        <v>-12.7</v>
      </c>
      <c r="CF350" s="34">
        <v>27.5</v>
      </c>
      <c r="CG350" s="34">
        <v>33.9</v>
      </c>
      <c r="CH350" s="34">
        <v>8.3000000000000007</v>
      </c>
      <c r="CI350" s="34">
        <v>13.3</v>
      </c>
      <c r="CJ350" s="34">
        <v>-6.5</v>
      </c>
      <c r="CK350" s="34">
        <v>13.4</v>
      </c>
      <c r="CL350" s="34">
        <v>29.7</v>
      </c>
      <c r="CM350" s="34">
        <v>3244.5497829999999</v>
      </c>
      <c r="CN350" s="34">
        <v>26651.21</v>
      </c>
      <c r="CO350" s="34">
        <v>2785.4647829999999</v>
      </c>
      <c r="CP350" s="34">
        <v>1.5780000000000001</v>
      </c>
      <c r="CQ350" s="34">
        <v>3.09</v>
      </c>
      <c r="CR350" s="34">
        <v>89.3</v>
      </c>
      <c r="CS350" s="64">
        <v>49.38</v>
      </c>
      <c r="CT350" s="34">
        <v>103.1</v>
      </c>
      <c r="CU350" s="34">
        <v>107.8</v>
      </c>
      <c r="CV350" s="34">
        <v>110.3</v>
      </c>
      <c r="CW350" s="34">
        <v>109.1</v>
      </c>
      <c r="CX350" s="34">
        <v>117.5</v>
      </c>
      <c r="CY350" s="34">
        <v>9.2899999999999991</v>
      </c>
      <c r="CZ350" s="34">
        <v>62853.902999999998</v>
      </c>
      <c r="DA350" s="34">
        <v>5.6</v>
      </c>
      <c r="DB350" s="34">
        <v>33.729999999999997</v>
      </c>
      <c r="DC350" s="34">
        <v>58.88</v>
      </c>
      <c r="DD350" s="34">
        <v>16.64</v>
      </c>
      <c r="DE350" s="34">
        <v>19213.161</v>
      </c>
      <c r="DF350" s="34">
        <v>2469.0810000000001</v>
      </c>
      <c r="DG350" s="34">
        <v>2287.5610000000001</v>
      </c>
      <c r="DH350" s="34">
        <v>1721.652</v>
      </c>
      <c r="DI350" s="34">
        <v>8477.6959999999999</v>
      </c>
      <c r="DJ350" s="34">
        <v>99.683099999999996</v>
      </c>
      <c r="DK350" s="34">
        <v>99.5745</v>
      </c>
      <c r="DL350" s="34">
        <v>98.94</v>
      </c>
      <c r="DM350" s="34">
        <v>98.649500000000003</v>
      </c>
      <c r="DN350" s="34">
        <v>100.52119999999999</v>
      </c>
      <c r="DO350" s="34">
        <v>100.6049</v>
      </c>
      <c r="DP350" s="34">
        <v>100.31829999999999</v>
      </c>
      <c r="DQ350" s="34">
        <v>100.3498</v>
      </c>
      <c r="DR350" s="34">
        <v>37443</v>
      </c>
      <c r="DS350" s="73">
        <v>33196</v>
      </c>
      <c r="DT350" s="73">
        <v>104.6</v>
      </c>
      <c r="DU350">
        <v>246.06097412109375</v>
      </c>
      <c r="DV350">
        <v>193.90705871582031</v>
      </c>
      <c r="DW350">
        <v>1555</v>
      </c>
      <c r="DX350">
        <v>196600</v>
      </c>
      <c r="DY350">
        <v>97.3</v>
      </c>
      <c r="DZ350" t="s">
        <v>312</v>
      </c>
    </row>
    <row r="351" spans="1:130" x14ac:dyDescent="0.25">
      <c r="A351" s="1">
        <v>43405</v>
      </c>
      <c r="B351" s="34">
        <v>104.2</v>
      </c>
      <c r="C351" s="111">
        <v>-0.36</v>
      </c>
      <c r="D351" s="99">
        <v>0</v>
      </c>
      <c r="E351" s="34">
        <v>-0.32</v>
      </c>
      <c r="F351" s="34">
        <v>-0.36</v>
      </c>
      <c r="G351" s="34">
        <v>-0.04</v>
      </c>
      <c r="H351" s="34">
        <v>0.31</v>
      </c>
      <c r="I351" s="34">
        <f t="shared" si="99"/>
        <v>0.66999999999999993</v>
      </c>
      <c r="J351" s="34">
        <f t="shared" si="100"/>
        <v>0.31</v>
      </c>
      <c r="K351" s="34">
        <f t="shared" si="101"/>
        <v>0.63</v>
      </c>
      <c r="L351" s="34">
        <f t="shared" si="102"/>
        <v>0.36</v>
      </c>
      <c r="M351" s="34">
        <v>97.3</v>
      </c>
      <c r="N351" s="34">
        <v>11468.54</v>
      </c>
      <c r="O351" s="34">
        <v>18.14</v>
      </c>
      <c r="P351" s="64">
        <v>2173.3000000000002</v>
      </c>
      <c r="Q351" s="34">
        <f t="shared" si="92"/>
        <v>22.153924566768605</v>
      </c>
      <c r="R351" s="34">
        <v>3005.4</v>
      </c>
      <c r="S351" s="34">
        <f t="shared" si="93"/>
        <v>3063.6085626911317</v>
      </c>
      <c r="T351" s="34">
        <v>3038.7</v>
      </c>
      <c r="U351" s="34">
        <f t="shared" si="94"/>
        <v>3097.553516819572</v>
      </c>
      <c r="V351" s="118">
        <v>229204</v>
      </c>
      <c r="W351" s="118">
        <v>8247027</v>
      </c>
      <c r="X351" s="119">
        <v>11667007</v>
      </c>
      <c r="Y351" s="119">
        <v>635556</v>
      </c>
      <c r="Z351" s="34">
        <v>101</v>
      </c>
      <c r="AA351" s="34">
        <v>95.4</v>
      </c>
      <c r="AB351" s="34">
        <v>90</v>
      </c>
      <c r="AC351" s="34">
        <v>98.5</v>
      </c>
      <c r="AD351" s="34">
        <v>45056</v>
      </c>
      <c r="AE351" s="34">
        <v>5</v>
      </c>
      <c r="AF351" s="34">
        <v>802</v>
      </c>
      <c r="AG351" s="34">
        <v>99</v>
      </c>
      <c r="AH351" s="34">
        <v>98.1</v>
      </c>
      <c r="AI351" s="64">
        <v>95.8</v>
      </c>
      <c r="AJ351" s="64">
        <v>95.9</v>
      </c>
      <c r="AK351" s="64">
        <v>180.274822</v>
      </c>
      <c r="AL351" s="64">
        <v>135.80000000000001</v>
      </c>
      <c r="AM351" s="34">
        <v>102.19</v>
      </c>
      <c r="AN351" s="33">
        <v>169.27</v>
      </c>
      <c r="AO351" s="33">
        <v>99.71</v>
      </c>
      <c r="AP351" s="33">
        <v>58.27</v>
      </c>
      <c r="AQ351" s="34">
        <f t="shared" si="103"/>
        <v>0.60824634655532361</v>
      </c>
      <c r="AR351" s="34">
        <v>102.8</v>
      </c>
      <c r="AS351" s="34">
        <v>98.1</v>
      </c>
      <c r="AT351" s="34">
        <v>107.7</v>
      </c>
      <c r="AU351" s="34">
        <v>101.8</v>
      </c>
      <c r="AV351" s="34">
        <v>98</v>
      </c>
      <c r="AW351" s="34">
        <v>105.7</v>
      </c>
      <c r="AX351" s="34">
        <v>17.5</v>
      </c>
      <c r="AY351" s="34">
        <v>14.4</v>
      </c>
      <c r="AZ351" s="34">
        <v>16.100000000000001</v>
      </c>
      <c r="BA351" s="34">
        <v>15.4</v>
      </c>
      <c r="BB351" s="34">
        <v>102.1</v>
      </c>
      <c r="BC351" s="34">
        <v>97</v>
      </c>
      <c r="BD351" s="34">
        <v>107.4</v>
      </c>
      <c r="BE351" s="34">
        <v>58.2</v>
      </c>
      <c r="BF351" s="34">
        <v>-24.1</v>
      </c>
      <c r="BG351" s="34">
        <v>17.399999999999999</v>
      </c>
      <c r="BH351" s="34">
        <v>142.30000000000001</v>
      </c>
      <c r="BI351" s="34">
        <v>0.8</v>
      </c>
      <c r="BJ351" s="34">
        <v>51.8</v>
      </c>
      <c r="BK351" s="34">
        <v>39.915417326457238</v>
      </c>
      <c r="BL351" s="34">
        <v>0.29799999999999999</v>
      </c>
      <c r="BM351" s="34">
        <v>100.4401</v>
      </c>
      <c r="BN351" s="34">
        <v>100.37949999999999</v>
      </c>
      <c r="BO351" s="34">
        <v>10.199999999999999</v>
      </c>
      <c r="BP351" s="34">
        <v>0.2</v>
      </c>
      <c r="BQ351" s="34">
        <v>6.1</v>
      </c>
      <c r="BR351" s="34">
        <v>15.9</v>
      </c>
      <c r="BS351" s="34">
        <v>16.899999999999999</v>
      </c>
      <c r="BT351" s="34">
        <v>10.1</v>
      </c>
      <c r="BU351" s="34">
        <v>6.7</v>
      </c>
      <c r="BV351" s="34">
        <v>24.2</v>
      </c>
      <c r="BW351" s="34">
        <v>0</v>
      </c>
      <c r="BX351" s="34">
        <v>-4.5999999999999996</v>
      </c>
      <c r="BY351" s="34">
        <v>20.9</v>
      </c>
      <c r="BZ351" s="34">
        <v>112.3</v>
      </c>
      <c r="CA351" s="34">
        <v>0</v>
      </c>
      <c r="CB351" s="34">
        <v>9.5</v>
      </c>
      <c r="CC351" s="34">
        <v>8.4</v>
      </c>
      <c r="CD351" s="34">
        <v>-1.2</v>
      </c>
      <c r="CE351" s="34">
        <v>-13.7</v>
      </c>
      <c r="CF351" s="34">
        <v>29.3</v>
      </c>
      <c r="CG351" s="34">
        <v>36.200000000000003</v>
      </c>
      <c r="CH351" s="34">
        <v>8</v>
      </c>
      <c r="CI351" s="34">
        <v>12.4</v>
      </c>
      <c r="CJ351" s="34">
        <v>-4.4000000000000004</v>
      </c>
      <c r="CK351" s="34">
        <v>14.8</v>
      </c>
      <c r="CL351" s="34">
        <v>30.3</v>
      </c>
      <c r="CM351" s="34">
        <v>3186.4038639999999</v>
      </c>
      <c r="CN351" s="34">
        <v>25380.74</v>
      </c>
      <c r="CO351" s="34">
        <v>2723.2295239999999</v>
      </c>
      <c r="CP351" s="34">
        <v>1.4470000000000001</v>
      </c>
      <c r="CQ351" s="34">
        <v>3.14</v>
      </c>
      <c r="CR351" s="34">
        <v>88.1</v>
      </c>
      <c r="CS351" s="64">
        <v>50.34</v>
      </c>
      <c r="CT351" s="34">
        <v>103.5</v>
      </c>
      <c r="CU351" s="34">
        <v>108</v>
      </c>
      <c r="CV351" s="34">
        <v>111.8</v>
      </c>
      <c r="CW351" s="34">
        <v>110.9</v>
      </c>
      <c r="CX351" s="34">
        <v>117</v>
      </c>
      <c r="CY351" s="34">
        <v>9.57</v>
      </c>
      <c r="CZ351" s="34">
        <v>61029.129000000001</v>
      </c>
      <c r="DA351" s="34">
        <v>5.45</v>
      </c>
      <c r="DB351" s="34">
        <v>33.74</v>
      </c>
      <c r="DC351" s="34">
        <v>57.92</v>
      </c>
      <c r="DD351" s="34">
        <v>16.440000000000001</v>
      </c>
      <c r="DE351" s="34">
        <v>19996.673999999999</v>
      </c>
      <c r="DF351" s="34">
        <v>2939.6990000000001</v>
      </c>
      <c r="DG351" s="34">
        <v>2425.174</v>
      </c>
      <c r="DH351" s="34">
        <v>1746.9760000000001</v>
      </c>
      <c r="DI351" s="34">
        <v>8357.2479999999996</v>
      </c>
      <c r="DJ351" s="34">
        <v>99.592699999999994</v>
      </c>
      <c r="DK351" s="34">
        <v>99.462900000000005</v>
      </c>
      <c r="DL351" s="34">
        <v>98.8</v>
      </c>
      <c r="DM351" s="34">
        <v>98.476399999999998</v>
      </c>
      <c r="DN351" s="34">
        <v>100.37949999999999</v>
      </c>
      <c r="DO351" s="34">
        <v>100.4401</v>
      </c>
      <c r="DP351" s="34">
        <v>100.12430000000001</v>
      </c>
      <c r="DQ351" s="34">
        <v>100.13639999999999</v>
      </c>
      <c r="DR351" s="34">
        <v>42990</v>
      </c>
      <c r="DS351" s="73">
        <v>33241</v>
      </c>
      <c r="DT351" s="73">
        <v>103.5</v>
      </c>
      <c r="DU351">
        <v>231.17001342773438</v>
      </c>
      <c r="DV351">
        <v>148.17274475097656</v>
      </c>
      <c r="DW351">
        <v>1470</v>
      </c>
      <c r="DX351">
        <v>180375</v>
      </c>
      <c r="DY351">
        <v>97.1</v>
      </c>
      <c r="DZ351" t="s">
        <v>312</v>
      </c>
    </row>
    <row r="352" spans="1:130" s="56" customFormat="1" x14ac:dyDescent="0.25">
      <c r="A352" s="53">
        <v>43435</v>
      </c>
      <c r="B352" s="54">
        <v>105.6</v>
      </c>
      <c r="C352" s="112">
        <v>-0.36</v>
      </c>
      <c r="D352" s="98">
        <v>0</v>
      </c>
      <c r="E352" s="54">
        <v>-0.32</v>
      </c>
      <c r="F352" s="54">
        <v>-0.43</v>
      </c>
      <c r="G352" s="54">
        <v>-0.14000000000000001</v>
      </c>
      <c r="H352" s="54">
        <v>0.19</v>
      </c>
      <c r="I352" s="54">
        <f t="shared" si="99"/>
        <v>0.55000000000000004</v>
      </c>
      <c r="J352" s="54">
        <f t="shared" si="100"/>
        <v>0.19</v>
      </c>
      <c r="K352" s="54">
        <f t="shared" si="101"/>
        <v>0.51</v>
      </c>
      <c r="L352" s="54">
        <f t="shared" si="102"/>
        <v>0.36</v>
      </c>
      <c r="M352" s="54">
        <v>97.1</v>
      </c>
      <c r="N352" s="54">
        <v>11465.46</v>
      </c>
      <c r="O352" s="54">
        <v>23.39</v>
      </c>
      <c r="P352" s="64">
        <v>2194.6999999999998</v>
      </c>
      <c r="Q352" s="34">
        <f t="shared" si="92"/>
        <v>22.349287169042768</v>
      </c>
      <c r="R352" s="34">
        <v>3023.8</v>
      </c>
      <c r="S352" s="34">
        <f t="shared" si="93"/>
        <v>3079.2260692464361</v>
      </c>
      <c r="T352" s="34">
        <v>3054.4</v>
      </c>
      <c r="U352" s="34">
        <f t="shared" si="94"/>
        <v>3110.386965376782</v>
      </c>
      <c r="V352" s="118">
        <v>234501</v>
      </c>
      <c r="W352" s="118">
        <v>8290550</v>
      </c>
      <c r="X352" s="119">
        <v>11711034</v>
      </c>
      <c r="Y352" s="119">
        <v>656937</v>
      </c>
      <c r="Z352" s="54">
        <v>101.1</v>
      </c>
      <c r="AA352" s="54">
        <v>97.2</v>
      </c>
      <c r="AB352" s="54">
        <v>92.8</v>
      </c>
      <c r="AC352" s="54">
        <v>101.7</v>
      </c>
      <c r="AD352" s="54">
        <v>45087</v>
      </c>
      <c r="AE352" s="54">
        <v>5</v>
      </c>
      <c r="AF352" s="54">
        <v>806</v>
      </c>
      <c r="AG352" s="54">
        <v>98.7</v>
      </c>
      <c r="AH352" s="54">
        <v>98.2</v>
      </c>
      <c r="AI352" s="64">
        <v>94.6</v>
      </c>
      <c r="AJ352" s="64">
        <v>95.6</v>
      </c>
      <c r="AK352" s="64">
        <v>179.68888000000001</v>
      </c>
      <c r="AL352" s="64">
        <v>90.9</v>
      </c>
      <c r="AM352" s="54">
        <v>99.88</v>
      </c>
      <c r="AN352" s="33">
        <v>153.41999999999999</v>
      </c>
      <c r="AO352" s="33">
        <v>98.43</v>
      </c>
      <c r="AP352" s="33">
        <v>50.93</v>
      </c>
      <c r="AQ352" s="54">
        <f t="shared" si="103"/>
        <v>0.53837209302325584</v>
      </c>
      <c r="AR352" s="54">
        <v>102.2</v>
      </c>
      <c r="AS352" s="54">
        <v>97.1</v>
      </c>
      <c r="AT352" s="54">
        <v>107.5</v>
      </c>
      <c r="AU352" s="54">
        <v>100.4</v>
      </c>
      <c r="AV352" s="54">
        <v>96</v>
      </c>
      <c r="AW352" s="54">
        <v>105</v>
      </c>
      <c r="AX352" s="54">
        <v>17.7</v>
      </c>
      <c r="AY352" s="54">
        <v>16.100000000000001</v>
      </c>
      <c r="AZ352" s="54">
        <v>11.8</v>
      </c>
      <c r="BA352" s="54">
        <v>3.7</v>
      </c>
      <c r="BB352" s="54">
        <v>102.1</v>
      </c>
      <c r="BC352" s="54">
        <v>97.1</v>
      </c>
      <c r="BD352" s="54">
        <v>107.5</v>
      </c>
      <c r="BE352" s="54">
        <v>45.3</v>
      </c>
      <c r="BF352" s="54">
        <v>-17.5</v>
      </c>
      <c r="BG352" s="54">
        <v>14.1</v>
      </c>
      <c r="BH352" s="54">
        <v>142.1</v>
      </c>
      <c r="BI352" s="54">
        <v>12</v>
      </c>
      <c r="BJ352" s="34">
        <v>51.5</v>
      </c>
      <c r="BK352" s="54">
        <v>30.177823536305162</v>
      </c>
      <c r="BL352" s="54">
        <v>0.23799999999999999</v>
      </c>
      <c r="BM352" s="54">
        <v>100.2392</v>
      </c>
      <c r="BN352" s="54">
        <v>100.20699999999999</v>
      </c>
      <c r="BO352" s="54">
        <v>6.1</v>
      </c>
      <c r="BP352" s="54">
        <v>-2</v>
      </c>
      <c r="BQ352" s="54">
        <v>5.8</v>
      </c>
      <c r="BR352" s="54">
        <v>11.2</v>
      </c>
      <c r="BS352" s="54">
        <v>20.8</v>
      </c>
      <c r="BT352" s="54">
        <v>9.1</v>
      </c>
      <c r="BU352" s="54">
        <v>3.8</v>
      </c>
      <c r="BV352" s="54">
        <v>21.6</v>
      </c>
      <c r="BW352" s="54">
        <v>-0.8</v>
      </c>
      <c r="BX352" s="54">
        <v>-4.9000000000000004</v>
      </c>
      <c r="BY352" s="54">
        <v>18.899999999999999</v>
      </c>
      <c r="BZ352" s="54">
        <v>110.2</v>
      </c>
      <c r="CA352" s="54">
        <v>-0.8</v>
      </c>
      <c r="CB352" s="54">
        <v>9</v>
      </c>
      <c r="CC352" s="54">
        <v>8.6999999999999993</v>
      </c>
      <c r="CD352" s="54">
        <v>-3.1</v>
      </c>
      <c r="CE352" s="54">
        <v>-14.5</v>
      </c>
      <c r="CF352" s="54">
        <v>27.7</v>
      </c>
      <c r="CG352" s="54">
        <v>35.299999999999997</v>
      </c>
      <c r="CH352" s="54">
        <v>7.9</v>
      </c>
      <c r="CI352" s="54">
        <v>11.3</v>
      </c>
      <c r="CJ352" s="54">
        <v>-6.4</v>
      </c>
      <c r="CK352" s="54">
        <v>14.2</v>
      </c>
      <c r="CL352" s="54">
        <v>30.4</v>
      </c>
      <c r="CM352" s="54">
        <v>3057.8388949999999</v>
      </c>
      <c r="CN352" s="54">
        <v>25826.43</v>
      </c>
      <c r="CO352" s="54">
        <v>2567.3073680000002</v>
      </c>
      <c r="CP352" s="54">
        <v>1.3140000000000001</v>
      </c>
      <c r="CQ352" s="54">
        <v>2.98</v>
      </c>
      <c r="CR352" s="54">
        <v>87</v>
      </c>
      <c r="CS352" s="64">
        <v>49.56</v>
      </c>
      <c r="CT352" s="54">
        <v>100.3</v>
      </c>
      <c r="CU352" s="54">
        <v>104.5</v>
      </c>
      <c r="CV352" s="54">
        <v>110.9</v>
      </c>
      <c r="CW352" s="54">
        <v>110.3</v>
      </c>
      <c r="CX352" s="54">
        <v>119.9</v>
      </c>
      <c r="CY352" s="54">
        <v>10.1</v>
      </c>
      <c r="CZ352" s="54">
        <v>49647.648999999998</v>
      </c>
      <c r="DA352" s="54">
        <v>5.45</v>
      </c>
      <c r="DB352" s="54">
        <v>35.94</v>
      </c>
      <c r="DC352" s="54">
        <v>59.94</v>
      </c>
      <c r="DD352" s="54">
        <v>17.16</v>
      </c>
      <c r="DE352" s="54">
        <v>17760.065999999999</v>
      </c>
      <c r="DF352" s="54">
        <v>2862.2939999999999</v>
      </c>
      <c r="DG352" s="54">
        <v>1718.644</v>
      </c>
      <c r="DH352" s="54">
        <v>1661.546</v>
      </c>
      <c r="DI352" s="54">
        <v>7098.7340000000004</v>
      </c>
      <c r="DJ352" s="54">
        <v>99.518500000000003</v>
      </c>
      <c r="DK352" s="54">
        <v>99.373400000000004</v>
      </c>
      <c r="DL352" s="54">
        <v>98.7</v>
      </c>
      <c r="DM352" s="54">
        <v>98.348799999999997</v>
      </c>
      <c r="DN352" s="54">
        <v>100.20699999999999</v>
      </c>
      <c r="DO352" s="54">
        <v>100.2392</v>
      </c>
      <c r="DP352" s="54">
        <v>99.926100000000005</v>
      </c>
      <c r="DQ352" s="54">
        <v>99.918400000000005</v>
      </c>
      <c r="DR352" s="54">
        <v>25589</v>
      </c>
      <c r="DS352" s="96">
        <v>33283</v>
      </c>
      <c r="DT352" s="96">
        <v>104</v>
      </c>
      <c r="DU352">
        <v>275.70742797851563</v>
      </c>
      <c r="DV352">
        <v>225.89790344238281</v>
      </c>
      <c r="DW352" s="56">
        <v>1203</v>
      </c>
      <c r="DX352" s="56">
        <v>130175</v>
      </c>
      <c r="DY352" s="56">
        <v>98.7</v>
      </c>
      <c r="DZ352" t="s">
        <v>312</v>
      </c>
    </row>
    <row r="353" spans="1:130" x14ac:dyDescent="0.25">
      <c r="A353" s="1">
        <v>43466</v>
      </c>
      <c r="B353" s="34">
        <v>105.1</v>
      </c>
      <c r="C353" s="111">
        <v>-0.37</v>
      </c>
      <c r="D353" s="99">
        <v>0</v>
      </c>
      <c r="E353" s="34">
        <v>-0.31</v>
      </c>
      <c r="F353" s="34">
        <v>-0.44</v>
      </c>
      <c r="G353" s="34">
        <v>-0.19</v>
      </c>
      <c r="H353" s="34">
        <v>0.13</v>
      </c>
      <c r="I353" s="34">
        <f t="shared" si="99"/>
        <v>0.5</v>
      </c>
      <c r="J353" s="34">
        <f t="shared" si="100"/>
        <v>0.13</v>
      </c>
      <c r="K353" s="34">
        <f t="shared" si="101"/>
        <v>0.44</v>
      </c>
      <c r="L353" s="34">
        <f t="shared" si="102"/>
        <v>0.37</v>
      </c>
      <c r="M353" s="34">
        <v>96.7</v>
      </c>
      <c r="N353" s="34">
        <v>10558.96</v>
      </c>
      <c r="O353" s="34">
        <v>16.100000000000001</v>
      </c>
      <c r="P353" s="64">
        <v>2180.8000000000002</v>
      </c>
      <c r="Q353" s="34">
        <f t="shared" si="92"/>
        <v>22.207739307535643</v>
      </c>
      <c r="R353" s="34">
        <v>3016.1</v>
      </c>
      <c r="S353" s="34">
        <f t="shared" si="93"/>
        <v>3071.3849287169041</v>
      </c>
      <c r="T353" s="34">
        <v>3047.6</v>
      </c>
      <c r="U353" s="34">
        <f t="shared" si="94"/>
        <v>3103.4623217922604</v>
      </c>
      <c r="V353" s="118">
        <v>234655</v>
      </c>
      <c r="W353" s="118">
        <v>8323715</v>
      </c>
      <c r="X353" s="119">
        <v>11749319</v>
      </c>
      <c r="Y353" s="119">
        <v>652505</v>
      </c>
      <c r="Z353" s="34">
        <v>101.5</v>
      </c>
      <c r="AA353" s="34">
        <v>93.7</v>
      </c>
      <c r="AB353" s="34">
        <v>91.9</v>
      </c>
      <c r="AC353" s="34">
        <v>96.1</v>
      </c>
      <c r="AD353" s="34">
        <v>45131</v>
      </c>
      <c r="AE353" s="34">
        <v>5</v>
      </c>
      <c r="AF353" s="34">
        <v>805</v>
      </c>
      <c r="AG353" s="34">
        <v>98.6</v>
      </c>
      <c r="AH353" s="34">
        <v>98.2</v>
      </c>
      <c r="AI353" s="64">
        <v>94.2</v>
      </c>
      <c r="AJ353" s="64">
        <v>95.5</v>
      </c>
      <c r="AK353" s="64">
        <v>180.274822</v>
      </c>
      <c r="AL353" s="64">
        <v>90.1</v>
      </c>
      <c r="AM353" s="34">
        <v>98.78</v>
      </c>
      <c r="AN353" s="33">
        <v>149.69</v>
      </c>
      <c r="AO353" s="33">
        <v>98.18</v>
      </c>
      <c r="AP353" s="33">
        <v>52.5</v>
      </c>
      <c r="AQ353" s="34">
        <f t="shared" si="103"/>
        <v>0.5573248407643312</v>
      </c>
      <c r="AR353" s="34">
        <v>100.1</v>
      </c>
      <c r="AS353" s="34">
        <v>93.9</v>
      </c>
      <c r="AT353" s="34">
        <v>106.6</v>
      </c>
      <c r="AU353" s="34">
        <v>98.5</v>
      </c>
      <c r="AV353" s="34">
        <v>93.2</v>
      </c>
      <c r="AW353" s="34">
        <v>104.1</v>
      </c>
      <c r="AX353" s="34">
        <v>11.9</v>
      </c>
      <c r="AY353" s="34">
        <v>15.5</v>
      </c>
      <c r="AZ353" s="34">
        <v>8.6</v>
      </c>
      <c r="BA353" s="34">
        <v>0.2</v>
      </c>
      <c r="BB353" s="34">
        <v>99.7</v>
      </c>
      <c r="BC353" s="34">
        <v>92.3</v>
      </c>
      <c r="BD353" s="34">
        <v>107.7</v>
      </c>
      <c r="BE353" s="34">
        <v>27.6</v>
      </c>
      <c r="BF353" s="34">
        <v>-15</v>
      </c>
      <c r="BG353" s="34">
        <v>10.7</v>
      </c>
      <c r="BH353" s="34">
        <v>146.9</v>
      </c>
      <c r="BI353" s="34">
        <v>42.8</v>
      </c>
      <c r="BJ353" s="34">
        <v>49.7</v>
      </c>
      <c r="BK353" s="34">
        <v>39.697209606436786</v>
      </c>
      <c r="BL353" s="34">
        <v>0.122</v>
      </c>
      <c r="BM353" s="34">
        <v>100.0158</v>
      </c>
      <c r="BN353" s="34">
        <v>100.0151</v>
      </c>
      <c r="BO353" s="34">
        <v>4.0999999999999996</v>
      </c>
      <c r="BP353" s="34">
        <v>-4.5</v>
      </c>
      <c r="BQ353" s="34">
        <v>6.8</v>
      </c>
      <c r="BR353" s="34">
        <v>9.6999999999999993</v>
      </c>
      <c r="BS353" s="34">
        <v>18.399999999999999</v>
      </c>
      <c r="BT353" s="34">
        <v>3.7</v>
      </c>
      <c r="BU353" s="34">
        <v>2.2999999999999998</v>
      </c>
      <c r="BV353" s="34">
        <v>19.899999999999999</v>
      </c>
      <c r="BW353" s="34">
        <v>0</v>
      </c>
      <c r="BX353" s="34">
        <v>-10.199999999999999</v>
      </c>
      <c r="BY353" s="34">
        <v>17.600000000000001</v>
      </c>
      <c r="BZ353" s="34">
        <v>109.2</v>
      </c>
      <c r="CA353" s="34">
        <v>0</v>
      </c>
      <c r="CB353" s="34">
        <v>10.1</v>
      </c>
      <c r="CC353" s="34">
        <v>9.9</v>
      </c>
      <c r="CD353" s="34">
        <v>-2.9</v>
      </c>
      <c r="CE353" s="34">
        <v>-15.4</v>
      </c>
      <c r="CF353" s="34">
        <v>23.4</v>
      </c>
      <c r="CG353" s="34">
        <v>32.9</v>
      </c>
      <c r="CH353" s="34">
        <v>8.1999999999999993</v>
      </c>
      <c r="CI353" s="34">
        <v>12.5</v>
      </c>
      <c r="CJ353" s="34">
        <v>-4.5999999999999996</v>
      </c>
      <c r="CK353" s="34">
        <v>16.8</v>
      </c>
      <c r="CL353" s="34">
        <v>31</v>
      </c>
      <c r="CM353" s="34">
        <v>3088.654364</v>
      </c>
      <c r="CN353" s="34">
        <v>23327.46</v>
      </c>
      <c r="CO353" s="34">
        <v>2607.39</v>
      </c>
      <c r="CP353" s="34">
        <v>1.2689999999999999</v>
      </c>
      <c r="CQ353" s="34">
        <v>2.69</v>
      </c>
      <c r="CR353" s="34">
        <v>79.900000000000006</v>
      </c>
      <c r="CS353" s="64">
        <v>50.01</v>
      </c>
      <c r="CT353" s="34">
        <v>103.1</v>
      </c>
      <c r="CU353" s="34">
        <v>104.4</v>
      </c>
      <c r="CV353" s="34">
        <v>109.1</v>
      </c>
      <c r="CW353" s="34">
        <v>108</v>
      </c>
      <c r="CX353" s="34">
        <v>119.4</v>
      </c>
      <c r="CY353" s="34">
        <v>10.08</v>
      </c>
      <c r="CZ353" s="34">
        <v>58356.703999999998</v>
      </c>
      <c r="DA353" s="34">
        <v>5.74</v>
      </c>
      <c r="DB353" s="34">
        <v>35.01</v>
      </c>
      <c r="DC353" s="34">
        <v>58.07</v>
      </c>
      <c r="DD353" s="34">
        <v>17.18</v>
      </c>
      <c r="DE353" s="34">
        <v>17668.334999999999</v>
      </c>
      <c r="DF353" s="34">
        <v>1915.0609999999999</v>
      </c>
      <c r="DG353" s="34">
        <v>1833.7760000000001</v>
      </c>
      <c r="DH353" s="34">
        <v>1961.096</v>
      </c>
      <c r="DI353" s="34">
        <v>7795.9660000000003</v>
      </c>
      <c r="DJ353" s="34">
        <v>99.470699999999994</v>
      </c>
      <c r="DK353" s="34">
        <v>99.317400000000006</v>
      </c>
      <c r="DL353" s="34">
        <v>98.66</v>
      </c>
      <c r="DM353" s="34">
        <v>98.291799999999995</v>
      </c>
      <c r="DN353" s="34">
        <v>100.0151</v>
      </c>
      <c r="DO353" s="34">
        <v>100.0158</v>
      </c>
      <c r="DP353" s="34">
        <v>99.743399999999994</v>
      </c>
      <c r="DQ353" s="34">
        <v>99.717500000000001</v>
      </c>
      <c r="DR353" s="34">
        <v>41568</v>
      </c>
      <c r="DS353" s="73">
        <v>33336</v>
      </c>
      <c r="DT353" s="73">
        <v>102.8</v>
      </c>
      <c r="DU353">
        <v>247.67710876464844</v>
      </c>
      <c r="DV353">
        <v>168.08723449707031</v>
      </c>
      <c r="DW353">
        <v>1271</v>
      </c>
      <c r="DX353">
        <v>132175</v>
      </c>
      <c r="DY353">
        <v>98.4</v>
      </c>
      <c r="DZ353" t="s">
        <v>312</v>
      </c>
    </row>
    <row r="354" spans="1:130" x14ac:dyDescent="0.25">
      <c r="A354" s="1">
        <v>43497</v>
      </c>
      <c r="B354" s="34">
        <v>105</v>
      </c>
      <c r="C354" s="111">
        <v>-0.37</v>
      </c>
      <c r="D354" s="99">
        <v>0</v>
      </c>
      <c r="E354" s="34">
        <v>-0.31</v>
      </c>
      <c r="F354" s="34">
        <v>-0.45</v>
      </c>
      <c r="G354" s="34">
        <v>-0.22</v>
      </c>
      <c r="H354" s="34">
        <v>0.06</v>
      </c>
      <c r="I354" s="34">
        <f t="shared" si="99"/>
        <v>0.43</v>
      </c>
      <c r="J354" s="34">
        <f t="shared" si="100"/>
        <v>0.06</v>
      </c>
      <c r="K354" s="34">
        <f t="shared" si="101"/>
        <v>0.37</v>
      </c>
      <c r="L354" s="34">
        <f t="shared" si="102"/>
        <v>0.37</v>
      </c>
      <c r="M354" s="34">
        <v>96.5</v>
      </c>
      <c r="N354" s="34">
        <v>11180.66</v>
      </c>
      <c r="O354" s="34">
        <v>15.22</v>
      </c>
      <c r="P354" s="64">
        <v>2191.1999999999998</v>
      </c>
      <c r="Q354" s="34">
        <f t="shared" si="92"/>
        <v>22.268292682926827</v>
      </c>
      <c r="R354" s="34">
        <v>3031.7</v>
      </c>
      <c r="S354" s="34">
        <f t="shared" si="93"/>
        <v>3080.9959349593491</v>
      </c>
      <c r="T354" s="34">
        <v>3062.8</v>
      </c>
      <c r="U354" s="34">
        <f t="shared" si="94"/>
        <v>3112.6016260162601</v>
      </c>
      <c r="V354" s="118">
        <v>236520</v>
      </c>
      <c r="W354" s="118">
        <v>8375749</v>
      </c>
      <c r="X354" s="119">
        <v>11809936</v>
      </c>
      <c r="Y354" s="119">
        <v>645439</v>
      </c>
      <c r="Z354" s="34">
        <v>100</v>
      </c>
      <c r="AA354" s="34">
        <v>90.3</v>
      </c>
      <c r="AB354" s="34">
        <v>89</v>
      </c>
      <c r="AC354" s="34">
        <v>91.4</v>
      </c>
      <c r="AD354" s="34">
        <v>45170</v>
      </c>
      <c r="AE354" s="34">
        <v>5</v>
      </c>
      <c r="AF354" s="34">
        <v>807</v>
      </c>
      <c r="AG354" s="34">
        <v>98.7</v>
      </c>
      <c r="AH354" s="34">
        <v>98.4</v>
      </c>
      <c r="AI354" s="64">
        <v>94.3</v>
      </c>
      <c r="AJ354" s="64">
        <v>95.5</v>
      </c>
      <c r="AK354" s="64">
        <v>180.079508</v>
      </c>
      <c r="AL354" s="64">
        <v>90.4</v>
      </c>
      <c r="AM354" s="34">
        <v>103.63</v>
      </c>
      <c r="AN354" s="33">
        <v>149.19999999999999</v>
      </c>
      <c r="AO354" s="33">
        <v>100.68</v>
      </c>
      <c r="AP354" s="33">
        <v>56.75</v>
      </c>
      <c r="AQ354" s="34">
        <f t="shared" si="103"/>
        <v>0.60180275715800635</v>
      </c>
      <c r="AR354" s="34">
        <v>98.9</v>
      </c>
      <c r="AS354" s="34">
        <v>93.7</v>
      </c>
      <c r="AT354" s="34">
        <v>104.4</v>
      </c>
      <c r="AU354" s="34">
        <v>97.2</v>
      </c>
      <c r="AV354" s="34">
        <v>92.2</v>
      </c>
      <c r="AW354" s="34">
        <v>102.4</v>
      </c>
      <c r="AX354" s="34">
        <v>13.7</v>
      </c>
      <c r="AY354" s="34">
        <v>14.7</v>
      </c>
      <c r="AZ354" s="34">
        <v>4.8</v>
      </c>
      <c r="BA354" s="34">
        <v>-1.7</v>
      </c>
      <c r="BB354" s="34">
        <v>98.3</v>
      </c>
      <c r="BC354" s="34">
        <v>92.3</v>
      </c>
      <c r="BD354" s="34">
        <v>104.6</v>
      </c>
      <c r="BE354" s="34">
        <v>15</v>
      </c>
      <c r="BF354" s="34">
        <v>-13.4</v>
      </c>
      <c r="BG354" s="34">
        <v>4.2</v>
      </c>
      <c r="BH354" s="34">
        <v>146.19999999999999</v>
      </c>
      <c r="BI354" s="34">
        <v>56</v>
      </c>
      <c r="BJ354" s="34">
        <v>47.6</v>
      </c>
      <c r="BK354" s="34">
        <v>35.8693226678241</v>
      </c>
      <c r="BL354" s="34">
        <v>1.4999999999999999E-2</v>
      </c>
      <c r="BM354" s="34">
        <v>99.788600000000002</v>
      </c>
      <c r="BN354" s="34">
        <v>99.819800000000001</v>
      </c>
      <c r="BO354" s="34">
        <v>2.8</v>
      </c>
      <c r="BP354" s="34">
        <v>-5.6</v>
      </c>
      <c r="BQ354" s="34">
        <v>8</v>
      </c>
      <c r="BR354" s="34">
        <v>6.8</v>
      </c>
      <c r="BS354" s="34">
        <v>12.5</v>
      </c>
      <c r="BT354" s="34">
        <v>2.8</v>
      </c>
      <c r="BU354" s="34">
        <v>0.5</v>
      </c>
      <c r="BV354" s="34">
        <v>20.8</v>
      </c>
      <c r="BW354" s="34">
        <v>-0.3</v>
      </c>
      <c r="BX354" s="34">
        <v>-7.4</v>
      </c>
      <c r="BY354" s="34">
        <v>17.399999999999999</v>
      </c>
      <c r="BZ354" s="34">
        <v>108.8</v>
      </c>
      <c r="CA354" s="34">
        <v>-0.3</v>
      </c>
      <c r="CB354" s="34">
        <v>9.6999999999999993</v>
      </c>
      <c r="CC354" s="34">
        <v>9.9</v>
      </c>
      <c r="CD354" s="34">
        <v>-3.7</v>
      </c>
      <c r="CE354" s="34">
        <v>-17.3</v>
      </c>
      <c r="CF354" s="34">
        <v>21.7</v>
      </c>
      <c r="CG354" s="34">
        <v>31.1</v>
      </c>
      <c r="CH354" s="34">
        <v>8.5</v>
      </c>
      <c r="CI354" s="34">
        <v>9.4</v>
      </c>
      <c r="CJ354" s="34">
        <v>-3.7</v>
      </c>
      <c r="CK354" s="34">
        <v>14.1</v>
      </c>
      <c r="CL354" s="34">
        <v>30.3</v>
      </c>
      <c r="CM354" s="34">
        <v>3223.0708500000001</v>
      </c>
      <c r="CN354" s="34">
        <v>25063.89</v>
      </c>
      <c r="CO354" s="34">
        <v>2754.8642110000001</v>
      </c>
      <c r="CP354" s="34">
        <v>1.2509999999999999</v>
      </c>
      <c r="CQ354" s="34">
        <v>2.7</v>
      </c>
      <c r="CR354" s="34">
        <v>84.4</v>
      </c>
      <c r="CS354" s="64">
        <v>47.67</v>
      </c>
      <c r="CT354" s="34">
        <v>101.8</v>
      </c>
      <c r="CU354" s="34">
        <v>105.4</v>
      </c>
      <c r="CV354" s="34">
        <v>110.3</v>
      </c>
      <c r="CW354" s="34">
        <v>107.2</v>
      </c>
      <c r="CX354" s="34">
        <v>118.4</v>
      </c>
      <c r="CY354" s="34">
        <v>9.35</v>
      </c>
      <c r="CZ354" s="34">
        <v>58161.071000000004</v>
      </c>
      <c r="DA354" s="34">
        <v>6.23</v>
      </c>
      <c r="DB354" s="34">
        <v>35.200000000000003</v>
      </c>
      <c r="DC354" s="34">
        <v>58.22</v>
      </c>
      <c r="DD354" s="34">
        <v>17.53</v>
      </c>
      <c r="DE354" s="34">
        <v>16956.484</v>
      </c>
      <c r="DF354" s="34">
        <v>1947.8019999999999</v>
      </c>
      <c r="DG354" s="34">
        <v>2073.6410000000001</v>
      </c>
      <c r="DH354" s="34">
        <v>1644.9690000000001</v>
      </c>
      <c r="DI354" s="34">
        <v>7402.5969999999998</v>
      </c>
      <c r="DJ354" s="34">
        <v>99.451899999999995</v>
      </c>
      <c r="DK354" s="34">
        <v>99.297700000000006</v>
      </c>
      <c r="DL354" s="34">
        <v>98.67</v>
      </c>
      <c r="DM354" s="34">
        <v>98.308400000000006</v>
      </c>
      <c r="DN354" s="34">
        <v>99.819800000000001</v>
      </c>
      <c r="DO354" s="34">
        <v>99.788600000000002</v>
      </c>
      <c r="DP354" s="34">
        <v>99.592100000000002</v>
      </c>
      <c r="DQ354" s="34">
        <v>99.550899999999999</v>
      </c>
      <c r="DR354" s="34">
        <v>28621</v>
      </c>
      <c r="DS354" s="73">
        <v>33383</v>
      </c>
      <c r="DT354" s="73">
        <v>102.9</v>
      </c>
      <c r="DU354">
        <v>230.151611328125</v>
      </c>
      <c r="DV354">
        <v>155.94647216796875</v>
      </c>
      <c r="DW354">
        <v>645</v>
      </c>
      <c r="DX354">
        <v>149900</v>
      </c>
      <c r="DY354">
        <v>96.9</v>
      </c>
      <c r="DZ354" t="s">
        <v>312</v>
      </c>
    </row>
    <row r="355" spans="1:130" s="56" customFormat="1" x14ac:dyDescent="0.25">
      <c r="A355" s="53">
        <v>43525</v>
      </c>
      <c r="B355" s="54">
        <v>106</v>
      </c>
      <c r="C355" s="112">
        <v>-0.37</v>
      </c>
      <c r="D355" s="98">
        <v>0</v>
      </c>
      <c r="E355" s="54">
        <v>-0.31</v>
      </c>
      <c r="F355" s="54">
        <v>-0.46</v>
      </c>
      <c r="G355" s="54">
        <v>-0.26</v>
      </c>
      <c r="H355" s="54">
        <v>0.01</v>
      </c>
      <c r="I355" s="54">
        <f t="shared" si="99"/>
        <v>0.38</v>
      </c>
      <c r="J355" s="54">
        <f t="shared" si="100"/>
        <v>0.01</v>
      </c>
      <c r="K355" s="54">
        <f t="shared" si="101"/>
        <v>0.32</v>
      </c>
      <c r="L355" s="54">
        <f t="shared" si="102"/>
        <v>0.37</v>
      </c>
      <c r="M355" s="54">
        <v>96.2</v>
      </c>
      <c r="N355" s="54">
        <v>11601.68</v>
      </c>
      <c r="O355" s="54">
        <v>15.09</v>
      </c>
      <c r="P355" s="64">
        <v>2224.6</v>
      </c>
      <c r="Q355" s="34">
        <f t="shared" si="92"/>
        <v>22.60772357723577</v>
      </c>
      <c r="R355" s="34">
        <v>3063.8</v>
      </c>
      <c r="S355" s="34">
        <f t="shared" si="93"/>
        <v>3113.6178861788617</v>
      </c>
      <c r="T355" s="34">
        <v>3095.2</v>
      </c>
      <c r="U355" s="34">
        <f t="shared" si="94"/>
        <v>3145.5284552845528</v>
      </c>
      <c r="V355" s="118">
        <v>232614</v>
      </c>
      <c r="W355" s="118">
        <v>8459043</v>
      </c>
      <c r="X355" s="119">
        <v>11891739</v>
      </c>
      <c r="Y355" s="119">
        <v>643274</v>
      </c>
      <c r="Z355" s="54">
        <v>101.1</v>
      </c>
      <c r="AA355" s="54">
        <v>91.6</v>
      </c>
      <c r="AB355" s="54">
        <v>93.2</v>
      </c>
      <c r="AC355" s="54">
        <v>93.7</v>
      </c>
      <c r="AD355" s="54">
        <v>45213</v>
      </c>
      <c r="AE355" s="54">
        <v>5</v>
      </c>
      <c r="AF355" s="54">
        <v>808</v>
      </c>
      <c r="AG355" s="54">
        <v>98.9</v>
      </c>
      <c r="AH355" s="54">
        <v>98.4</v>
      </c>
      <c r="AI355" s="64">
        <v>94.2</v>
      </c>
      <c r="AJ355" s="64">
        <v>95.7</v>
      </c>
      <c r="AK355" s="64">
        <v>180.079508</v>
      </c>
      <c r="AL355" s="64">
        <v>90.2</v>
      </c>
      <c r="AM355" s="54">
        <v>104.32</v>
      </c>
      <c r="AN355" s="33">
        <v>151.09</v>
      </c>
      <c r="AO355" s="33">
        <v>100.18</v>
      </c>
      <c r="AP355" s="33">
        <v>59.26</v>
      </c>
      <c r="AQ355" s="54">
        <f t="shared" si="103"/>
        <v>0.62908704883227173</v>
      </c>
      <c r="AR355" s="54">
        <v>99.8</v>
      </c>
      <c r="AS355" s="54">
        <v>94.7</v>
      </c>
      <c r="AT355" s="54">
        <v>105.2</v>
      </c>
      <c r="AU355" s="54">
        <v>97.3</v>
      </c>
      <c r="AV355" s="54">
        <v>92.9</v>
      </c>
      <c r="AW355" s="54">
        <v>101.9</v>
      </c>
      <c r="AX355" s="54">
        <v>12.7</v>
      </c>
      <c r="AY355" s="54">
        <v>5.6</v>
      </c>
      <c r="AZ355" s="54">
        <v>4.4000000000000004</v>
      </c>
      <c r="BA355" s="54">
        <v>0.4</v>
      </c>
      <c r="BB355" s="54">
        <v>99.8</v>
      </c>
      <c r="BC355" s="54">
        <v>93.2</v>
      </c>
      <c r="BD355" s="54">
        <v>106.9</v>
      </c>
      <c r="BE355" s="54">
        <v>11.1</v>
      </c>
      <c r="BF355" s="54">
        <v>-3.6</v>
      </c>
      <c r="BG355" s="54">
        <v>11.2</v>
      </c>
      <c r="BH355" s="54">
        <v>147.80000000000001</v>
      </c>
      <c r="BI355" s="54">
        <v>27.3</v>
      </c>
      <c r="BJ355" s="34">
        <v>44.1</v>
      </c>
      <c r="BK355" s="54">
        <v>41.115696763762408</v>
      </c>
      <c r="BL355" s="54">
        <v>4.1000000000000002E-2</v>
      </c>
      <c r="BM355" s="54">
        <v>99.560100000000006</v>
      </c>
      <c r="BN355" s="54">
        <v>99.623500000000007</v>
      </c>
      <c r="BO355" s="54">
        <v>1.1000000000000001</v>
      </c>
      <c r="BP355" s="54">
        <v>-6.2</v>
      </c>
      <c r="BQ355" s="54">
        <v>9.4</v>
      </c>
      <c r="BR355" s="54">
        <v>1.2</v>
      </c>
      <c r="BS355" s="54">
        <v>9.6</v>
      </c>
      <c r="BT355" s="54">
        <v>-2.4</v>
      </c>
      <c r="BU355" s="54">
        <v>-2.4</v>
      </c>
      <c r="BV355" s="54">
        <v>19.600000000000001</v>
      </c>
      <c r="BW355" s="54">
        <v>-0.2</v>
      </c>
      <c r="BX355" s="54">
        <v>-3.6</v>
      </c>
      <c r="BY355" s="54">
        <v>18.399999999999999</v>
      </c>
      <c r="BZ355" s="54">
        <v>107.2</v>
      </c>
      <c r="CA355" s="54">
        <v>-0.2</v>
      </c>
      <c r="CB355" s="54">
        <v>10.199999999999999</v>
      </c>
      <c r="CC355" s="54">
        <v>9.4</v>
      </c>
      <c r="CD355" s="54">
        <v>-2.8</v>
      </c>
      <c r="CE355" s="54">
        <v>-16.100000000000001</v>
      </c>
      <c r="CF355" s="54">
        <v>22.1</v>
      </c>
      <c r="CG355" s="54">
        <v>29.7</v>
      </c>
      <c r="CH355" s="54">
        <v>8.8000000000000007</v>
      </c>
      <c r="CI355" s="54">
        <v>8.6999999999999993</v>
      </c>
      <c r="CJ355" s="54">
        <v>-4.5</v>
      </c>
      <c r="CK355" s="54">
        <v>15.6</v>
      </c>
      <c r="CL355" s="54">
        <v>29.5</v>
      </c>
      <c r="CM355" s="54">
        <v>3332.8553809999999</v>
      </c>
      <c r="CN355" s="54">
        <v>26026.32</v>
      </c>
      <c r="CO355" s="54">
        <v>2803.9838100000002</v>
      </c>
      <c r="CP355" s="54">
        <v>1.2989999999999999</v>
      </c>
      <c r="CQ355" s="54">
        <v>2.76</v>
      </c>
      <c r="CR355" s="54">
        <v>88.8</v>
      </c>
      <c r="CS355" s="64">
        <v>48.17</v>
      </c>
      <c r="CT355" s="54">
        <v>102.8</v>
      </c>
      <c r="CU355" s="54">
        <v>107.8</v>
      </c>
      <c r="CV355" s="54">
        <v>111.4</v>
      </c>
      <c r="CW355" s="54">
        <v>106.8</v>
      </c>
      <c r="CX355" s="54">
        <v>117</v>
      </c>
      <c r="CY355" s="54">
        <v>9.94</v>
      </c>
      <c r="CZ355" s="54">
        <v>62463.357000000004</v>
      </c>
      <c r="DA355" s="54">
        <v>5.61</v>
      </c>
      <c r="DB355" s="54">
        <v>35.15</v>
      </c>
      <c r="DC355" s="54">
        <v>59.2</v>
      </c>
      <c r="DD355" s="54">
        <v>17.920000000000002</v>
      </c>
      <c r="DE355" s="54">
        <v>18662.363000000001</v>
      </c>
      <c r="DF355" s="54">
        <v>2212.904</v>
      </c>
      <c r="DG355" s="54">
        <v>2241.9639999999999</v>
      </c>
      <c r="DH355" s="54">
        <v>1830.0160000000001</v>
      </c>
      <c r="DI355" s="54">
        <v>8261.0529999999999</v>
      </c>
      <c r="DJ355" s="54">
        <v>99.453100000000006</v>
      </c>
      <c r="DK355" s="54">
        <v>99.302800000000005</v>
      </c>
      <c r="DL355" s="54">
        <v>98.72</v>
      </c>
      <c r="DM355" s="54">
        <v>98.378399999999999</v>
      </c>
      <c r="DN355" s="54">
        <v>99.623500000000007</v>
      </c>
      <c r="DO355" s="54">
        <v>99.560100000000006</v>
      </c>
      <c r="DP355" s="54">
        <v>99.470699999999994</v>
      </c>
      <c r="DQ355" s="54">
        <v>99.417500000000004</v>
      </c>
      <c r="DR355" s="54">
        <v>32375</v>
      </c>
      <c r="DS355" s="96">
        <v>33402</v>
      </c>
      <c r="DT355" s="96">
        <v>101.5</v>
      </c>
      <c r="DU355">
        <v>229.38423156738281</v>
      </c>
      <c r="DV355">
        <v>248.37471008300781</v>
      </c>
      <c r="DW355" s="56">
        <v>664</v>
      </c>
      <c r="DX355" s="56">
        <v>123425</v>
      </c>
      <c r="DY355" s="56">
        <v>97.8</v>
      </c>
      <c r="DZ355" t="s">
        <v>312</v>
      </c>
    </row>
    <row r="356" spans="1:130" x14ac:dyDescent="0.25">
      <c r="A356" s="1">
        <v>43556</v>
      </c>
      <c r="B356" s="34">
        <v>104.7</v>
      </c>
      <c r="C356" s="111">
        <v>-0.37</v>
      </c>
      <c r="D356" s="99">
        <v>0</v>
      </c>
      <c r="E356" s="34">
        <v>-0.31</v>
      </c>
      <c r="F356" s="34">
        <v>-0.5</v>
      </c>
      <c r="G356" s="34">
        <v>-0.31</v>
      </c>
      <c r="H356" s="34">
        <v>-0.04</v>
      </c>
      <c r="I356" s="34">
        <f t="shared" si="99"/>
        <v>0.33</v>
      </c>
      <c r="J356" s="34">
        <f>IF(ISNUMBER(D356),IF(ISNUMBER(H356),H356-D356,""),"")</f>
        <v>-0.04</v>
      </c>
      <c r="K356" s="34">
        <f t="shared" si="101"/>
        <v>0.27</v>
      </c>
      <c r="L356" s="34">
        <f t="shared" si="102"/>
        <v>0.37</v>
      </c>
      <c r="M356" s="34">
        <v>96.5</v>
      </c>
      <c r="N356" s="34">
        <v>11681.99</v>
      </c>
      <c r="O356" s="34">
        <v>14.13</v>
      </c>
      <c r="P356" s="64">
        <v>2239.8000000000002</v>
      </c>
      <c r="Q356" s="34">
        <f t="shared" si="92"/>
        <v>22.693009118541035</v>
      </c>
      <c r="R356" s="34">
        <v>3079.1</v>
      </c>
      <c r="S356" s="34">
        <f t="shared" si="93"/>
        <v>3119.655521783181</v>
      </c>
      <c r="T356" s="34">
        <v>3110.5</v>
      </c>
      <c r="U356" s="34">
        <f t="shared" si="94"/>
        <v>3151.4690982776087</v>
      </c>
      <c r="V356" s="118">
        <v>232933</v>
      </c>
      <c r="W356" s="118">
        <v>8514430</v>
      </c>
      <c r="X356" s="119">
        <v>11966973</v>
      </c>
      <c r="Y356" s="119">
        <v>639453</v>
      </c>
      <c r="Z356" s="34">
        <v>99.8</v>
      </c>
      <c r="AA356" s="34">
        <v>91.4</v>
      </c>
      <c r="AB356" s="34">
        <v>94.1</v>
      </c>
      <c r="AC356" s="34">
        <v>93.5</v>
      </c>
      <c r="AD356" s="34">
        <v>45270</v>
      </c>
      <c r="AE356" s="34">
        <v>4.9000000000000004</v>
      </c>
      <c r="AF356" s="34">
        <v>802</v>
      </c>
      <c r="AG356" s="34">
        <v>99.3</v>
      </c>
      <c r="AH356" s="34">
        <v>98.7</v>
      </c>
      <c r="AI356" s="64">
        <v>94.5</v>
      </c>
      <c r="AJ356" s="64">
        <v>95.7</v>
      </c>
      <c r="AK356" s="64">
        <v>180.86076399999999</v>
      </c>
      <c r="AL356" s="64">
        <v>91.2</v>
      </c>
      <c r="AM356" s="34">
        <v>104.04</v>
      </c>
      <c r="AN356" s="33">
        <v>154.91999999999999</v>
      </c>
      <c r="AO356" s="33">
        <v>99.8</v>
      </c>
      <c r="AP356" s="33">
        <v>63.62</v>
      </c>
      <c r="AQ356" s="34">
        <f t="shared" ref="AQ356:AQ387" si="104">IF(ISNUMBER(AP356),IF(ISNUMBER($AI356),AP356/$AI356,""),"")</f>
        <v>0.67322751322751317</v>
      </c>
      <c r="AR356" s="34">
        <v>99.7</v>
      </c>
      <c r="AS356" s="34">
        <v>95</v>
      </c>
      <c r="AT356" s="34">
        <v>104.5</v>
      </c>
      <c r="AU356" s="34">
        <v>96.8</v>
      </c>
      <c r="AV356" s="34">
        <v>93.6</v>
      </c>
      <c r="AW356" s="34">
        <v>100.1</v>
      </c>
      <c r="AX356" s="34">
        <v>9.4</v>
      </c>
      <c r="AY356" s="34">
        <v>-1.6</v>
      </c>
      <c r="AZ356" s="34">
        <v>1.9</v>
      </c>
      <c r="BA356" s="34">
        <v>2.9</v>
      </c>
      <c r="BB356" s="34">
        <v>100.3</v>
      </c>
      <c r="BC356" s="34">
        <v>93.8</v>
      </c>
      <c r="BD356" s="34">
        <v>107.3</v>
      </c>
      <c r="BE356" s="34">
        <v>5.5</v>
      </c>
      <c r="BF356" s="34">
        <v>3.1</v>
      </c>
      <c r="BG356" s="34">
        <v>6.1</v>
      </c>
      <c r="BH356" s="34">
        <v>151</v>
      </c>
      <c r="BI356" s="34">
        <v>3.9</v>
      </c>
      <c r="BJ356" s="34">
        <v>44.4</v>
      </c>
      <c r="BK356" s="34">
        <v>37.486970700122384</v>
      </c>
      <c r="BL356" s="34">
        <v>0.111</v>
      </c>
      <c r="BM356" s="34">
        <v>99.332800000000006</v>
      </c>
      <c r="BN356" s="34">
        <v>99.428299999999993</v>
      </c>
      <c r="BO356" s="34">
        <v>-2.8</v>
      </c>
      <c r="BP356" s="34">
        <v>-8.5</v>
      </c>
      <c r="BQ356" s="34">
        <v>12.1</v>
      </c>
      <c r="BR356" s="34">
        <v>-0.9</v>
      </c>
      <c r="BS356" s="34">
        <v>5.2</v>
      </c>
      <c r="BT356" s="34">
        <v>-4</v>
      </c>
      <c r="BU356" s="34">
        <v>-5.3</v>
      </c>
      <c r="BV356" s="34">
        <v>19.899999999999999</v>
      </c>
      <c r="BW356" s="34">
        <v>-0.5</v>
      </c>
      <c r="BX356" s="34">
        <v>-4.5</v>
      </c>
      <c r="BY356" s="34">
        <v>19.600000000000001</v>
      </c>
      <c r="BZ356" s="34">
        <v>106.1</v>
      </c>
      <c r="CA356" s="34">
        <v>-0.5</v>
      </c>
      <c r="CB356" s="34">
        <v>10.6</v>
      </c>
      <c r="CC356" s="34">
        <v>9.6999999999999993</v>
      </c>
      <c r="CD356" s="34">
        <v>-6</v>
      </c>
      <c r="CE356" s="34">
        <v>-18</v>
      </c>
      <c r="CF356" s="34">
        <v>18.899999999999999</v>
      </c>
      <c r="CG356" s="34">
        <v>32.200000000000003</v>
      </c>
      <c r="CH356" s="34">
        <v>10.5</v>
      </c>
      <c r="CI356" s="34">
        <v>11.1</v>
      </c>
      <c r="CJ356" s="34">
        <v>-4.3</v>
      </c>
      <c r="CK356" s="34">
        <v>15.5</v>
      </c>
      <c r="CL356" s="34">
        <v>30.1</v>
      </c>
      <c r="CM356" s="34">
        <v>3458.7647999999999</v>
      </c>
      <c r="CN356" s="34">
        <v>26258.41</v>
      </c>
      <c r="CO356" s="34">
        <v>2903.8</v>
      </c>
      <c r="CP356" s="34">
        <v>1.0389999999999999</v>
      </c>
      <c r="CQ356" s="34">
        <v>2.4900000000000002</v>
      </c>
      <c r="CR356" s="34">
        <v>87.4</v>
      </c>
      <c r="CS356" s="64">
        <v>49.63</v>
      </c>
      <c r="CT356" s="34">
        <v>101.3</v>
      </c>
      <c r="CU356" s="34">
        <v>104.3</v>
      </c>
      <c r="CV356" s="34">
        <v>108.6</v>
      </c>
      <c r="CW356" s="34">
        <v>106.5</v>
      </c>
      <c r="CX356" s="34">
        <v>111.6</v>
      </c>
      <c r="CY356" s="34">
        <v>9.92</v>
      </c>
      <c r="CZ356" s="34">
        <v>58561.510999999999</v>
      </c>
      <c r="DA356" s="34">
        <v>5.72</v>
      </c>
      <c r="DB356" s="34">
        <v>34.92</v>
      </c>
      <c r="DC356" s="34">
        <v>58.26</v>
      </c>
      <c r="DD356" s="34">
        <v>16.190000000000001</v>
      </c>
      <c r="DE356" s="34">
        <v>18363.516</v>
      </c>
      <c r="DF356" s="34">
        <v>2087.87</v>
      </c>
      <c r="DG356" s="34">
        <v>2347.6849999999999</v>
      </c>
      <c r="DH356" s="34">
        <v>1642.114</v>
      </c>
      <c r="DI356" s="34">
        <v>8275.2780000000002</v>
      </c>
      <c r="DJ356" s="34">
        <v>99.459100000000007</v>
      </c>
      <c r="DK356" s="34">
        <v>99.313900000000004</v>
      </c>
      <c r="DL356" s="34">
        <v>98.79</v>
      </c>
      <c r="DM356" s="34">
        <v>98.467600000000004</v>
      </c>
      <c r="DN356" s="34">
        <v>99.428299999999993</v>
      </c>
      <c r="DO356" s="34">
        <v>99.332800000000006</v>
      </c>
      <c r="DP356" s="34">
        <v>99.359200000000001</v>
      </c>
      <c r="DQ356" s="34">
        <v>99.294799999999995</v>
      </c>
      <c r="DR356" s="34">
        <v>40170</v>
      </c>
      <c r="DS356" s="73">
        <v>33458</v>
      </c>
      <c r="DT356" s="73">
        <v>101.9</v>
      </c>
      <c r="DU356">
        <v>214.204345703125</v>
      </c>
      <c r="DV356">
        <v>198.25047302246094</v>
      </c>
      <c r="DW356">
        <v>685</v>
      </c>
      <c r="DX356">
        <v>167425</v>
      </c>
      <c r="DY356">
        <v>97.3</v>
      </c>
      <c r="DZ356" t="s">
        <v>312</v>
      </c>
    </row>
    <row r="357" spans="1:130" x14ac:dyDescent="0.25">
      <c r="A357" s="1">
        <v>43586</v>
      </c>
      <c r="B357" s="34">
        <v>104.8</v>
      </c>
      <c r="C357" s="111">
        <v>-0.37</v>
      </c>
      <c r="D357" s="99">
        <v>0</v>
      </c>
      <c r="E357" s="34">
        <v>-0.31</v>
      </c>
      <c r="F357" s="34">
        <v>-0.56999999999999995</v>
      </c>
      <c r="G357" s="34">
        <v>-0.38</v>
      </c>
      <c r="H357" s="34">
        <v>-0.13</v>
      </c>
      <c r="I357" s="34">
        <f t="shared" si="99"/>
        <v>0.24</v>
      </c>
      <c r="J357" s="34">
        <f t="shared" si="100"/>
        <v>-0.13</v>
      </c>
      <c r="K357" s="34">
        <f t="shared" si="101"/>
        <v>0.18</v>
      </c>
      <c r="L357" s="34">
        <f t="shared" si="102"/>
        <v>0.37</v>
      </c>
      <c r="M357" s="34">
        <v>96.7</v>
      </c>
      <c r="N357" s="34">
        <v>12344.08</v>
      </c>
      <c r="O357" s="34">
        <v>17.75</v>
      </c>
      <c r="P357" s="64">
        <v>2249</v>
      </c>
      <c r="Q357" s="34">
        <f t="shared" si="92"/>
        <v>22.74014155712841</v>
      </c>
      <c r="R357" s="34">
        <v>3087.2</v>
      </c>
      <c r="S357" s="34">
        <f t="shared" si="93"/>
        <v>3121.5369059656214</v>
      </c>
      <c r="T357" s="34">
        <v>3118.4</v>
      </c>
      <c r="U357" s="34">
        <f t="shared" si="94"/>
        <v>3153.0839231547016</v>
      </c>
      <c r="V357" s="118">
        <v>233584</v>
      </c>
      <c r="W357" s="118">
        <v>8574059</v>
      </c>
      <c r="X357" s="119">
        <v>12032382</v>
      </c>
      <c r="Y357" s="119">
        <v>644260</v>
      </c>
      <c r="Z357" s="34">
        <v>99.3</v>
      </c>
      <c r="AA357" s="34">
        <v>89.6</v>
      </c>
      <c r="AB357" s="34">
        <v>92.8</v>
      </c>
      <c r="AC357" s="34">
        <v>91</v>
      </c>
      <c r="AD357" s="34">
        <v>45288</v>
      </c>
      <c r="AE357" s="34">
        <v>5</v>
      </c>
      <c r="AF357" s="34">
        <v>794</v>
      </c>
      <c r="AG357" s="34">
        <v>99.5</v>
      </c>
      <c r="AH357" s="34">
        <v>98.9</v>
      </c>
      <c r="AI357" s="64">
        <v>94.4</v>
      </c>
      <c r="AJ357" s="64">
        <v>95.6</v>
      </c>
      <c r="AK357" s="64">
        <v>180.66544999999999</v>
      </c>
      <c r="AL357" s="64">
        <v>91.3</v>
      </c>
      <c r="AM357" s="34">
        <v>99.83</v>
      </c>
      <c r="AN357" s="33">
        <v>149.62</v>
      </c>
      <c r="AO357" s="33">
        <v>96.96</v>
      </c>
      <c r="AP357" s="33">
        <v>62.92</v>
      </c>
      <c r="AQ357" s="34">
        <f t="shared" si="104"/>
        <v>0.66652542372881352</v>
      </c>
      <c r="AR357" s="34">
        <v>98.9</v>
      </c>
      <c r="AS357" s="34">
        <v>94.9</v>
      </c>
      <c r="AT357" s="34">
        <v>103</v>
      </c>
      <c r="AU357" s="34">
        <v>96</v>
      </c>
      <c r="AV357" s="34">
        <v>93.5</v>
      </c>
      <c r="AW357" s="34">
        <v>98.5</v>
      </c>
      <c r="AX357" s="34">
        <v>7.1</v>
      </c>
      <c r="AY357" s="34">
        <v>6.7</v>
      </c>
      <c r="AZ357" s="34">
        <v>4.5999999999999996</v>
      </c>
      <c r="BA357" s="34">
        <v>2.1</v>
      </c>
      <c r="BB357" s="34">
        <v>97.5</v>
      </c>
      <c r="BC357" s="34">
        <v>92.1</v>
      </c>
      <c r="BD357" s="34">
        <v>103.2</v>
      </c>
      <c r="BE357" s="34">
        <v>8.1999999999999993</v>
      </c>
      <c r="BF357" s="34">
        <v>-2.1</v>
      </c>
      <c r="BG357" s="34">
        <v>1.7</v>
      </c>
      <c r="BH357" s="34">
        <v>153.30000000000001</v>
      </c>
      <c r="BI357" s="34">
        <v>2.4</v>
      </c>
      <c r="BJ357" s="34">
        <v>44.3</v>
      </c>
      <c r="BK357" s="34">
        <v>25.81081240180599</v>
      </c>
      <c r="BL357" s="34">
        <v>0.22700000000000001</v>
      </c>
      <c r="BM357" s="34">
        <v>99.1053</v>
      </c>
      <c r="BN357" s="34">
        <v>99.232799999999997</v>
      </c>
      <c r="BO357" s="34">
        <v>-8.1</v>
      </c>
      <c r="BP357" s="34">
        <v>-14</v>
      </c>
      <c r="BQ357" s="34">
        <v>10.7</v>
      </c>
      <c r="BR357" s="34">
        <v>3.6</v>
      </c>
      <c r="BS357" s="34">
        <v>8.1999999999999993</v>
      </c>
      <c r="BT357" s="34">
        <v>-5.9</v>
      </c>
      <c r="BU357" s="34">
        <v>-5.0999999999999996</v>
      </c>
      <c r="BV357" s="34">
        <v>18.7</v>
      </c>
      <c r="BW357" s="34">
        <v>-0.9</v>
      </c>
      <c r="BX357" s="34">
        <v>-2.9</v>
      </c>
      <c r="BY357" s="34">
        <v>18.3</v>
      </c>
      <c r="BZ357" s="34">
        <v>106.1</v>
      </c>
      <c r="CA357" s="34">
        <v>-0.9</v>
      </c>
      <c r="CB357" s="34">
        <v>12.2</v>
      </c>
      <c r="CC357" s="34">
        <v>9.4</v>
      </c>
      <c r="CD357" s="34">
        <v>-7.8</v>
      </c>
      <c r="CE357" s="34">
        <v>-17.8</v>
      </c>
      <c r="CF357" s="34">
        <v>22.1</v>
      </c>
      <c r="CG357" s="34">
        <v>35.4</v>
      </c>
      <c r="CH357" s="34">
        <v>13.2</v>
      </c>
      <c r="CI357" s="34">
        <v>10.199999999999999</v>
      </c>
      <c r="CJ357" s="34">
        <v>-7.3</v>
      </c>
      <c r="CK357" s="34">
        <v>15</v>
      </c>
      <c r="CL357" s="34">
        <v>29.4</v>
      </c>
      <c r="CM357" s="34">
        <v>3385.4120870000002</v>
      </c>
      <c r="CN357" s="34">
        <v>26430.14</v>
      </c>
      <c r="CO357" s="34">
        <v>2854.7059089999998</v>
      </c>
      <c r="CP357" s="34">
        <v>1.1499999999999999</v>
      </c>
      <c r="CQ357" s="34">
        <v>2.52</v>
      </c>
      <c r="CR357" s="34">
        <v>93.5</v>
      </c>
      <c r="CS357" s="64">
        <v>49.1</v>
      </c>
      <c r="CT357" s="34">
        <v>106.8</v>
      </c>
      <c r="CU357" s="34">
        <v>104.9</v>
      </c>
      <c r="CV357" s="34">
        <v>108.2</v>
      </c>
      <c r="CW357" s="34">
        <v>102.9</v>
      </c>
      <c r="CX357" s="34">
        <v>113.1</v>
      </c>
      <c r="CY357" s="34">
        <v>10.24</v>
      </c>
      <c r="CZ357" s="34">
        <v>59647.64</v>
      </c>
      <c r="DA357" s="34">
        <v>5.87</v>
      </c>
      <c r="DB357" s="34">
        <v>34.81</v>
      </c>
      <c r="DC357" s="34">
        <v>57.52</v>
      </c>
      <c r="DD357" s="34">
        <v>17.010000000000002</v>
      </c>
      <c r="DE357" s="34">
        <v>19337.039000000001</v>
      </c>
      <c r="DF357" s="34">
        <v>2509.9380000000001</v>
      </c>
      <c r="DG357" s="34">
        <v>2434.2399999999998</v>
      </c>
      <c r="DH357" s="34">
        <v>1658.33</v>
      </c>
      <c r="DI357" s="34">
        <v>8168.9759999999997</v>
      </c>
      <c r="DJ357" s="34">
        <v>99.462000000000003</v>
      </c>
      <c r="DK357" s="34">
        <v>99.320999999999998</v>
      </c>
      <c r="DL357" s="34">
        <v>98.86</v>
      </c>
      <c r="DM357" s="34">
        <v>98.552000000000007</v>
      </c>
      <c r="DN357" s="34">
        <v>99.232799999999997</v>
      </c>
      <c r="DO357" s="34">
        <v>99.1053</v>
      </c>
      <c r="DP357" s="34">
        <v>99.254900000000006</v>
      </c>
      <c r="DQ357" s="34">
        <v>99.180099999999996</v>
      </c>
      <c r="DR357" s="34">
        <v>44986</v>
      </c>
      <c r="DS357" s="73">
        <v>33483</v>
      </c>
      <c r="DT357" s="73">
        <v>100.6</v>
      </c>
      <c r="DU357">
        <v>196.30670166015625</v>
      </c>
      <c r="DV357">
        <v>145.92436218261719</v>
      </c>
      <c r="DW357">
        <v>1011</v>
      </c>
      <c r="DX357">
        <v>231950</v>
      </c>
      <c r="DY357">
        <v>96</v>
      </c>
      <c r="DZ357" t="s">
        <v>312</v>
      </c>
    </row>
    <row r="358" spans="1:130" s="56" customFormat="1" x14ac:dyDescent="0.25">
      <c r="A358" s="53">
        <v>43617</v>
      </c>
      <c r="B358" s="54">
        <v>103.7</v>
      </c>
      <c r="C358" s="112">
        <v>-0.36</v>
      </c>
      <c r="D358" s="98">
        <v>0</v>
      </c>
      <c r="E358" s="54">
        <v>-0.32</v>
      </c>
      <c r="F358" s="54">
        <v>-0.67</v>
      </c>
      <c r="G358" s="54">
        <v>-0.53</v>
      </c>
      <c r="H358" s="54">
        <v>-0.31</v>
      </c>
      <c r="I358" s="54">
        <f t="shared" ref="I358:I363" si="105">IF(ISNUMBER(C358),IF(ISNUMBER(H358),H358-C358,""),"")</f>
        <v>4.9999999999999989E-2</v>
      </c>
      <c r="J358" s="54">
        <f t="shared" ref="J358:J363" si="106">IF(ISNUMBER(D358),IF(ISNUMBER(H358),H358-D358,""),"")</f>
        <v>-0.31</v>
      </c>
      <c r="K358" s="54">
        <f t="shared" ref="K358:K363" si="107">IF(ISNUMBER(H358),IF(ISNUMBER(E358),H358-E358,""),"")</f>
        <v>1.0000000000000009E-2</v>
      </c>
      <c r="L358" s="54">
        <f t="shared" ref="L358:L363" si="108">IF(ISNUMBER(D358),IF(ISNUMBER(C358),D358-C358,""),"")</f>
        <v>0.36</v>
      </c>
      <c r="M358" s="54">
        <v>96.8</v>
      </c>
      <c r="N358" s="54">
        <v>11792.81</v>
      </c>
      <c r="O358" s="54">
        <v>13.54</v>
      </c>
      <c r="P358" s="64">
        <v>2265.6999999999998</v>
      </c>
      <c r="Q358" s="34">
        <f t="shared" si="92"/>
        <v>22.908998988877652</v>
      </c>
      <c r="R358" s="34">
        <v>3102.1</v>
      </c>
      <c r="S358" s="34">
        <f t="shared" si="93"/>
        <v>3136.6026289180986</v>
      </c>
      <c r="T358" s="34">
        <v>3134.3</v>
      </c>
      <c r="U358" s="34">
        <f t="shared" si="94"/>
        <v>3169.1607684529827</v>
      </c>
      <c r="V358" s="118">
        <v>244012</v>
      </c>
      <c r="W358" s="118">
        <v>8613766</v>
      </c>
      <c r="X358" s="119">
        <v>12070935</v>
      </c>
      <c r="Y358" s="119">
        <v>642525</v>
      </c>
      <c r="Z358" s="54">
        <v>98.1</v>
      </c>
      <c r="AA358" s="54">
        <v>91.3</v>
      </c>
      <c r="AB358" s="54">
        <v>92.3</v>
      </c>
      <c r="AC358" s="54">
        <v>93.6</v>
      </c>
      <c r="AD358" s="54">
        <v>45285</v>
      </c>
      <c r="AE358" s="54">
        <v>5</v>
      </c>
      <c r="AF358" s="54">
        <v>789</v>
      </c>
      <c r="AG358" s="54">
        <v>99.5</v>
      </c>
      <c r="AH358" s="54">
        <v>98.9</v>
      </c>
      <c r="AI358" s="64">
        <v>93.5</v>
      </c>
      <c r="AJ358" s="64">
        <v>95.5</v>
      </c>
      <c r="AK358" s="64">
        <v>180.079508</v>
      </c>
      <c r="AL358" s="64">
        <v>91.5</v>
      </c>
      <c r="AM358" s="54">
        <v>99.03</v>
      </c>
      <c r="AN358" s="33">
        <v>131.69</v>
      </c>
      <c r="AO358" s="33">
        <v>98.79</v>
      </c>
      <c r="AP358" s="33">
        <v>55.95</v>
      </c>
      <c r="AQ358" s="54">
        <f t="shared" si="104"/>
        <v>0.59839572192513368</v>
      </c>
      <c r="AR358" s="54">
        <v>97.3</v>
      </c>
      <c r="AS358" s="54">
        <v>92.8</v>
      </c>
      <c r="AT358" s="54">
        <v>102.1</v>
      </c>
      <c r="AU358" s="54">
        <v>93.7</v>
      </c>
      <c r="AV358" s="54">
        <v>90.7</v>
      </c>
      <c r="AW358" s="54">
        <v>96.8</v>
      </c>
      <c r="AX358" s="54">
        <v>2.5</v>
      </c>
      <c r="AY358" s="54">
        <v>-2.5</v>
      </c>
      <c r="AZ358" s="54">
        <v>-3</v>
      </c>
      <c r="BA358" s="54">
        <v>-10.6</v>
      </c>
      <c r="BB358" s="54">
        <v>98.6</v>
      </c>
      <c r="BC358" s="54">
        <v>93.7</v>
      </c>
      <c r="BD358" s="54">
        <v>103.8</v>
      </c>
      <c r="BE358" s="54">
        <v>7.8</v>
      </c>
      <c r="BF358" s="54">
        <v>-21.1</v>
      </c>
      <c r="BG358" s="54">
        <v>2.4</v>
      </c>
      <c r="BH358" s="54">
        <v>157.4</v>
      </c>
      <c r="BI358" s="54">
        <v>1.8</v>
      </c>
      <c r="BJ358" s="34">
        <v>45</v>
      </c>
      <c r="BK358" s="54">
        <v>21.643297870878371</v>
      </c>
      <c r="BL358" s="54">
        <v>0.26300000000000001</v>
      </c>
      <c r="BM358" s="54">
        <v>98.888400000000004</v>
      </c>
      <c r="BN358" s="54">
        <v>99.046499999999995</v>
      </c>
      <c r="BO358" s="54">
        <v>-12.2</v>
      </c>
      <c r="BP358" s="54">
        <v>-16.5</v>
      </c>
      <c r="BQ358" s="54">
        <v>11.5</v>
      </c>
      <c r="BR358" s="54">
        <v>-2.8</v>
      </c>
      <c r="BS358" s="54">
        <v>5.9</v>
      </c>
      <c r="BT358" s="54">
        <v>-8.6999999999999993</v>
      </c>
      <c r="BU358" s="54">
        <v>-8.8000000000000007</v>
      </c>
      <c r="BV358" s="54">
        <v>16.399999999999999</v>
      </c>
      <c r="BW358" s="54">
        <v>-2.9</v>
      </c>
      <c r="BX358" s="54">
        <v>-2.7</v>
      </c>
      <c r="BY358" s="54">
        <v>16.8</v>
      </c>
      <c r="BZ358" s="54">
        <v>103.2</v>
      </c>
      <c r="CA358" s="54">
        <v>-2.9</v>
      </c>
      <c r="CB358" s="54">
        <v>7.3</v>
      </c>
      <c r="CC358" s="54">
        <v>7.8</v>
      </c>
      <c r="CD358" s="54">
        <v>-8.8000000000000007</v>
      </c>
      <c r="CE358" s="54">
        <v>-19.399999999999999</v>
      </c>
      <c r="CF358" s="54">
        <v>22.6</v>
      </c>
      <c r="CG358" s="54">
        <v>34.700000000000003</v>
      </c>
      <c r="CH358" s="54">
        <v>17.3</v>
      </c>
      <c r="CI358" s="54">
        <v>10.7</v>
      </c>
      <c r="CJ358" s="54">
        <v>-7.3</v>
      </c>
      <c r="CK358" s="54">
        <v>14.3</v>
      </c>
      <c r="CL358" s="54">
        <v>29</v>
      </c>
      <c r="CM358" s="54">
        <v>3405.9535000000001</v>
      </c>
      <c r="CN358" s="54">
        <v>24819.79</v>
      </c>
      <c r="CO358" s="54">
        <v>2890.1660000000002</v>
      </c>
      <c r="CP358" s="54">
        <v>0.86399999999999999</v>
      </c>
      <c r="CQ358" s="54">
        <v>2.0699999999999998</v>
      </c>
      <c r="CR358" s="54">
        <v>89.3</v>
      </c>
      <c r="CS358" s="64">
        <v>49.33</v>
      </c>
      <c r="CT358" s="54">
        <v>104.5</v>
      </c>
      <c r="CU358" s="54">
        <v>104.6</v>
      </c>
      <c r="CV358" s="54">
        <v>109.4</v>
      </c>
      <c r="CW358" s="54">
        <v>102.6</v>
      </c>
      <c r="CX358" s="54">
        <v>109.6</v>
      </c>
      <c r="CY358" s="54">
        <v>10.06</v>
      </c>
      <c r="CZ358" s="54">
        <v>57508.235000000001</v>
      </c>
      <c r="DA358" s="54">
        <v>5.72</v>
      </c>
      <c r="DB358" s="54">
        <v>35.78</v>
      </c>
      <c r="DC358" s="54">
        <v>59.32</v>
      </c>
      <c r="DD358" s="54">
        <v>17.07</v>
      </c>
      <c r="DE358" s="54">
        <v>16775.718000000001</v>
      </c>
      <c r="DF358" s="54">
        <v>2368.7750000000001</v>
      </c>
      <c r="DG358" s="54">
        <v>2064.4830000000002</v>
      </c>
      <c r="DH358" s="54">
        <v>1597.6030000000001</v>
      </c>
      <c r="DI358" s="54">
        <v>7201.4960000000001</v>
      </c>
      <c r="DJ358" s="54">
        <v>99.462400000000002</v>
      </c>
      <c r="DK358" s="54">
        <v>99.325500000000005</v>
      </c>
      <c r="DL358" s="54">
        <v>98.92</v>
      </c>
      <c r="DM358" s="54">
        <v>98.629900000000006</v>
      </c>
      <c r="DN358" s="54">
        <v>99.046499999999995</v>
      </c>
      <c r="DO358" s="54">
        <v>98.888400000000004</v>
      </c>
      <c r="DP358" s="54">
        <v>99.160600000000002</v>
      </c>
      <c r="DQ358" s="54">
        <v>99.076300000000003</v>
      </c>
      <c r="DR358" s="54">
        <v>42570</v>
      </c>
      <c r="DS358" s="96">
        <v>33495</v>
      </c>
      <c r="DT358" s="96">
        <v>99.9</v>
      </c>
      <c r="DU358">
        <v>205.54046630859375</v>
      </c>
      <c r="DV358">
        <v>171.36991882324219</v>
      </c>
      <c r="DW358" s="56">
        <v>1103</v>
      </c>
      <c r="DX358" s="56">
        <v>211775</v>
      </c>
      <c r="DY358" s="56">
        <v>96.6</v>
      </c>
      <c r="DZ358" t="s">
        <v>312</v>
      </c>
    </row>
    <row r="359" spans="1:130" x14ac:dyDescent="0.25">
      <c r="A359" s="1">
        <v>43647</v>
      </c>
      <c r="B359" s="34">
        <v>103.6</v>
      </c>
      <c r="C359" s="111">
        <v>-0.37</v>
      </c>
      <c r="D359" s="99">
        <v>0</v>
      </c>
      <c r="E359" s="34">
        <v>-0.34</v>
      </c>
      <c r="F359" s="34">
        <v>-0.73</v>
      </c>
      <c r="G359" s="34">
        <v>-0.59</v>
      </c>
      <c r="H359" s="34">
        <v>-0.39</v>
      </c>
      <c r="I359" s="34">
        <f t="shared" si="105"/>
        <v>-2.0000000000000018E-2</v>
      </c>
      <c r="J359" s="34">
        <f t="shared" si="106"/>
        <v>-0.39</v>
      </c>
      <c r="K359" s="34">
        <f t="shared" si="107"/>
        <v>-4.9999999999999989E-2</v>
      </c>
      <c r="L359" s="34">
        <f t="shared" si="108"/>
        <v>0.37</v>
      </c>
      <c r="M359" s="34">
        <v>96.7</v>
      </c>
      <c r="N359" s="34">
        <v>12521.38</v>
      </c>
      <c r="O359" s="34">
        <v>14.52</v>
      </c>
      <c r="P359" s="64">
        <v>2274.1999999999998</v>
      </c>
      <c r="Q359" s="34">
        <f t="shared" si="92"/>
        <v>22.948536831483349</v>
      </c>
      <c r="R359" s="34">
        <v>3105.3</v>
      </c>
      <c r="S359" s="34">
        <f t="shared" si="93"/>
        <v>3133.5015136226039</v>
      </c>
      <c r="T359" s="34">
        <v>3136.7</v>
      </c>
      <c r="U359" s="34">
        <f t="shared" si="94"/>
        <v>3165.1866801210895</v>
      </c>
      <c r="V359" s="118">
        <v>243677</v>
      </c>
      <c r="W359" s="118">
        <v>8684066</v>
      </c>
      <c r="X359" s="119">
        <v>12137470</v>
      </c>
      <c r="Y359" s="119">
        <v>645686</v>
      </c>
      <c r="Z359" s="34">
        <v>98.2</v>
      </c>
      <c r="AA359" s="34">
        <v>90.8</v>
      </c>
      <c r="AB359" s="34">
        <v>93.1</v>
      </c>
      <c r="AC359" s="34">
        <v>93</v>
      </c>
      <c r="AD359" s="34">
        <v>45317</v>
      </c>
      <c r="AE359" s="34">
        <v>5</v>
      </c>
      <c r="AF359" s="34">
        <v>779</v>
      </c>
      <c r="AG359" s="34">
        <v>99.5</v>
      </c>
      <c r="AH359" s="34">
        <v>99.1</v>
      </c>
      <c r="AI359" s="64">
        <v>93.2</v>
      </c>
      <c r="AJ359" s="64">
        <v>95.7</v>
      </c>
      <c r="AK359" s="64">
        <v>180.079508</v>
      </c>
      <c r="AL359" s="64">
        <v>121.7</v>
      </c>
      <c r="AM359" s="34">
        <v>100.28</v>
      </c>
      <c r="AN359" s="33">
        <v>135.25</v>
      </c>
      <c r="AO359" s="33">
        <v>99.21</v>
      </c>
      <c r="AP359" s="33">
        <v>57.35</v>
      </c>
      <c r="AQ359" s="34">
        <f t="shared" si="104"/>
        <v>0.61534334763948495</v>
      </c>
      <c r="AR359" s="34">
        <v>95.5</v>
      </c>
      <c r="AS359" s="34">
        <v>91.5</v>
      </c>
      <c r="AT359" s="34">
        <v>99.7</v>
      </c>
      <c r="AU359" s="34">
        <v>91.3</v>
      </c>
      <c r="AV359" s="34">
        <v>89.3</v>
      </c>
      <c r="AW359" s="34">
        <v>93.3</v>
      </c>
      <c r="AX359" s="34">
        <v>-2.2999999999999998</v>
      </c>
      <c r="AY359" s="34">
        <v>-4.5</v>
      </c>
      <c r="AZ359" s="34">
        <v>-7.3</v>
      </c>
      <c r="BA359" s="34">
        <v>-7.6</v>
      </c>
      <c r="BB359" s="34">
        <v>95.1</v>
      </c>
      <c r="BC359" s="34">
        <v>90.3</v>
      </c>
      <c r="BD359" s="34">
        <v>100.2</v>
      </c>
      <c r="BE359" s="34">
        <v>-1.1000000000000001</v>
      </c>
      <c r="BF359" s="34">
        <v>-24.5</v>
      </c>
      <c r="BG359" s="34">
        <v>-3.7</v>
      </c>
      <c r="BH359" s="34">
        <v>163.4</v>
      </c>
      <c r="BI359" s="34">
        <v>1.6</v>
      </c>
      <c r="BJ359" s="34">
        <v>43.2</v>
      </c>
      <c r="BK359" s="34">
        <v>25.032483145764473</v>
      </c>
      <c r="BL359" s="34">
        <v>0.27500000000000002</v>
      </c>
      <c r="BM359" s="34">
        <v>98.722999999999999</v>
      </c>
      <c r="BN359" s="34">
        <v>98.904300000000006</v>
      </c>
      <c r="BO359" s="34">
        <v>-17.2</v>
      </c>
      <c r="BP359" s="34">
        <v>-21.4</v>
      </c>
      <c r="BQ359" s="34">
        <v>13.8</v>
      </c>
      <c r="BR359" s="34">
        <v>-5</v>
      </c>
      <c r="BS359" s="34">
        <v>2.5</v>
      </c>
      <c r="BT359" s="34">
        <v>-13.3</v>
      </c>
      <c r="BU359" s="34">
        <v>-12</v>
      </c>
      <c r="BV359" s="34">
        <v>12.5</v>
      </c>
      <c r="BW359" s="34">
        <v>-2.6</v>
      </c>
      <c r="BX359" s="34">
        <v>-7.3</v>
      </c>
      <c r="BY359" s="34">
        <v>18</v>
      </c>
      <c r="BZ359" s="34">
        <v>100.5</v>
      </c>
      <c r="CA359" s="34">
        <v>-2.6</v>
      </c>
      <c r="CB359" s="34">
        <v>9.5</v>
      </c>
      <c r="CC359" s="34">
        <v>8.5</v>
      </c>
      <c r="CD359" s="34">
        <v>-13.5</v>
      </c>
      <c r="CE359" s="34">
        <v>-19.399999999999999</v>
      </c>
      <c r="CF359" s="34">
        <v>21.3</v>
      </c>
      <c r="CG359" s="34">
        <v>34.1</v>
      </c>
      <c r="CH359" s="34">
        <v>21.1</v>
      </c>
      <c r="CI359" s="34">
        <v>7.9</v>
      </c>
      <c r="CJ359" s="34">
        <v>-8.9</v>
      </c>
      <c r="CK359" s="34">
        <v>14.2</v>
      </c>
      <c r="CL359" s="34">
        <v>27.9</v>
      </c>
      <c r="CM359" s="34">
        <v>3507.8027830000001</v>
      </c>
      <c r="CN359" s="34">
        <v>26717.43</v>
      </c>
      <c r="CO359" s="34">
        <v>2996.113636</v>
      </c>
      <c r="CP359" s="34">
        <v>0.80700000000000005</v>
      </c>
      <c r="CQ359" s="34">
        <v>2.0299999999999998</v>
      </c>
      <c r="CR359" s="34">
        <v>90.5</v>
      </c>
      <c r="CS359" s="64">
        <v>48.97</v>
      </c>
      <c r="CT359" s="34">
        <v>103.4</v>
      </c>
      <c r="CU359" s="34">
        <v>105.6</v>
      </c>
      <c r="CV359" s="34">
        <v>108.1</v>
      </c>
      <c r="CW359" s="34">
        <v>102.7</v>
      </c>
      <c r="CX359" s="34">
        <v>108.9</v>
      </c>
      <c r="CY359" s="34">
        <v>10.14</v>
      </c>
      <c r="CZ359" s="34">
        <v>57923.150999999998</v>
      </c>
      <c r="DA359" s="34">
        <v>5.87</v>
      </c>
      <c r="DB359" s="34">
        <v>33.53</v>
      </c>
      <c r="DC359" s="34">
        <v>57.36</v>
      </c>
      <c r="DD359" s="34">
        <v>16.940000000000001</v>
      </c>
      <c r="DE359" s="34">
        <v>20208.147000000001</v>
      </c>
      <c r="DF359" s="34">
        <v>2688.7359999999999</v>
      </c>
      <c r="DG359" s="34">
        <v>2465.5030000000002</v>
      </c>
      <c r="DH359" s="34">
        <v>2045.47</v>
      </c>
      <c r="DI359" s="34">
        <v>8726.2620000000006</v>
      </c>
      <c r="DJ359" s="34">
        <v>99.456999999999994</v>
      </c>
      <c r="DK359" s="34">
        <v>99.322500000000005</v>
      </c>
      <c r="DL359" s="34">
        <v>98.97</v>
      </c>
      <c r="DM359" s="34">
        <v>98.692099999999996</v>
      </c>
      <c r="DN359" s="34">
        <v>98.904300000000006</v>
      </c>
      <c r="DO359" s="34">
        <v>98.722999999999999</v>
      </c>
      <c r="DP359" s="34">
        <v>99.083200000000005</v>
      </c>
      <c r="DQ359" s="34">
        <v>98.991100000000003</v>
      </c>
      <c r="DR359" s="34">
        <v>46827</v>
      </c>
      <c r="DS359" s="73">
        <v>33558</v>
      </c>
      <c r="DT359" s="73">
        <v>99.6</v>
      </c>
      <c r="DU359">
        <v>229.7369384765625</v>
      </c>
      <c r="DV359">
        <v>246.24191284179688</v>
      </c>
      <c r="DW359">
        <v>1381</v>
      </c>
      <c r="DX359">
        <v>239925</v>
      </c>
      <c r="DY359">
        <v>97.1</v>
      </c>
      <c r="DZ359" t="s">
        <v>312</v>
      </c>
    </row>
    <row r="360" spans="1:130" x14ac:dyDescent="0.25">
      <c r="A360" s="1">
        <v>43678</v>
      </c>
      <c r="B360" s="34">
        <v>104</v>
      </c>
      <c r="C360" s="111">
        <v>-0.36</v>
      </c>
      <c r="D360" s="99">
        <v>0</v>
      </c>
      <c r="E360" s="34">
        <v>-0.37</v>
      </c>
      <c r="F360" s="34">
        <v>-0.89</v>
      </c>
      <c r="G360" s="34">
        <v>-0.8</v>
      </c>
      <c r="H360" s="34">
        <v>-0.65</v>
      </c>
      <c r="I360" s="34">
        <f t="shared" si="105"/>
        <v>-0.29000000000000004</v>
      </c>
      <c r="J360" s="34">
        <f t="shared" si="106"/>
        <v>-0.65</v>
      </c>
      <c r="K360" s="34">
        <f t="shared" si="107"/>
        <v>-0.28000000000000003</v>
      </c>
      <c r="L360" s="34">
        <f t="shared" si="108"/>
        <v>0.36</v>
      </c>
      <c r="M360" s="34">
        <v>96.4</v>
      </c>
      <c r="N360" s="34">
        <v>12253.15</v>
      </c>
      <c r="O360" s="34">
        <v>17.89</v>
      </c>
      <c r="P360" s="64">
        <v>2296.5</v>
      </c>
      <c r="Q360" s="34">
        <f t="shared" si="92"/>
        <v>23.126888217522659</v>
      </c>
      <c r="R360" s="34">
        <v>3133.8</v>
      </c>
      <c r="S360" s="34">
        <f t="shared" si="93"/>
        <v>3155.8912386706952</v>
      </c>
      <c r="T360" s="34">
        <v>3166.4</v>
      </c>
      <c r="U360" s="34">
        <f t="shared" si="94"/>
        <v>3188.7210473313194</v>
      </c>
      <c r="V360" s="118">
        <v>242435</v>
      </c>
      <c r="W360" s="118">
        <v>8768593</v>
      </c>
      <c r="X360" s="119">
        <v>12239218</v>
      </c>
      <c r="Y360" s="119">
        <v>648694</v>
      </c>
      <c r="Z360" s="34">
        <v>98.4</v>
      </c>
      <c r="AA360" s="34">
        <v>90.1</v>
      </c>
      <c r="AB360" s="34">
        <v>91.5</v>
      </c>
      <c r="AC360" s="34">
        <v>90.1</v>
      </c>
      <c r="AD360" s="34">
        <v>45313</v>
      </c>
      <c r="AE360" s="34">
        <v>5</v>
      </c>
      <c r="AF360" s="34">
        <v>768</v>
      </c>
      <c r="AG360" s="34">
        <v>99.7</v>
      </c>
      <c r="AH360" s="34">
        <v>99.3</v>
      </c>
      <c r="AI360" s="64">
        <v>92.8</v>
      </c>
      <c r="AJ360" s="64">
        <v>95.7</v>
      </c>
      <c r="AK360" s="64">
        <v>179.29825199999999</v>
      </c>
      <c r="AL360" s="64">
        <v>91.6</v>
      </c>
      <c r="AM360" s="34">
        <v>95.35</v>
      </c>
      <c r="AN360" s="33">
        <v>126.42</v>
      </c>
      <c r="AO360" s="33">
        <v>93.8</v>
      </c>
      <c r="AP360" s="33">
        <v>53.59</v>
      </c>
      <c r="AQ360" s="34">
        <f t="shared" si="104"/>
        <v>0.57747844827586214</v>
      </c>
      <c r="AR360" s="34">
        <v>94.5</v>
      </c>
      <c r="AS360" s="34">
        <v>90.9</v>
      </c>
      <c r="AT360" s="34">
        <v>98.2</v>
      </c>
      <c r="AU360" s="34">
        <v>90.9</v>
      </c>
      <c r="AV360" s="34">
        <v>89.2</v>
      </c>
      <c r="AW360" s="34">
        <v>92.7</v>
      </c>
      <c r="AX360" s="34">
        <v>-4.5</v>
      </c>
      <c r="AY360" s="34">
        <v>-1.5</v>
      </c>
      <c r="AZ360" s="34">
        <v>-12.5</v>
      </c>
      <c r="BA360" s="34">
        <v>-9.9</v>
      </c>
      <c r="BB360" s="34">
        <v>92.4</v>
      </c>
      <c r="BC360" s="34">
        <v>86.8</v>
      </c>
      <c r="BD360" s="34">
        <v>98.5</v>
      </c>
      <c r="BE360" s="34">
        <v>-13.5</v>
      </c>
      <c r="BF360" s="34">
        <v>-44.1</v>
      </c>
      <c r="BG360" s="34">
        <v>-12</v>
      </c>
      <c r="BH360" s="34">
        <v>163</v>
      </c>
      <c r="BI360" s="34">
        <v>2.6</v>
      </c>
      <c r="BJ360" s="34">
        <v>47</v>
      </c>
      <c r="BK360" s="34">
        <v>19.305528937813122</v>
      </c>
      <c r="BL360" s="34">
        <v>0.28100000000000003</v>
      </c>
      <c r="BM360" s="34">
        <v>98.652500000000003</v>
      </c>
      <c r="BN360" s="34">
        <v>98.843800000000002</v>
      </c>
      <c r="BO360" s="34">
        <v>-17.399999999999999</v>
      </c>
      <c r="BP360" s="34">
        <v>-19.8</v>
      </c>
      <c r="BQ360" s="34">
        <v>12.4</v>
      </c>
      <c r="BR360" s="34">
        <v>-2.5</v>
      </c>
      <c r="BS360" s="34">
        <v>3</v>
      </c>
      <c r="BT360" s="34">
        <v>-11.7</v>
      </c>
      <c r="BU360" s="34">
        <v>-10.8</v>
      </c>
      <c r="BV360" s="34">
        <v>11.2</v>
      </c>
      <c r="BW360" s="34">
        <v>-3.3</v>
      </c>
      <c r="BX360" s="34">
        <v>-5.8</v>
      </c>
      <c r="BY360" s="34">
        <v>15.5</v>
      </c>
      <c r="BZ360" s="34">
        <v>100.6</v>
      </c>
      <c r="CA360" s="34">
        <v>-3.3</v>
      </c>
      <c r="CB360" s="34">
        <v>9.9</v>
      </c>
      <c r="CC360" s="34">
        <v>8.9</v>
      </c>
      <c r="CD360" s="34">
        <v>-16.3</v>
      </c>
      <c r="CE360" s="34">
        <v>-24</v>
      </c>
      <c r="CF360" s="34">
        <v>20.399999999999999</v>
      </c>
      <c r="CG360" s="34">
        <v>35.799999999999997</v>
      </c>
      <c r="CH360" s="34">
        <v>22.9</v>
      </c>
      <c r="CI360" s="34">
        <v>8.4</v>
      </c>
      <c r="CJ360" s="34">
        <v>-8</v>
      </c>
      <c r="CK360" s="34">
        <v>11</v>
      </c>
      <c r="CL360" s="34">
        <v>27</v>
      </c>
      <c r="CM360" s="34">
        <v>3355.3239090000002</v>
      </c>
      <c r="CN360" s="34">
        <v>26583.42</v>
      </c>
      <c r="CO360" s="34">
        <v>2897.4981819999998</v>
      </c>
      <c r="CP360" s="34">
        <v>0.58599999999999997</v>
      </c>
      <c r="CQ360" s="34">
        <v>1.9</v>
      </c>
      <c r="CR360" s="34">
        <v>79.900000000000006</v>
      </c>
      <c r="CS360" s="64">
        <v>48.25</v>
      </c>
      <c r="CT360" s="34">
        <v>103.6</v>
      </c>
      <c r="CU360" s="34">
        <v>107.9</v>
      </c>
      <c r="CV360" s="34">
        <v>107.7</v>
      </c>
      <c r="CW360" s="34">
        <v>103.8</v>
      </c>
      <c r="CX360" s="34">
        <v>109.9</v>
      </c>
      <c r="CY360" s="34">
        <v>10.36</v>
      </c>
      <c r="CZ360" s="34">
        <v>51793.057999999997</v>
      </c>
      <c r="DA360" s="34">
        <v>5.87</v>
      </c>
      <c r="DB360" s="34">
        <v>33.630000000000003</v>
      </c>
      <c r="DC360" s="34">
        <v>57.79</v>
      </c>
      <c r="DD360" s="34">
        <v>17.23</v>
      </c>
      <c r="DE360" s="34">
        <v>16834.523000000001</v>
      </c>
      <c r="DF360" s="34">
        <v>2243.326</v>
      </c>
      <c r="DG360" s="34">
        <v>2251.1260000000002</v>
      </c>
      <c r="DH360" s="34">
        <v>1579.7819999999999</v>
      </c>
      <c r="DI360" s="34">
        <v>7381.875</v>
      </c>
      <c r="DJ360" s="34">
        <v>99.442499999999995</v>
      </c>
      <c r="DK360" s="34">
        <v>99.307699999999997</v>
      </c>
      <c r="DL360" s="34">
        <v>99</v>
      </c>
      <c r="DM360" s="34">
        <v>98.730500000000006</v>
      </c>
      <c r="DN360" s="34">
        <v>98.843800000000002</v>
      </c>
      <c r="DO360" s="34">
        <v>98.652500000000003</v>
      </c>
      <c r="DP360" s="34">
        <v>99.033000000000001</v>
      </c>
      <c r="DQ360" s="34">
        <v>98.936000000000007</v>
      </c>
      <c r="DR360" s="34">
        <v>51248</v>
      </c>
      <c r="DS360" s="73">
        <v>33592</v>
      </c>
      <c r="DT360" s="73">
        <v>98</v>
      </c>
      <c r="DU360">
        <v>277.04244995117188</v>
      </c>
      <c r="DV360">
        <v>314.25814819335938</v>
      </c>
      <c r="DW360">
        <v>1812</v>
      </c>
      <c r="DX360">
        <v>286600</v>
      </c>
      <c r="DY360">
        <v>96.2</v>
      </c>
      <c r="DZ360" t="s">
        <v>312</v>
      </c>
    </row>
    <row r="361" spans="1:130" s="56" customFormat="1" x14ac:dyDescent="0.25">
      <c r="A361" s="53">
        <v>43709</v>
      </c>
      <c r="B361" s="54">
        <v>103.2</v>
      </c>
      <c r="C361" s="112">
        <v>-0.4</v>
      </c>
      <c r="D361" s="98">
        <v>0</v>
      </c>
      <c r="E361" s="54">
        <v>-0.4</v>
      </c>
      <c r="F361" s="54">
        <v>-0.83</v>
      </c>
      <c r="G361" s="54">
        <v>-0.76</v>
      </c>
      <c r="H361" s="54">
        <v>-0.59</v>
      </c>
      <c r="I361" s="54">
        <f t="shared" si="105"/>
        <v>-0.18999999999999995</v>
      </c>
      <c r="J361" s="54">
        <f t="shared" si="106"/>
        <v>-0.59</v>
      </c>
      <c r="K361" s="54">
        <f t="shared" si="107"/>
        <v>-0.18999999999999995</v>
      </c>
      <c r="L361" s="54">
        <f t="shared" si="108"/>
        <v>0.4</v>
      </c>
      <c r="M361" s="54">
        <v>96.1</v>
      </c>
      <c r="N361" s="54">
        <v>11953.78</v>
      </c>
      <c r="O361" s="54">
        <v>17.23</v>
      </c>
      <c r="P361" s="64">
        <v>2299.6</v>
      </c>
      <c r="Q361" s="34">
        <f t="shared" si="92"/>
        <v>23.134808853118709</v>
      </c>
      <c r="R361" s="34">
        <v>3133.4</v>
      </c>
      <c r="S361" s="34">
        <f t="shared" si="93"/>
        <v>3152.3138832997988</v>
      </c>
      <c r="T361" s="34">
        <v>3167.2</v>
      </c>
      <c r="U361" s="34">
        <f t="shared" si="94"/>
        <v>3186.3179074446675</v>
      </c>
      <c r="V361" s="118">
        <v>246157</v>
      </c>
      <c r="W361" s="118">
        <v>8821267</v>
      </c>
      <c r="X361" s="119">
        <v>12279671</v>
      </c>
      <c r="Y361" s="119">
        <v>642020</v>
      </c>
      <c r="Z361" s="54">
        <v>97.6</v>
      </c>
      <c r="AA361" s="54">
        <v>91.9</v>
      </c>
      <c r="AB361" s="54">
        <v>92.8</v>
      </c>
      <c r="AC361" s="54">
        <v>94.5</v>
      </c>
      <c r="AD361" s="54">
        <v>45335</v>
      </c>
      <c r="AE361" s="54">
        <v>5</v>
      </c>
      <c r="AF361" s="54">
        <v>759</v>
      </c>
      <c r="AG361" s="54">
        <v>99.8</v>
      </c>
      <c r="AH361" s="54">
        <v>99.4</v>
      </c>
      <c r="AI361" s="64">
        <v>93.4</v>
      </c>
      <c r="AJ361" s="64">
        <v>95.8</v>
      </c>
      <c r="AK361" s="64">
        <v>179.49356599999999</v>
      </c>
      <c r="AL361" s="64">
        <v>91.5</v>
      </c>
      <c r="AM361" s="54">
        <v>95.31</v>
      </c>
      <c r="AN361" s="33">
        <v>131.11000000000001</v>
      </c>
      <c r="AO361" s="33">
        <v>93.72</v>
      </c>
      <c r="AP361" s="33">
        <v>56.71</v>
      </c>
      <c r="AQ361" s="54">
        <f t="shared" si="104"/>
        <v>0.60717344753747315</v>
      </c>
      <c r="AR361" s="54">
        <v>94.1</v>
      </c>
      <c r="AS361" s="54">
        <v>90.7</v>
      </c>
      <c r="AT361" s="54">
        <v>97.7</v>
      </c>
      <c r="AU361" s="54">
        <v>90.7</v>
      </c>
      <c r="AV361" s="54">
        <v>89.4</v>
      </c>
      <c r="AW361" s="54">
        <v>91.9</v>
      </c>
      <c r="AX361" s="54">
        <v>-3.1</v>
      </c>
      <c r="AY361" s="54">
        <v>-8.9</v>
      </c>
      <c r="AZ361" s="54">
        <v>-15.5</v>
      </c>
      <c r="BA361" s="54">
        <v>-12</v>
      </c>
      <c r="BB361" s="54">
        <v>92.2</v>
      </c>
      <c r="BC361" s="54">
        <v>87.1</v>
      </c>
      <c r="BD361" s="54">
        <v>97.6</v>
      </c>
      <c r="BE361" s="54">
        <v>-19.899999999999999</v>
      </c>
      <c r="BF361" s="54">
        <v>-22.5</v>
      </c>
      <c r="BG361" s="54">
        <v>-9</v>
      </c>
      <c r="BH361" s="54">
        <v>164.9</v>
      </c>
      <c r="BI361" s="54">
        <v>0.9</v>
      </c>
      <c r="BJ361" s="34">
        <v>45.6</v>
      </c>
      <c r="BK361" s="54">
        <v>23.302994030381438</v>
      </c>
      <c r="BL361" s="54">
        <v>0.25900000000000001</v>
      </c>
      <c r="BM361" s="54">
        <v>98.672799999999995</v>
      </c>
      <c r="BN361" s="54">
        <v>98.8613</v>
      </c>
      <c r="BO361" s="54">
        <v>-23.3</v>
      </c>
      <c r="BP361" s="54">
        <v>-26.6</v>
      </c>
      <c r="BQ361" s="54">
        <v>15.6</v>
      </c>
      <c r="BR361" s="54">
        <v>-6.4</v>
      </c>
      <c r="BS361" s="54">
        <v>1.6</v>
      </c>
      <c r="BT361" s="54">
        <v>-12.7</v>
      </c>
      <c r="BU361" s="54">
        <v>-15.1</v>
      </c>
      <c r="BV361" s="54">
        <v>13.8</v>
      </c>
      <c r="BW361" s="54">
        <v>-2.1</v>
      </c>
      <c r="BX361" s="54">
        <v>-7.8</v>
      </c>
      <c r="BY361" s="54">
        <v>13.2</v>
      </c>
      <c r="BZ361" s="54">
        <v>99.9</v>
      </c>
      <c r="CA361" s="54">
        <v>-2.1</v>
      </c>
      <c r="CB361" s="54">
        <v>11</v>
      </c>
      <c r="CC361" s="54">
        <v>8.1</v>
      </c>
      <c r="CD361" s="54">
        <v>-13.4</v>
      </c>
      <c r="CE361" s="54">
        <v>-21.4</v>
      </c>
      <c r="CF361" s="54">
        <v>17.399999999999999</v>
      </c>
      <c r="CG361" s="54">
        <v>32.4</v>
      </c>
      <c r="CH361" s="54">
        <v>22.8</v>
      </c>
      <c r="CI361" s="54">
        <v>13</v>
      </c>
      <c r="CJ361" s="54">
        <v>-6.1</v>
      </c>
      <c r="CK361" s="54">
        <v>10.6</v>
      </c>
      <c r="CL361" s="54">
        <v>30.9</v>
      </c>
      <c r="CM361" s="54">
        <v>3514.5309520000001</v>
      </c>
      <c r="CN361" s="54">
        <v>26403.279999999999</v>
      </c>
      <c r="CO361" s="54">
        <v>2982.1559999999999</v>
      </c>
      <c r="CP361" s="54">
        <v>0.35299999999999998</v>
      </c>
      <c r="CQ361" s="54">
        <v>1.5</v>
      </c>
      <c r="CR361" s="54">
        <v>83.4</v>
      </c>
      <c r="CS361" s="64">
        <v>48.08</v>
      </c>
      <c r="CT361" s="54">
        <v>102.8</v>
      </c>
      <c r="CU361" s="54">
        <v>103.4</v>
      </c>
      <c r="CV361" s="54">
        <v>107.3</v>
      </c>
      <c r="CW361" s="54">
        <v>104.2</v>
      </c>
      <c r="CX361" s="54">
        <v>105.3</v>
      </c>
      <c r="CY361" s="54">
        <v>9.69</v>
      </c>
      <c r="CZ361" s="54">
        <v>61128.868999999999</v>
      </c>
      <c r="DA361" s="54">
        <v>6.2</v>
      </c>
      <c r="DB361" s="54">
        <v>34.04</v>
      </c>
      <c r="DC361" s="54">
        <v>59.3</v>
      </c>
      <c r="DD361" s="54">
        <v>17.34</v>
      </c>
      <c r="DE361" s="54">
        <v>18185.989000000001</v>
      </c>
      <c r="DF361" s="54">
        <v>2257.7150000000001</v>
      </c>
      <c r="DG361" s="54">
        <v>2217.4569999999999</v>
      </c>
      <c r="DH361" s="54">
        <v>1865.24</v>
      </c>
      <c r="DI361" s="54">
        <v>7671.9129999999996</v>
      </c>
      <c r="DJ361" s="54">
        <v>99.420400000000001</v>
      </c>
      <c r="DK361" s="54">
        <v>99.282700000000006</v>
      </c>
      <c r="DL361" s="54">
        <v>99.01</v>
      </c>
      <c r="DM361" s="54">
        <v>98.748400000000004</v>
      </c>
      <c r="DN361" s="54">
        <v>98.8613</v>
      </c>
      <c r="DO361" s="54">
        <v>98.672799999999995</v>
      </c>
      <c r="DP361" s="54">
        <v>99.034300000000002</v>
      </c>
      <c r="DQ361" s="54">
        <v>98.937399999999997</v>
      </c>
      <c r="DR361" s="54">
        <v>75249</v>
      </c>
      <c r="DS361" s="96">
        <v>33649</v>
      </c>
      <c r="DT361" s="96">
        <v>98.8</v>
      </c>
      <c r="DU361">
        <v>245.14056396484375</v>
      </c>
      <c r="DV361">
        <v>207.23432922363281</v>
      </c>
      <c r="DW361" s="56">
        <v>2442</v>
      </c>
      <c r="DX361" s="56">
        <v>330050</v>
      </c>
      <c r="DY361" s="56">
        <v>95.9</v>
      </c>
      <c r="DZ361" t="s">
        <v>312</v>
      </c>
    </row>
    <row r="362" spans="1:130" x14ac:dyDescent="0.25">
      <c r="A362" s="1">
        <v>43739</v>
      </c>
      <c r="B362" s="34">
        <v>102.4</v>
      </c>
      <c r="C362" s="45">
        <v>-0.54900000000000004</v>
      </c>
      <c r="D362" s="99">
        <v>0</v>
      </c>
      <c r="E362" s="34">
        <v>-0.41</v>
      </c>
      <c r="F362" s="34">
        <v>-0.72</v>
      </c>
      <c r="G362" s="34">
        <v>-0.63</v>
      </c>
      <c r="H362" s="34">
        <v>-0.47</v>
      </c>
      <c r="I362" s="34">
        <f t="shared" si="105"/>
        <v>7.900000000000007E-2</v>
      </c>
      <c r="J362" s="34">
        <f t="shared" si="106"/>
        <v>-0.47</v>
      </c>
      <c r="K362" s="34">
        <f t="shared" si="107"/>
        <v>-0.06</v>
      </c>
      <c r="L362" s="34">
        <f t="shared" si="108"/>
        <v>0.54900000000000004</v>
      </c>
      <c r="M362" s="34">
        <v>96.2</v>
      </c>
      <c r="N362" s="34">
        <v>12263.83</v>
      </c>
      <c r="O362" s="34">
        <v>13.36</v>
      </c>
      <c r="P362" s="64">
        <v>2317</v>
      </c>
      <c r="Q362" s="34">
        <f t="shared" si="92"/>
        <v>23.286432160804019</v>
      </c>
      <c r="R362" s="34">
        <v>3149.9</v>
      </c>
      <c r="S362" s="34">
        <f t="shared" si="93"/>
        <v>3165.7286432160804</v>
      </c>
      <c r="T362" s="34">
        <v>3180.8</v>
      </c>
      <c r="U362" s="34">
        <f t="shared" si="94"/>
        <v>3196.78391959799</v>
      </c>
      <c r="V362" s="118">
        <v>239222</v>
      </c>
      <c r="W362" s="118">
        <v>8891862</v>
      </c>
      <c r="X362" s="119">
        <v>12337796</v>
      </c>
      <c r="Y362" s="119">
        <v>636844</v>
      </c>
      <c r="Z362" s="34">
        <v>98.2</v>
      </c>
      <c r="AA362" s="34">
        <v>91.4</v>
      </c>
      <c r="AB362" s="34">
        <v>94.8</v>
      </c>
      <c r="AC362" s="34">
        <v>92.7</v>
      </c>
      <c r="AD362" s="34">
        <v>45368</v>
      </c>
      <c r="AE362" s="34">
        <v>5</v>
      </c>
      <c r="AF362" s="34">
        <v>744</v>
      </c>
      <c r="AG362" s="34">
        <v>99.8</v>
      </c>
      <c r="AH362" s="34">
        <v>99.5</v>
      </c>
      <c r="AI362" s="64">
        <v>93.3</v>
      </c>
      <c r="AJ362" s="64">
        <v>95.7</v>
      </c>
      <c r="AK362" s="64">
        <v>179.10293799999999</v>
      </c>
      <c r="AL362" s="64">
        <v>91.6</v>
      </c>
      <c r="AM362" s="34">
        <v>94.58</v>
      </c>
      <c r="AN362" s="33">
        <v>127.67</v>
      </c>
      <c r="AO362" s="33">
        <v>94.55</v>
      </c>
      <c r="AP362" s="33">
        <v>53.94</v>
      </c>
      <c r="AQ362" s="34">
        <f t="shared" si="104"/>
        <v>0.57813504823151129</v>
      </c>
      <c r="AR362" s="34">
        <v>94.7</v>
      </c>
      <c r="AS362" s="34">
        <v>92.1</v>
      </c>
      <c r="AT362" s="34">
        <v>97.4</v>
      </c>
      <c r="AU362" s="34">
        <v>91.6</v>
      </c>
      <c r="AV362" s="34">
        <v>91.9</v>
      </c>
      <c r="AW362" s="34">
        <v>91.2</v>
      </c>
      <c r="AX362" s="34">
        <v>-3</v>
      </c>
      <c r="AY362" s="34">
        <v>-12.1</v>
      </c>
      <c r="AZ362" s="34">
        <v>-13.4</v>
      </c>
      <c r="BA362" s="34">
        <v>-8.6999999999999993</v>
      </c>
      <c r="BB362" s="34">
        <v>92.7</v>
      </c>
      <c r="BC362" s="34">
        <v>88.5</v>
      </c>
      <c r="BD362" s="34">
        <v>97.2</v>
      </c>
      <c r="BE362" s="34">
        <v>-25.3</v>
      </c>
      <c r="BF362" s="34">
        <v>-22.8</v>
      </c>
      <c r="BG362" s="34">
        <v>-13.8</v>
      </c>
      <c r="BH362" s="34">
        <v>168.7</v>
      </c>
      <c r="BI362" s="34">
        <v>6.7</v>
      </c>
      <c r="BJ362" s="34">
        <v>42.1</v>
      </c>
      <c r="BK362" s="34">
        <v>21.957607876168407</v>
      </c>
      <c r="BL362" s="34">
        <v>0.28100000000000003</v>
      </c>
      <c r="BM362" s="34">
        <v>98.758600000000001</v>
      </c>
      <c r="BN362" s="34">
        <v>98.935000000000002</v>
      </c>
      <c r="BO362" s="34">
        <v>-22</v>
      </c>
      <c r="BP362" s="34">
        <v>-24</v>
      </c>
      <c r="BQ362" s="34">
        <v>16.100000000000001</v>
      </c>
      <c r="BR362" s="34">
        <v>-5.3</v>
      </c>
      <c r="BS362" s="34">
        <v>2.8</v>
      </c>
      <c r="BT362" s="34">
        <v>-10.4</v>
      </c>
      <c r="BU362" s="34">
        <v>-14.5</v>
      </c>
      <c r="BV362" s="34">
        <v>15.1</v>
      </c>
      <c r="BW362" s="34">
        <v>-3.9</v>
      </c>
      <c r="BX362" s="34">
        <v>-7.6</v>
      </c>
      <c r="BY362" s="34">
        <v>14</v>
      </c>
      <c r="BZ362" s="34">
        <v>99.9</v>
      </c>
      <c r="CA362" s="34">
        <v>-3.9</v>
      </c>
      <c r="CB362" s="34">
        <v>9.1</v>
      </c>
      <c r="CC362" s="34">
        <v>6.1</v>
      </c>
      <c r="CD362" s="34">
        <v>-16.5</v>
      </c>
      <c r="CE362" s="34">
        <v>-24.3</v>
      </c>
      <c r="CF362" s="34">
        <v>18.100000000000001</v>
      </c>
      <c r="CG362" s="34">
        <v>33.6</v>
      </c>
      <c r="CH362" s="34">
        <v>21.4</v>
      </c>
      <c r="CI362" s="34">
        <v>11.4</v>
      </c>
      <c r="CJ362" s="34">
        <v>-6.6</v>
      </c>
      <c r="CK362" s="34">
        <v>8.5</v>
      </c>
      <c r="CL362" s="34">
        <v>28.7</v>
      </c>
      <c r="CM362" s="34">
        <v>3551.2226519999999</v>
      </c>
      <c r="CN362" s="34">
        <v>26573.040000000001</v>
      </c>
      <c r="CO362" s="34">
        <v>2977.675217</v>
      </c>
      <c r="CP362" s="34">
        <v>0.47699999999999998</v>
      </c>
      <c r="CQ362" s="34">
        <v>1.65</v>
      </c>
      <c r="CR362" s="34">
        <v>84.2</v>
      </c>
      <c r="CS362" s="64">
        <v>48.37</v>
      </c>
      <c r="CT362" s="34">
        <v>103.9</v>
      </c>
      <c r="CU362" s="34">
        <v>100.9</v>
      </c>
      <c r="CV362" s="34">
        <v>106.1</v>
      </c>
      <c r="CW362" s="34">
        <v>102.6</v>
      </c>
      <c r="CX362" s="34">
        <v>107.4</v>
      </c>
      <c r="CY362" s="34">
        <v>10.199999999999999</v>
      </c>
      <c r="CZ362" s="34">
        <v>62833.593999999997</v>
      </c>
      <c r="DA362" s="34">
        <v>6.85</v>
      </c>
      <c r="DB362" s="34">
        <v>33.799999999999997</v>
      </c>
      <c r="DC362" s="34">
        <v>58.97</v>
      </c>
      <c r="DD362" s="34">
        <v>17.87</v>
      </c>
      <c r="DE362" s="34">
        <v>19793.653999999999</v>
      </c>
      <c r="DF362" s="34">
        <v>2826.8330000000001</v>
      </c>
      <c r="DG362" s="34">
        <v>2628.232</v>
      </c>
      <c r="DH362" s="34">
        <v>1917.2380000000001</v>
      </c>
      <c r="DI362" s="34">
        <v>8623.2189999999991</v>
      </c>
      <c r="DJ362" s="34">
        <v>99.395399999999995</v>
      </c>
      <c r="DK362" s="34">
        <v>99.253600000000006</v>
      </c>
      <c r="DL362" s="34">
        <v>99.02</v>
      </c>
      <c r="DM362" s="34">
        <v>98.7607</v>
      </c>
      <c r="DN362" s="34">
        <v>98.935000000000002</v>
      </c>
      <c r="DO362" s="34">
        <v>98.758600000000001</v>
      </c>
      <c r="DP362" s="34">
        <v>99.082300000000004</v>
      </c>
      <c r="DQ362" s="34">
        <v>98.990200000000002</v>
      </c>
      <c r="DR362" s="34">
        <v>101747</v>
      </c>
      <c r="DS362" s="73">
        <v>33679</v>
      </c>
      <c r="DT362" s="73">
        <v>98.8</v>
      </c>
      <c r="DU362">
        <v>250.56588745117188</v>
      </c>
      <c r="DV362">
        <v>210.18507385253906</v>
      </c>
      <c r="DW362">
        <v>1809</v>
      </c>
      <c r="DX362">
        <v>254075</v>
      </c>
      <c r="DY362">
        <v>96.2</v>
      </c>
      <c r="DZ362" t="s">
        <v>312</v>
      </c>
    </row>
    <row r="363" spans="1:130" x14ac:dyDescent="0.25">
      <c r="A363" s="1">
        <v>43770</v>
      </c>
      <c r="B363" s="34">
        <v>103.1</v>
      </c>
      <c r="C363" s="45">
        <v>-0.54900000000000004</v>
      </c>
      <c r="D363" s="99">
        <v>0</v>
      </c>
      <c r="E363" s="34">
        <v>-0.41</v>
      </c>
      <c r="F363" s="34">
        <v>-0.62</v>
      </c>
      <c r="G363" s="34">
        <v>-0.52</v>
      </c>
      <c r="H363" s="34">
        <v>-0.35</v>
      </c>
      <c r="I363" s="34">
        <f t="shared" si="105"/>
        <v>0.19900000000000007</v>
      </c>
      <c r="J363" s="34">
        <f t="shared" si="106"/>
        <v>-0.35</v>
      </c>
      <c r="K363" s="34">
        <f t="shared" si="107"/>
        <v>0.06</v>
      </c>
      <c r="L363" s="34">
        <f t="shared" si="108"/>
        <v>0.54900000000000004</v>
      </c>
      <c r="M363" s="34">
        <v>96</v>
      </c>
      <c r="N363" s="34">
        <v>12961.05</v>
      </c>
      <c r="O363" s="34">
        <v>17.03</v>
      </c>
      <c r="P363" s="64">
        <v>2317.9</v>
      </c>
      <c r="Q363" s="34">
        <f t="shared" si="92"/>
        <v>23.272088353413658</v>
      </c>
      <c r="R363" s="34">
        <v>3149.1</v>
      </c>
      <c r="S363" s="34">
        <f t="shared" si="93"/>
        <v>3161.7469879518071</v>
      </c>
      <c r="T363" s="34">
        <v>3179.7</v>
      </c>
      <c r="U363" s="34">
        <f t="shared" si="94"/>
        <v>3192.4698795180725</v>
      </c>
      <c r="V363" s="118">
        <v>242171</v>
      </c>
      <c r="W363" s="118">
        <v>8933290</v>
      </c>
      <c r="X363" s="119">
        <v>12376509</v>
      </c>
      <c r="Y363" s="119">
        <v>629135</v>
      </c>
      <c r="Z363" s="34">
        <v>97.2</v>
      </c>
      <c r="AA363" s="34">
        <v>89.9</v>
      </c>
      <c r="AB363" s="34">
        <v>94.4</v>
      </c>
      <c r="AC363" s="34">
        <v>91.2</v>
      </c>
      <c r="AD363" s="34">
        <v>45403</v>
      </c>
      <c r="AE363" s="34">
        <v>5</v>
      </c>
      <c r="AF363" s="34">
        <v>732</v>
      </c>
      <c r="AG363" s="34">
        <v>100</v>
      </c>
      <c r="AH363" s="34">
        <v>99.6</v>
      </c>
      <c r="AI363" s="64">
        <v>93.8</v>
      </c>
      <c r="AJ363" s="64">
        <v>95.9</v>
      </c>
      <c r="AK363" s="64">
        <v>179.10293799999999</v>
      </c>
      <c r="AL363" s="64">
        <v>139</v>
      </c>
      <c r="AM363" s="34">
        <v>95.5</v>
      </c>
      <c r="AN363" s="33">
        <v>139.29</v>
      </c>
      <c r="AO363" s="33">
        <v>95.81</v>
      </c>
      <c r="AP363" s="33">
        <v>56.74</v>
      </c>
      <c r="AQ363" s="34">
        <f t="shared" si="104"/>
        <v>0.60490405117270796</v>
      </c>
      <c r="AR363" s="34">
        <v>94.4</v>
      </c>
      <c r="AS363" s="34">
        <v>92.2</v>
      </c>
      <c r="AT363" s="34">
        <v>96.7</v>
      </c>
      <c r="AU363" s="34">
        <v>90.8</v>
      </c>
      <c r="AV363" s="34">
        <v>91.2</v>
      </c>
      <c r="AW363" s="34">
        <v>90.4</v>
      </c>
      <c r="AX363" s="34">
        <v>-4.9000000000000004</v>
      </c>
      <c r="AY363" s="34">
        <v>-6.3</v>
      </c>
      <c r="AZ363" s="34">
        <v>-15</v>
      </c>
      <c r="BA363" s="34">
        <v>-10.3</v>
      </c>
      <c r="BB363" s="34">
        <v>94.3</v>
      </c>
      <c r="BC363" s="34">
        <v>90.7</v>
      </c>
      <c r="BD363" s="34">
        <v>98.1</v>
      </c>
      <c r="BE363" s="34">
        <v>-24.7</v>
      </c>
      <c r="BF363" s="34">
        <v>-2.1</v>
      </c>
      <c r="BG363" s="34">
        <v>1.7</v>
      </c>
      <c r="BH363" s="34">
        <v>166.3</v>
      </c>
      <c r="BI363" s="34">
        <v>9.5</v>
      </c>
      <c r="BJ363" s="34">
        <v>44.1</v>
      </c>
      <c r="BK363" s="34">
        <v>24.512223329245717</v>
      </c>
      <c r="BL363" s="34">
        <v>0.27300000000000002</v>
      </c>
      <c r="BM363" s="34">
        <v>98.867500000000007</v>
      </c>
      <c r="BN363" s="34">
        <v>99.028599999999997</v>
      </c>
      <c r="BO363" s="34">
        <v>-25.3</v>
      </c>
      <c r="BP363" s="34">
        <v>-27.7</v>
      </c>
      <c r="BQ363" s="34">
        <v>14.1</v>
      </c>
      <c r="BR363" s="34">
        <v>-4.7</v>
      </c>
      <c r="BS363" s="34">
        <v>3.8</v>
      </c>
      <c r="BT363" s="34">
        <v>-12.7</v>
      </c>
      <c r="BU363" s="34">
        <v>-14.7</v>
      </c>
      <c r="BV363" s="34">
        <v>17.100000000000001</v>
      </c>
      <c r="BW363" s="34">
        <v>-2.2000000000000002</v>
      </c>
      <c r="BX363" s="34">
        <v>-3.9</v>
      </c>
      <c r="BY363" s="34">
        <v>12.7</v>
      </c>
      <c r="BZ363" s="34">
        <v>101.4</v>
      </c>
      <c r="CA363" s="34">
        <v>-2.2000000000000002</v>
      </c>
      <c r="CB363" s="34">
        <v>9</v>
      </c>
      <c r="CC363" s="34">
        <v>7.3</v>
      </c>
      <c r="CD363" s="34">
        <v>-11.5</v>
      </c>
      <c r="CE363" s="34">
        <v>-18.2</v>
      </c>
      <c r="CF363" s="34">
        <v>16</v>
      </c>
      <c r="CG363" s="34">
        <v>29.6</v>
      </c>
      <c r="CH363" s="34">
        <v>19.2</v>
      </c>
      <c r="CI363" s="34">
        <v>10.7</v>
      </c>
      <c r="CJ363" s="34">
        <v>-6.7</v>
      </c>
      <c r="CK363" s="34">
        <v>10.5</v>
      </c>
      <c r="CL363" s="34">
        <v>28.9</v>
      </c>
      <c r="CM363" s="34">
        <v>3693.141048</v>
      </c>
      <c r="CN363" s="34">
        <v>27347.360000000001</v>
      </c>
      <c r="CO363" s="34">
        <v>3107.2247619999998</v>
      </c>
      <c r="CP363" s="34">
        <v>0.67</v>
      </c>
      <c r="CQ363" s="34">
        <v>1.73</v>
      </c>
      <c r="CR363" s="34">
        <v>87.3</v>
      </c>
      <c r="CS363" s="64">
        <v>47.8</v>
      </c>
      <c r="CT363" s="34">
        <v>102.6</v>
      </c>
      <c r="CU363" s="34">
        <v>103.2</v>
      </c>
      <c r="CV363" s="34">
        <v>105.6</v>
      </c>
      <c r="CW363" s="34">
        <v>104.4</v>
      </c>
      <c r="CX363" s="34">
        <v>112.4</v>
      </c>
      <c r="CY363" s="34">
        <v>9.68</v>
      </c>
      <c r="CZ363" s="34">
        <v>60533.987999999998</v>
      </c>
      <c r="DA363" s="34">
        <v>5.86</v>
      </c>
      <c r="DB363" s="34">
        <v>33.64</v>
      </c>
      <c r="DC363" s="34">
        <v>58.97</v>
      </c>
      <c r="DD363" s="34">
        <v>16.18</v>
      </c>
      <c r="DE363" s="34">
        <v>18862.347000000002</v>
      </c>
      <c r="DF363" s="34">
        <v>2571.4259999999999</v>
      </c>
      <c r="DG363" s="34">
        <v>2282.4</v>
      </c>
      <c r="DH363" s="34">
        <v>1596.146</v>
      </c>
      <c r="DI363" s="34">
        <v>8165.5450000000001</v>
      </c>
      <c r="DJ363" s="34">
        <v>99.377899999999997</v>
      </c>
      <c r="DK363" s="34">
        <v>99.233400000000003</v>
      </c>
      <c r="DL363" s="34">
        <v>99.05</v>
      </c>
      <c r="DM363" s="34">
        <v>98.794399999999996</v>
      </c>
      <c r="DN363" s="34">
        <v>99.028599999999997</v>
      </c>
      <c r="DO363" s="34">
        <v>98.867500000000007</v>
      </c>
      <c r="DP363" s="34">
        <v>99.156300000000002</v>
      </c>
      <c r="DQ363" s="34">
        <v>99.071600000000004</v>
      </c>
      <c r="DR363" s="34">
        <v>115193</v>
      </c>
      <c r="DS363" s="73">
        <v>33696</v>
      </c>
      <c r="DT363" s="73">
        <v>99.4</v>
      </c>
      <c r="DU363">
        <v>222.59568786621094</v>
      </c>
      <c r="DV363">
        <v>181.50482177734375</v>
      </c>
      <c r="DW363">
        <v>1697</v>
      </c>
      <c r="DX363">
        <v>251475</v>
      </c>
      <c r="DY363">
        <v>96.1</v>
      </c>
      <c r="DZ363" t="s">
        <v>312</v>
      </c>
    </row>
    <row r="364" spans="1:130" s="56" customFormat="1" x14ac:dyDescent="0.25">
      <c r="A364" s="53">
        <v>43800</v>
      </c>
      <c r="B364" s="54">
        <v>100.8</v>
      </c>
      <c r="C364" s="55">
        <v>-0.54100000000000004</v>
      </c>
      <c r="D364" s="98">
        <v>0</v>
      </c>
      <c r="E364" s="54">
        <v>-0.4</v>
      </c>
      <c r="F364" s="54">
        <v>-0.59</v>
      </c>
      <c r="G364" s="54">
        <v>-0.47</v>
      </c>
      <c r="H364" s="54">
        <v>-0.3</v>
      </c>
      <c r="I364" s="54">
        <f t="shared" ref="I364:I369" si="109">IF(ISNUMBER(C364),IF(ISNUMBER(H364),H364-C364,""),"")</f>
        <v>0.24100000000000005</v>
      </c>
      <c r="J364" s="54">
        <f t="shared" ref="J364:J369" si="110">IF(ISNUMBER(D364),IF(ISNUMBER(H364),H364-D364,""),"")</f>
        <v>-0.3</v>
      </c>
      <c r="K364" s="54">
        <f t="shared" ref="K364:K369" si="111">IF(ISNUMBER(H364),IF(ISNUMBER(E364),H364-E364,""),"")</f>
        <v>0.10000000000000003</v>
      </c>
      <c r="L364" s="54">
        <f t="shared" ref="L364:L369" si="112">IF(ISNUMBER(D364),IF(ISNUMBER(C364),D364-C364,""),"")</f>
        <v>0.54100000000000004</v>
      </c>
      <c r="M364" s="54">
        <v>95.9</v>
      </c>
      <c r="N364" s="54">
        <v>12964.68</v>
      </c>
      <c r="O364" s="54">
        <v>14.17</v>
      </c>
      <c r="P364" s="64">
        <v>2337</v>
      </c>
      <c r="Q364" s="34">
        <f t="shared" si="92"/>
        <v>23.416833667334672</v>
      </c>
      <c r="R364" s="34">
        <v>3161.5</v>
      </c>
      <c r="S364" s="34">
        <f t="shared" si="93"/>
        <v>3167.8356713426856</v>
      </c>
      <c r="T364" s="34">
        <v>3193.5</v>
      </c>
      <c r="U364" s="34">
        <f t="shared" si="94"/>
        <v>3199.8997995991986</v>
      </c>
      <c r="V364" s="118">
        <v>245140</v>
      </c>
      <c r="W364" s="118">
        <v>8951049</v>
      </c>
      <c r="X364" s="119">
        <v>12377539</v>
      </c>
      <c r="Y364" s="119">
        <v>604261</v>
      </c>
      <c r="Z364" s="54">
        <v>94.5</v>
      </c>
      <c r="AA364" s="54">
        <v>88.8</v>
      </c>
      <c r="AB364" s="54">
        <v>89.8</v>
      </c>
      <c r="AC364" s="54">
        <v>89.1</v>
      </c>
      <c r="AD364" s="54">
        <v>45418</v>
      </c>
      <c r="AE364" s="54">
        <v>5</v>
      </c>
      <c r="AF364" s="54">
        <v>708</v>
      </c>
      <c r="AG364" s="54">
        <v>100.2</v>
      </c>
      <c r="AH364" s="54">
        <v>99.8</v>
      </c>
      <c r="AI364" s="64">
        <v>94</v>
      </c>
      <c r="AJ364" s="64">
        <v>96</v>
      </c>
      <c r="AK364" s="64">
        <v>179.29825199999999</v>
      </c>
      <c r="AL364" s="64">
        <v>93.2</v>
      </c>
      <c r="AM364" s="54">
        <v>97.39</v>
      </c>
      <c r="AN364" s="33">
        <v>140.25</v>
      </c>
      <c r="AO364" s="33">
        <v>98.14</v>
      </c>
      <c r="AP364" s="33">
        <v>58.81</v>
      </c>
      <c r="AQ364" s="54">
        <f t="shared" si="104"/>
        <v>0.62563829787234049</v>
      </c>
      <c r="AR364" s="54">
        <v>94.8</v>
      </c>
      <c r="AS364" s="54">
        <v>92.7</v>
      </c>
      <c r="AT364" s="54">
        <v>97</v>
      </c>
      <c r="AU364" s="54">
        <v>91.3</v>
      </c>
      <c r="AV364" s="54">
        <v>92</v>
      </c>
      <c r="AW364" s="54">
        <v>90.6</v>
      </c>
      <c r="AX364" s="54">
        <v>-3.7</v>
      </c>
      <c r="AY364" s="54">
        <v>-6.4</v>
      </c>
      <c r="AZ364" s="54">
        <v>-12.5</v>
      </c>
      <c r="BA364" s="54">
        <v>-6.4</v>
      </c>
      <c r="BB364" s="54">
        <v>94.3</v>
      </c>
      <c r="BC364" s="54">
        <v>90.8</v>
      </c>
      <c r="BD364" s="54">
        <v>98</v>
      </c>
      <c r="BE364" s="54">
        <v>-19.899999999999999</v>
      </c>
      <c r="BF364" s="54">
        <v>10.7</v>
      </c>
      <c r="BG364" s="54">
        <v>-4.4000000000000004</v>
      </c>
      <c r="BH364" s="54">
        <v>163.9</v>
      </c>
      <c r="BI364" s="54">
        <v>15.4</v>
      </c>
      <c r="BJ364" s="34">
        <v>43.7</v>
      </c>
      <c r="BK364" s="54">
        <v>20.6110514697151</v>
      </c>
      <c r="BL364" s="54">
        <v>0.29099999999999998</v>
      </c>
      <c r="BM364" s="54">
        <v>98.9495</v>
      </c>
      <c r="BN364" s="54">
        <v>99.099000000000004</v>
      </c>
      <c r="BO364" s="54">
        <v>-25.4</v>
      </c>
      <c r="BP364" s="54">
        <v>-24.9</v>
      </c>
      <c r="BQ364" s="54">
        <v>14.4</v>
      </c>
      <c r="BR364" s="54">
        <v>-4.2</v>
      </c>
      <c r="BS364" s="54">
        <v>4.7</v>
      </c>
      <c r="BT364" s="54">
        <v>-14.7</v>
      </c>
      <c r="BU364" s="54">
        <v>-14.7</v>
      </c>
      <c r="BV364" s="54">
        <v>22</v>
      </c>
      <c r="BW364" s="54">
        <v>-3.6</v>
      </c>
      <c r="BX364" s="54">
        <v>-4.4000000000000004</v>
      </c>
      <c r="BY364" s="54">
        <v>13.5</v>
      </c>
      <c r="BZ364" s="54">
        <v>102.4</v>
      </c>
      <c r="CA364" s="54">
        <v>-3.6</v>
      </c>
      <c r="CB364" s="54">
        <v>7.8</v>
      </c>
      <c r="CC364" s="54">
        <v>5.9</v>
      </c>
      <c r="CD364" s="54">
        <v>-14.4</v>
      </c>
      <c r="CE364" s="54">
        <v>-21</v>
      </c>
      <c r="CF364" s="54">
        <v>17.5</v>
      </c>
      <c r="CG364" s="54">
        <v>33</v>
      </c>
      <c r="CH364" s="54">
        <v>18.5</v>
      </c>
      <c r="CI364" s="54">
        <v>12.2</v>
      </c>
      <c r="CJ364" s="54">
        <v>-7</v>
      </c>
      <c r="CK364" s="54">
        <v>9.3000000000000007</v>
      </c>
      <c r="CL364" s="54">
        <v>27.4</v>
      </c>
      <c r="CM364" s="54">
        <v>3715.3337999999999</v>
      </c>
      <c r="CN364" s="54">
        <v>27783.040000000001</v>
      </c>
      <c r="CO364" s="54">
        <v>3178.869091</v>
      </c>
      <c r="CP364" s="54">
        <v>0.73599999999999999</v>
      </c>
      <c r="CQ364" s="54">
        <v>1.83</v>
      </c>
      <c r="CR364" s="54">
        <v>88.9</v>
      </c>
      <c r="CS364" s="64">
        <v>48.48</v>
      </c>
      <c r="CT364" s="54">
        <v>101.9</v>
      </c>
      <c r="CU364" s="54">
        <v>103.4</v>
      </c>
      <c r="CV364" s="54">
        <v>104.8</v>
      </c>
      <c r="CW364" s="54">
        <v>104.1</v>
      </c>
      <c r="CX364" s="54">
        <v>109.1</v>
      </c>
      <c r="CY364" s="54">
        <v>9.7100000000000009</v>
      </c>
      <c r="CZ364" s="54">
        <v>49345.695</v>
      </c>
      <c r="DA364" s="54">
        <v>6.13</v>
      </c>
      <c r="DB364" s="54">
        <v>33.68</v>
      </c>
      <c r="DC364" s="54">
        <v>58.04</v>
      </c>
      <c r="DD364" s="54">
        <v>17.170000000000002</v>
      </c>
      <c r="DE364" s="54">
        <v>19629.601999999999</v>
      </c>
      <c r="DF364" s="54">
        <v>3032.13</v>
      </c>
      <c r="DG364" s="54">
        <v>1716.06</v>
      </c>
      <c r="DH364" s="54">
        <v>1323.83</v>
      </c>
      <c r="DI364" s="54">
        <v>8309.7690000000002</v>
      </c>
      <c r="DJ364" s="54">
        <v>99.3703</v>
      </c>
      <c r="DK364" s="54">
        <v>99.225099999999998</v>
      </c>
      <c r="DL364" s="54">
        <v>99.1</v>
      </c>
      <c r="DM364" s="54">
        <v>98.862899999999996</v>
      </c>
      <c r="DN364" s="54">
        <v>99.099000000000004</v>
      </c>
      <c r="DO364" s="54">
        <v>98.9495</v>
      </c>
      <c r="DP364" s="54">
        <v>99.226100000000002</v>
      </c>
      <c r="DQ364" s="54">
        <v>99.148399999999995</v>
      </c>
      <c r="DR364" s="54">
        <v>97298</v>
      </c>
      <c r="DS364" s="96">
        <v>33726</v>
      </c>
      <c r="DT364" s="96">
        <v>99</v>
      </c>
      <c r="DU364">
        <v>235.986328125</v>
      </c>
      <c r="DV364">
        <v>207.24612426757813</v>
      </c>
      <c r="DW364" s="56">
        <v>1568</v>
      </c>
      <c r="DX364" s="56">
        <v>206250</v>
      </c>
      <c r="DY364" s="56">
        <v>96.1</v>
      </c>
      <c r="DZ364" t="s">
        <v>312</v>
      </c>
    </row>
    <row r="365" spans="1:130" x14ac:dyDescent="0.25">
      <c r="A365" s="1">
        <v>43831</v>
      </c>
      <c r="B365" s="34">
        <v>104.3</v>
      </c>
      <c r="C365" s="45">
        <v>-0.53100000000000003</v>
      </c>
      <c r="D365" s="99">
        <v>0</v>
      </c>
      <c r="E365" s="34">
        <v>-0.4</v>
      </c>
      <c r="F365" s="34">
        <v>-0.59</v>
      </c>
      <c r="G365" s="34">
        <v>-0.47</v>
      </c>
      <c r="H365" s="34">
        <v>-0.31</v>
      </c>
      <c r="I365" s="34">
        <f t="shared" si="109"/>
        <v>0.22100000000000003</v>
      </c>
      <c r="J365" s="34">
        <f t="shared" si="110"/>
        <v>-0.31</v>
      </c>
      <c r="K365" s="34">
        <f t="shared" si="111"/>
        <v>9.0000000000000024E-2</v>
      </c>
      <c r="L365" s="34">
        <f t="shared" si="112"/>
        <v>0.53100000000000003</v>
      </c>
      <c r="M365" s="34">
        <v>95.8</v>
      </c>
      <c r="N365" s="34">
        <v>13249.01</v>
      </c>
      <c r="O365" s="34">
        <v>16.93</v>
      </c>
      <c r="P365" s="64">
        <v>2333.6</v>
      </c>
      <c r="Q365" s="34">
        <f t="shared" si="92"/>
        <v>23.382765531062123</v>
      </c>
      <c r="R365" s="34">
        <v>3156.3</v>
      </c>
      <c r="S365" s="34">
        <f t="shared" si="93"/>
        <v>3162.625250501002</v>
      </c>
      <c r="T365" s="34">
        <v>3190.9</v>
      </c>
      <c r="U365" s="34">
        <f t="shared" si="94"/>
        <v>3197.294589178357</v>
      </c>
      <c r="V365" s="118">
        <v>240799</v>
      </c>
      <c r="W365" s="118">
        <v>8995504</v>
      </c>
      <c r="X365" s="119">
        <v>12416985</v>
      </c>
      <c r="Y365" s="119">
        <v>638688</v>
      </c>
      <c r="Z365" s="34">
        <v>98.8</v>
      </c>
      <c r="AA365" s="34">
        <v>93.8</v>
      </c>
      <c r="AB365" s="34">
        <v>93.2</v>
      </c>
      <c r="AC365" s="34">
        <v>95.3</v>
      </c>
      <c r="AD365" s="34">
        <v>45455</v>
      </c>
      <c r="AE365" s="34">
        <v>5</v>
      </c>
      <c r="AF365" s="34">
        <v>708</v>
      </c>
      <c r="AG365" s="34">
        <v>100.2</v>
      </c>
      <c r="AH365" s="34">
        <v>99.8</v>
      </c>
      <c r="AI365" s="64">
        <v>93.4</v>
      </c>
      <c r="AJ365" s="64">
        <v>96</v>
      </c>
      <c r="AK365" s="64">
        <v>180.66544999999999</v>
      </c>
      <c r="AL365" s="64">
        <v>92.3</v>
      </c>
      <c r="AM365" s="34">
        <v>98.31</v>
      </c>
      <c r="AN365" s="33">
        <v>134.44999999999999</v>
      </c>
      <c r="AO365" s="33">
        <v>99.36</v>
      </c>
      <c r="AP365" s="33">
        <v>57.54</v>
      </c>
      <c r="AQ365" s="34">
        <f t="shared" si="104"/>
        <v>0.61605995717344753</v>
      </c>
      <c r="AR365" s="34">
        <v>95.6</v>
      </c>
      <c r="AS365" s="34">
        <v>93</v>
      </c>
      <c r="AT365" s="34">
        <v>98.3</v>
      </c>
      <c r="AU365" s="34">
        <v>92.3</v>
      </c>
      <c r="AV365" s="34">
        <v>92.1</v>
      </c>
      <c r="AW365" s="34">
        <v>92.5</v>
      </c>
      <c r="AX365" s="34">
        <v>-1.3</v>
      </c>
      <c r="AY365" s="34">
        <v>6</v>
      </c>
      <c r="AZ365" s="34">
        <v>-8.3000000000000007</v>
      </c>
      <c r="BA365" s="34">
        <v>-6.3</v>
      </c>
      <c r="BB365" s="34">
        <v>96.4</v>
      </c>
      <c r="BC365" s="34">
        <v>91.8</v>
      </c>
      <c r="BD365" s="34">
        <v>101.3</v>
      </c>
      <c r="BE365" s="34">
        <v>-9.5</v>
      </c>
      <c r="BF365" s="34">
        <v>26.7</v>
      </c>
      <c r="BG365" s="34">
        <v>-3.7</v>
      </c>
      <c r="BH365" s="34">
        <v>162.1</v>
      </c>
      <c r="BI365" s="34">
        <v>27</v>
      </c>
      <c r="BJ365" s="34">
        <v>45.2</v>
      </c>
      <c r="BK365" s="34">
        <v>31.301392173278991</v>
      </c>
      <c r="BL365" s="34">
        <v>0.36499999999999999</v>
      </c>
      <c r="BM365" s="34">
        <v>98.976799999999997</v>
      </c>
      <c r="BN365" s="34">
        <v>99.122500000000002</v>
      </c>
      <c r="BO365" s="34">
        <v>-23.8</v>
      </c>
      <c r="BP365" s="34">
        <v>-25.3</v>
      </c>
      <c r="BQ365" s="34">
        <v>10.3</v>
      </c>
      <c r="BR365" s="34">
        <v>2.2000000000000002</v>
      </c>
      <c r="BS365" s="34">
        <v>5.4</v>
      </c>
      <c r="BT365" s="34">
        <v>-15.1</v>
      </c>
      <c r="BU365" s="34">
        <v>-10.6</v>
      </c>
      <c r="BV365" s="34">
        <v>22.1</v>
      </c>
      <c r="BW365" s="34">
        <v>-2.5</v>
      </c>
      <c r="BX365" s="34">
        <v>-7.8</v>
      </c>
      <c r="BY365" s="34">
        <v>14</v>
      </c>
      <c r="BZ365" s="34">
        <v>104.7</v>
      </c>
      <c r="CA365" s="34">
        <v>-2.5</v>
      </c>
      <c r="CB365" s="34">
        <v>9.1999999999999993</v>
      </c>
      <c r="CC365" s="34">
        <v>6.9</v>
      </c>
      <c r="CD365" s="34">
        <v>-12.9</v>
      </c>
      <c r="CE365" s="34">
        <v>-19.7</v>
      </c>
      <c r="CF365" s="34">
        <v>17.5</v>
      </c>
      <c r="CG365" s="34">
        <v>36</v>
      </c>
      <c r="CH365" s="34">
        <v>19.100000000000001</v>
      </c>
      <c r="CI365" s="34">
        <v>11.5</v>
      </c>
      <c r="CJ365" s="34">
        <v>-6.4</v>
      </c>
      <c r="CK365" s="34">
        <v>10.199999999999999</v>
      </c>
      <c r="CL365" s="34">
        <v>27.8</v>
      </c>
      <c r="CM365" s="34">
        <v>3758.2411820000002</v>
      </c>
      <c r="CN365" s="34">
        <v>28538.44</v>
      </c>
      <c r="CO365" s="34">
        <v>3278.376522</v>
      </c>
      <c r="CP365" s="34">
        <v>0.82499999999999996</v>
      </c>
      <c r="CQ365" s="34">
        <v>1.92</v>
      </c>
      <c r="CR365" s="34">
        <v>90.5</v>
      </c>
      <c r="CS365" s="64">
        <v>52.58</v>
      </c>
      <c r="CT365" s="34">
        <v>106.6</v>
      </c>
      <c r="CU365" s="34">
        <v>101.7</v>
      </c>
      <c r="CV365" s="34">
        <v>104.6</v>
      </c>
      <c r="CW365" s="34">
        <v>102.4</v>
      </c>
      <c r="CX365" s="34">
        <v>107.7</v>
      </c>
      <c r="CY365" s="34">
        <v>9.77</v>
      </c>
      <c r="CZ365" s="34">
        <v>58052.822</v>
      </c>
      <c r="DA365" s="34">
        <v>6.13</v>
      </c>
      <c r="DB365" s="34">
        <v>33.630000000000003</v>
      </c>
      <c r="DC365" s="34">
        <v>58.4</v>
      </c>
      <c r="DD365" s="34">
        <v>16.829999999999998</v>
      </c>
      <c r="DE365" s="34">
        <v>16991.092000000001</v>
      </c>
      <c r="DF365" s="34">
        <v>2071.6170000000002</v>
      </c>
      <c r="DG365" s="34">
        <v>1870.3969999999999</v>
      </c>
      <c r="DH365" s="34">
        <v>1634.2429999999999</v>
      </c>
      <c r="DI365" s="34">
        <v>7293.0389999999998</v>
      </c>
      <c r="DJ365" s="34">
        <v>98.4024</v>
      </c>
      <c r="DK365" s="34">
        <v>97.992999999999995</v>
      </c>
      <c r="DL365" s="34">
        <v>97.34</v>
      </c>
      <c r="DM365" s="34">
        <v>96.623500000000007</v>
      </c>
      <c r="DN365" s="34">
        <v>99.122500000000002</v>
      </c>
      <c r="DO365" s="34">
        <v>98.976799999999997</v>
      </c>
      <c r="DP365" s="34">
        <v>99.256200000000007</v>
      </c>
      <c r="DQ365" s="34">
        <v>99.1815</v>
      </c>
      <c r="DR365" s="34">
        <v>133198</v>
      </c>
      <c r="DS365" s="73">
        <v>33775</v>
      </c>
      <c r="DT365" s="73">
        <v>99.4</v>
      </c>
      <c r="DU365">
        <v>199.22175598144531</v>
      </c>
      <c r="DV365">
        <v>131.50759887695313</v>
      </c>
      <c r="DW365">
        <v>1090</v>
      </c>
      <c r="DX365">
        <v>144675</v>
      </c>
      <c r="DY365">
        <v>98</v>
      </c>
      <c r="DZ365" t="s">
        <v>312</v>
      </c>
    </row>
    <row r="366" spans="1:130" x14ac:dyDescent="0.25">
      <c r="A366" s="1">
        <v>43862</v>
      </c>
      <c r="B366" s="34">
        <v>104.4</v>
      </c>
      <c r="C366" s="45">
        <v>-0.53700000000000003</v>
      </c>
      <c r="D366" s="99">
        <v>0</v>
      </c>
      <c r="E366" s="34">
        <v>-0.4</v>
      </c>
      <c r="F366" s="34">
        <v>-0.67</v>
      </c>
      <c r="G366" s="34">
        <v>-0.59</v>
      </c>
      <c r="H366" s="34">
        <v>-0.47</v>
      </c>
      <c r="I366" s="34">
        <f t="shared" si="109"/>
        <v>6.700000000000006E-2</v>
      </c>
      <c r="J366" s="34">
        <f t="shared" si="110"/>
        <v>-0.47</v>
      </c>
      <c r="K366" s="34">
        <f t="shared" si="111"/>
        <v>-6.9999999999999951E-2</v>
      </c>
      <c r="L366" s="34">
        <f t="shared" si="112"/>
        <v>0.53700000000000003</v>
      </c>
      <c r="M366" s="34">
        <v>95.5</v>
      </c>
      <c r="N366" s="34">
        <v>13045.19</v>
      </c>
      <c r="O366" s="34">
        <v>34.11</v>
      </c>
      <c r="P366" s="64">
        <v>2354.1999999999998</v>
      </c>
      <c r="Q366" s="34">
        <f t="shared" si="92"/>
        <v>23.541999999999998</v>
      </c>
      <c r="R366" s="34">
        <v>3176.8</v>
      </c>
      <c r="S366" s="34">
        <f t="shared" si="93"/>
        <v>3176.8</v>
      </c>
      <c r="T366" s="34">
        <v>3208.6</v>
      </c>
      <c r="U366" s="34">
        <f t="shared" si="94"/>
        <v>3208.6</v>
      </c>
      <c r="V366" s="118">
        <v>242097</v>
      </c>
      <c r="W366" s="118">
        <v>9059015</v>
      </c>
      <c r="X366" s="119">
        <v>12487257</v>
      </c>
      <c r="Y366" s="119">
        <v>654303</v>
      </c>
      <c r="Z366" s="34">
        <v>99.8</v>
      </c>
      <c r="AA366" s="34">
        <v>91.6</v>
      </c>
      <c r="AB366" s="34">
        <v>94.6</v>
      </c>
      <c r="AC366" s="34">
        <v>91.4</v>
      </c>
      <c r="AD366" s="34">
        <v>45466</v>
      </c>
      <c r="AE366" s="34">
        <v>5</v>
      </c>
      <c r="AF366" s="34">
        <v>710</v>
      </c>
      <c r="AG366" s="34">
        <v>100.3</v>
      </c>
      <c r="AH366" s="34">
        <v>100</v>
      </c>
      <c r="AI366" s="64">
        <v>92.4</v>
      </c>
      <c r="AJ366" s="64">
        <v>95.9</v>
      </c>
      <c r="AK366" s="64">
        <v>180.079508</v>
      </c>
      <c r="AL366" s="64">
        <v>92.4</v>
      </c>
      <c r="AM366" s="34">
        <v>93.14</v>
      </c>
      <c r="AN366" s="33">
        <v>117.59</v>
      </c>
      <c r="AO366" s="33">
        <v>95.02</v>
      </c>
      <c r="AP366" s="33">
        <v>51.08</v>
      </c>
      <c r="AQ366" s="34">
        <f t="shared" si="104"/>
        <v>0.55281385281385276</v>
      </c>
      <c r="AR366" s="34">
        <v>95.2</v>
      </c>
      <c r="AS366" s="34">
        <v>93.2</v>
      </c>
      <c r="AT366" s="34">
        <v>97.3</v>
      </c>
      <c r="AU366" s="34">
        <v>92</v>
      </c>
      <c r="AV366" s="34">
        <v>92.5</v>
      </c>
      <c r="AW366" s="34">
        <v>91.4</v>
      </c>
      <c r="AX366" s="34">
        <v>-5.8</v>
      </c>
      <c r="AY366" s="34">
        <v>0.2</v>
      </c>
      <c r="AZ366" s="34">
        <v>-5.9</v>
      </c>
      <c r="BA366" s="34">
        <v>-5.0999999999999996</v>
      </c>
      <c r="BB366" s="34">
        <v>95.4</v>
      </c>
      <c r="BC366" s="34">
        <v>90.8</v>
      </c>
      <c r="BD366" s="34">
        <v>100.3</v>
      </c>
      <c r="BE366" s="34">
        <v>-15.7</v>
      </c>
      <c r="BF366" s="34">
        <v>8.6999999999999993</v>
      </c>
      <c r="BG366" s="34">
        <v>1.2</v>
      </c>
      <c r="BH366" s="34">
        <v>159.4</v>
      </c>
      <c r="BI366" s="34">
        <v>30.5</v>
      </c>
      <c r="BJ366" s="34">
        <v>48</v>
      </c>
      <c r="BK366" s="34">
        <v>15.26370732506693</v>
      </c>
      <c r="BL366" s="34">
        <v>0.32400000000000001</v>
      </c>
      <c r="BM366" s="34">
        <v>98.927800000000005</v>
      </c>
      <c r="BN366" s="34">
        <v>99.080299999999994</v>
      </c>
      <c r="BO366" s="34">
        <v>-20.5</v>
      </c>
      <c r="BP366" s="34">
        <v>-22</v>
      </c>
      <c r="BQ366" s="34">
        <v>10.9</v>
      </c>
      <c r="BR366" s="34">
        <v>-0.2</v>
      </c>
      <c r="BS366" s="34">
        <v>5.0999999999999996</v>
      </c>
      <c r="BT366" s="34">
        <v>-17.2</v>
      </c>
      <c r="BU366" s="34">
        <v>-10.5</v>
      </c>
      <c r="BV366" s="34">
        <v>22.8</v>
      </c>
      <c r="BW366" s="34">
        <v>-2.4</v>
      </c>
      <c r="BX366" s="34">
        <v>-8</v>
      </c>
      <c r="BY366" s="34">
        <v>13.1</v>
      </c>
      <c r="BZ366" s="34">
        <v>104.7</v>
      </c>
      <c r="CA366" s="34">
        <v>-2.4</v>
      </c>
      <c r="CB366" s="34">
        <v>9.6999999999999993</v>
      </c>
      <c r="CC366" s="34">
        <v>6.3</v>
      </c>
      <c r="CD366" s="34">
        <v>-11.3</v>
      </c>
      <c r="CE366" s="34">
        <v>-18.899999999999999</v>
      </c>
      <c r="CF366" s="34">
        <v>18.899999999999999</v>
      </c>
      <c r="CG366" s="34">
        <v>34.299999999999997</v>
      </c>
      <c r="CH366" s="34">
        <v>21.1</v>
      </c>
      <c r="CI366" s="34">
        <v>11.8</v>
      </c>
      <c r="CJ366" s="34">
        <v>-6.5</v>
      </c>
      <c r="CK366" s="34">
        <v>10.199999999999999</v>
      </c>
      <c r="CL366" s="34">
        <v>29.5</v>
      </c>
      <c r="CM366" s="34">
        <v>3734.92425</v>
      </c>
      <c r="CN366" s="34">
        <v>28399.81</v>
      </c>
      <c r="CO366" s="34">
        <v>3282.4564999999998</v>
      </c>
      <c r="CP366" s="34">
        <v>0.52600000000000002</v>
      </c>
      <c r="CQ366" s="34">
        <v>1.54</v>
      </c>
      <c r="CR366" s="34">
        <v>92.1</v>
      </c>
      <c r="CS366" s="64">
        <v>51.59</v>
      </c>
      <c r="CT366" s="34">
        <v>107.3</v>
      </c>
      <c r="CU366" s="34">
        <v>103.9</v>
      </c>
      <c r="CV366" s="34">
        <v>103.4</v>
      </c>
      <c r="CW366" s="34">
        <v>98.3</v>
      </c>
      <c r="CX366" s="34">
        <v>107.4</v>
      </c>
      <c r="CY366" s="34">
        <v>9.9499999999999993</v>
      </c>
      <c r="CZ366" s="34">
        <v>58526.968999999997</v>
      </c>
      <c r="DA366" s="34">
        <v>6.29</v>
      </c>
      <c r="DB366" s="34">
        <v>34.450000000000003</v>
      </c>
      <c r="DC366" s="34">
        <v>59.25</v>
      </c>
      <c r="DD366" s="34">
        <v>16.989999999999998</v>
      </c>
      <c r="DE366" s="34">
        <v>17299.843000000001</v>
      </c>
      <c r="DF366" s="34">
        <v>2267.4760000000001</v>
      </c>
      <c r="DG366" s="34">
        <v>2023.92</v>
      </c>
      <c r="DH366" s="34">
        <v>1648.722</v>
      </c>
      <c r="DI366" s="34">
        <v>6738.4880000000003</v>
      </c>
      <c r="DJ366" s="34">
        <v>94.625799999999998</v>
      </c>
      <c r="DK366" s="34">
        <v>93.181100000000001</v>
      </c>
      <c r="DL366" s="34">
        <v>90.35</v>
      </c>
      <c r="DM366" s="34">
        <v>87.726200000000006</v>
      </c>
      <c r="DN366" s="34">
        <v>99.080299999999994</v>
      </c>
      <c r="DO366" s="34">
        <v>98.927800000000005</v>
      </c>
      <c r="DP366" s="34">
        <v>99.219800000000006</v>
      </c>
      <c r="DQ366" s="34">
        <v>99.141499999999994</v>
      </c>
      <c r="DR366" s="34">
        <v>133924</v>
      </c>
      <c r="DS366" s="73">
        <v>33796</v>
      </c>
      <c r="DT366" s="73">
        <v>98.2</v>
      </c>
      <c r="DU366">
        <v>204.83528137207031</v>
      </c>
      <c r="DV366">
        <v>304.094970703125</v>
      </c>
      <c r="DW366">
        <v>466</v>
      </c>
      <c r="DX366">
        <v>178325</v>
      </c>
      <c r="DY366">
        <v>98.6</v>
      </c>
      <c r="DZ366" t="s">
        <v>312</v>
      </c>
    </row>
    <row r="367" spans="1:130" s="56" customFormat="1" x14ac:dyDescent="0.25">
      <c r="A367" s="53">
        <v>43891</v>
      </c>
      <c r="B367" s="54">
        <v>95.5</v>
      </c>
      <c r="C367" s="55">
        <v>-0.54200000000000004</v>
      </c>
      <c r="D367" s="98">
        <v>0</v>
      </c>
      <c r="E367" s="54">
        <v>-0.41</v>
      </c>
      <c r="F367" s="54">
        <v>-0.77</v>
      </c>
      <c r="G367" s="54">
        <v>-0.67</v>
      </c>
      <c r="H367" s="54">
        <v>-0.54</v>
      </c>
      <c r="I367" s="54">
        <f t="shared" si="109"/>
        <v>2.0000000000000018E-3</v>
      </c>
      <c r="J367" s="54">
        <f t="shared" si="110"/>
        <v>-0.54</v>
      </c>
      <c r="K367" s="54">
        <f t="shared" si="111"/>
        <v>-0.13000000000000006</v>
      </c>
      <c r="L367" s="54">
        <f t="shared" si="112"/>
        <v>0.54200000000000004</v>
      </c>
      <c r="M367" s="54">
        <v>96.4</v>
      </c>
      <c r="N367" s="54">
        <v>11857.87</v>
      </c>
      <c r="O367" s="54">
        <v>52.02</v>
      </c>
      <c r="P367" s="64">
        <v>2457.6</v>
      </c>
      <c r="Q367" s="34">
        <f t="shared" si="92"/>
        <v>24.576000000000001</v>
      </c>
      <c r="R367" s="34">
        <v>3274.1</v>
      </c>
      <c r="S367" s="34">
        <f t="shared" si="93"/>
        <v>3274.1</v>
      </c>
      <c r="T367" s="34">
        <v>3301.9</v>
      </c>
      <c r="U367" s="34">
        <f t="shared" si="94"/>
        <v>3301.8999999999996</v>
      </c>
      <c r="V367" s="118">
        <v>254037</v>
      </c>
      <c r="W367" s="118">
        <v>9360114</v>
      </c>
      <c r="X367" s="119">
        <v>12793378</v>
      </c>
      <c r="Y367" s="119">
        <v>695380</v>
      </c>
      <c r="Z367" s="54">
        <v>93.5</v>
      </c>
      <c r="AA367" s="54">
        <v>77.3</v>
      </c>
      <c r="AB367" s="54">
        <v>91.3</v>
      </c>
      <c r="AC367" s="54">
        <v>70.5</v>
      </c>
      <c r="AD367" s="54">
        <v>45344</v>
      </c>
      <c r="AE367" s="54">
        <v>5</v>
      </c>
      <c r="AF367" s="54">
        <v>701</v>
      </c>
      <c r="AG367" s="54">
        <v>100.2</v>
      </c>
      <c r="AH367" s="54">
        <v>100</v>
      </c>
      <c r="AI367" s="64">
        <v>89</v>
      </c>
      <c r="AJ367" s="64">
        <v>95.2</v>
      </c>
      <c r="AK367" s="64">
        <v>178.71231</v>
      </c>
      <c r="AL367" s="64">
        <v>92.5</v>
      </c>
      <c r="AM367" s="34">
        <v>89.02</v>
      </c>
      <c r="AN367" s="33">
        <v>82.75</v>
      </c>
      <c r="AO367" s="33">
        <v>91.27</v>
      </c>
      <c r="AP367" s="33">
        <v>30.65</v>
      </c>
      <c r="AQ367" s="54">
        <f t="shared" si="104"/>
        <v>0.34438202247191008</v>
      </c>
      <c r="AR367" s="54">
        <v>87.7</v>
      </c>
      <c r="AS367" s="54">
        <v>81.5</v>
      </c>
      <c r="AT367" s="54">
        <v>94.3</v>
      </c>
      <c r="AU367" s="54">
        <v>85.1</v>
      </c>
      <c r="AV367" s="54">
        <v>81.3</v>
      </c>
      <c r="AW367" s="54">
        <v>89.1</v>
      </c>
      <c r="AX367" s="54">
        <v>-21.6</v>
      </c>
      <c r="AY367" s="54">
        <v>-25.6</v>
      </c>
      <c r="AZ367" s="54">
        <v>-18.8</v>
      </c>
      <c r="BA367" s="54">
        <v>-19.5</v>
      </c>
      <c r="BB367" s="54">
        <v>85.2</v>
      </c>
      <c r="BC367" s="54">
        <v>75.7</v>
      </c>
      <c r="BD367" s="54">
        <v>96.1</v>
      </c>
      <c r="BE367" s="54">
        <v>-43.1</v>
      </c>
      <c r="BF367" s="54">
        <v>-49.5</v>
      </c>
      <c r="BG367" s="54">
        <v>-19.2</v>
      </c>
      <c r="BH367" s="54">
        <v>166.9</v>
      </c>
      <c r="BI367" s="54">
        <v>25.7</v>
      </c>
      <c r="BJ367" s="34">
        <v>45.4</v>
      </c>
      <c r="BK367" s="54">
        <v>5.2755065469646558</v>
      </c>
      <c r="BL367" s="54">
        <v>0.13400000000000001</v>
      </c>
      <c r="BM367" s="54">
        <v>95.9559</v>
      </c>
      <c r="BN367" s="54">
        <v>96.527100000000004</v>
      </c>
      <c r="BO367" s="54">
        <v>-20.399999999999999</v>
      </c>
      <c r="BP367" s="54">
        <v>-25.3</v>
      </c>
      <c r="BQ367" s="54">
        <v>8.8000000000000007</v>
      </c>
      <c r="BR367" s="54">
        <v>-22.4</v>
      </c>
      <c r="BS367" s="54">
        <v>-0.4</v>
      </c>
      <c r="BT367" s="54">
        <v>-19.5</v>
      </c>
      <c r="BU367" s="54">
        <v>-17.2</v>
      </c>
      <c r="BV367" s="54">
        <v>-1</v>
      </c>
      <c r="BW367" s="54">
        <v>-8.4</v>
      </c>
      <c r="BX367" s="54">
        <v>-24.1</v>
      </c>
      <c r="BY367" s="54">
        <v>8.9</v>
      </c>
      <c r="BZ367" s="54">
        <v>91.7</v>
      </c>
      <c r="CA367" s="54">
        <v>-8.4</v>
      </c>
      <c r="CB367" s="54">
        <v>6.8</v>
      </c>
      <c r="CC367" s="54">
        <v>4.0999999999999996</v>
      </c>
      <c r="CD367" s="54">
        <v>-15.5</v>
      </c>
      <c r="CE367" s="54">
        <v>-36.200000000000003</v>
      </c>
      <c r="CF367" s="54">
        <v>16.3</v>
      </c>
      <c r="CG367" s="54">
        <v>32.5</v>
      </c>
      <c r="CH367" s="54">
        <v>23.8</v>
      </c>
      <c r="CI367" s="54">
        <v>0.5</v>
      </c>
      <c r="CJ367" s="54">
        <v>-8.1999999999999993</v>
      </c>
      <c r="CK367" s="54">
        <v>10.3</v>
      </c>
      <c r="CL367" s="54">
        <v>26.5</v>
      </c>
      <c r="CM367" s="54">
        <v>2824.1784550000002</v>
      </c>
      <c r="CN367" s="54">
        <v>26703.32</v>
      </c>
      <c r="CO367" s="54">
        <v>2652.3936359999998</v>
      </c>
      <c r="CP367" s="54">
        <v>0.39500000000000002</v>
      </c>
      <c r="CQ367" s="54">
        <v>1.1000000000000001</v>
      </c>
      <c r="CR367" s="54">
        <v>79.7</v>
      </c>
      <c r="CS367" s="64">
        <v>55.45</v>
      </c>
      <c r="CT367" s="54">
        <v>98.6</v>
      </c>
      <c r="CU367" s="54">
        <v>99.8</v>
      </c>
      <c r="CV367" s="54">
        <v>99.9</v>
      </c>
      <c r="CW367" s="54">
        <v>96.8</v>
      </c>
      <c r="CX367" s="54">
        <v>104.7</v>
      </c>
      <c r="CY367" s="54">
        <v>9.0500000000000007</v>
      </c>
      <c r="CZ367" s="54">
        <v>56068.091</v>
      </c>
      <c r="DA367" s="54">
        <v>5.9</v>
      </c>
      <c r="DB367" s="54">
        <v>31.25</v>
      </c>
      <c r="DC367" s="54">
        <v>51.02</v>
      </c>
      <c r="DD367" s="54">
        <v>16.670000000000002</v>
      </c>
      <c r="DE367" s="54">
        <v>17739.363000000001</v>
      </c>
      <c r="DF367" s="54">
        <v>2374.2730000000001</v>
      </c>
      <c r="DG367" s="54">
        <v>2230.5909999999999</v>
      </c>
      <c r="DH367" s="54">
        <v>1601.1969999999999</v>
      </c>
      <c r="DI367" s="54">
        <v>7471.1080000000002</v>
      </c>
      <c r="DJ367" s="54">
        <v>91.504400000000004</v>
      </c>
      <c r="DK367" s="54">
        <v>89.172399999999996</v>
      </c>
      <c r="DL367" s="54">
        <v>88.04</v>
      </c>
      <c r="DM367" s="54">
        <v>84.782600000000002</v>
      </c>
      <c r="DN367" s="54">
        <v>96.527100000000004</v>
      </c>
      <c r="DO367" s="54">
        <v>95.9559</v>
      </c>
      <c r="DP367" s="54">
        <v>97.935500000000005</v>
      </c>
      <c r="DQ367" s="54">
        <v>97.728700000000003</v>
      </c>
      <c r="DR367" s="54">
        <v>2579665</v>
      </c>
      <c r="DS367" s="96">
        <v>33757</v>
      </c>
      <c r="DT367" s="96">
        <v>93.6</v>
      </c>
      <c r="DU367">
        <v>361.36886596679688</v>
      </c>
      <c r="DV367">
        <v>498.05746459960938</v>
      </c>
      <c r="DW367" s="56">
        <v>539</v>
      </c>
      <c r="DX367" s="56">
        <v>211225</v>
      </c>
      <c r="DY367" s="56">
        <v>93.5</v>
      </c>
      <c r="DZ367" s="56" t="s">
        <v>312</v>
      </c>
    </row>
    <row r="368" spans="1:130" x14ac:dyDescent="0.25">
      <c r="A368" s="1">
        <v>43922</v>
      </c>
      <c r="B368" s="34">
        <v>78.099999999999994</v>
      </c>
      <c r="C368" s="45">
        <v>-0.52700000000000002</v>
      </c>
      <c r="D368" s="99">
        <v>0</v>
      </c>
      <c r="E368" s="34">
        <v>-0.36</v>
      </c>
      <c r="F368" s="34">
        <v>-0.66</v>
      </c>
      <c r="G368" s="34">
        <v>-0.57999999999999996</v>
      </c>
      <c r="H368" s="34">
        <v>-0.45</v>
      </c>
      <c r="I368" s="34">
        <f t="shared" si="109"/>
        <v>7.7000000000000013E-2</v>
      </c>
      <c r="J368" s="34">
        <f t="shared" si="110"/>
        <v>-0.45</v>
      </c>
      <c r="K368" s="34">
        <f t="shared" si="111"/>
        <v>-9.0000000000000024E-2</v>
      </c>
      <c r="L368" s="34">
        <f t="shared" si="112"/>
        <v>0.52700000000000002</v>
      </c>
      <c r="M368" s="34">
        <v>96.1</v>
      </c>
      <c r="N368" s="34">
        <v>9544.75</v>
      </c>
      <c r="O368" s="34">
        <v>36.64</v>
      </c>
      <c r="P368" s="64">
        <v>2465.8000000000002</v>
      </c>
      <c r="Q368" s="34">
        <f t="shared" si="92"/>
        <v>24.584247258225325</v>
      </c>
      <c r="R368" s="34">
        <v>3278.1</v>
      </c>
      <c r="S368" s="34">
        <f t="shared" si="93"/>
        <v>3268.2951146560322</v>
      </c>
      <c r="T368" s="34">
        <v>3305.9</v>
      </c>
      <c r="U368" s="34">
        <f t="shared" si="94"/>
        <v>3296.0119641076772</v>
      </c>
      <c r="V368" s="118">
        <v>254550</v>
      </c>
      <c r="W368" s="118">
        <v>9527628</v>
      </c>
      <c r="X368" s="119">
        <v>12975322</v>
      </c>
      <c r="Y368" s="119">
        <v>667090</v>
      </c>
      <c r="Z368" s="34">
        <v>79.8</v>
      </c>
      <c r="AA368" s="34">
        <v>56.2</v>
      </c>
      <c r="AB368" s="34">
        <v>81.2</v>
      </c>
      <c r="AC368" s="34">
        <v>46.9</v>
      </c>
      <c r="AD368" s="34">
        <v>44985</v>
      </c>
      <c r="AE368" s="34">
        <v>5.8</v>
      </c>
      <c r="AF368" s="34">
        <v>632</v>
      </c>
      <c r="AG368" s="34">
        <v>100.2</v>
      </c>
      <c r="AH368" s="34">
        <v>100.3</v>
      </c>
      <c r="AI368" s="64">
        <v>87.5</v>
      </c>
      <c r="AJ368" s="64">
        <v>94.7</v>
      </c>
      <c r="AK368" s="64">
        <v>177.345112</v>
      </c>
      <c r="AL368" s="64">
        <v>93.1</v>
      </c>
      <c r="AM368" s="34">
        <v>83.1</v>
      </c>
      <c r="AN368" s="33">
        <v>65.459999999999994</v>
      </c>
      <c r="AO368" s="33">
        <v>86.75</v>
      </c>
      <c r="AP368" s="33">
        <v>24.69</v>
      </c>
      <c r="AQ368" s="34">
        <f t="shared" si="104"/>
        <v>0.28217142857142857</v>
      </c>
      <c r="AR368" s="34">
        <v>75.900000000000006</v>
      </c>
      <c r="AS368" s="34">
        <v>72.2</v>
      </c>
      <c r="AT368" s="34">
        <v>79.900000000000006</v>
      </c>
      <c r="AU368" s="34">
        <v>73.599999999999994</v>
      </c>
      <c r="AV368" s="34">
        <v>72.400000000000006</v>
      </c>
      <c r="AW368" s="34">
        <v>74.900000000000006</v>
      </c>
      <c r="AX368" s="34">
        <v>-53</v>
      </c>
      <c r="AY368" s="34">
        <v>-49.3</v>
      </c>
      <c r="AZ368" s="34">
        <v>-40.6</v>
      </c>
      <c r="BA368" s="34">
        <v>-51.8</v>
      </c>
      <c r="BB368" s="34">
        <v>73.099999999999994</v>
      </c>
      <c r="BC368" s="34">
        <v>66</v>
      </c>
      <c r="BD368" s="34">
        <v>81</v>
      </c>
      <c r="BE368" s="34">
        <v>-91.5</v>
      </c>
      <c r="BF368" s="34">
        <v>28.2</v>
      </c>
      <c r="BG368" s="34">
        <v>-21.4</v>
      </c>
      <c r="BH368" s="34">
        <v>171.7</v>
      </c>
      <c r="BI368" s="34">
        <v>3.1</v>
      </c>
      <c r="BJ368" s="34">
        <v>34.5</v>
      </c>
      <c r="BK368" s="34">
        <v>-9.9642588728484078</v>
      </c>
      <c r="BL368" s="34">
        <v>-0.33800000000000002</v>
      </c>
      <c r="BM368" s="34">
        <v>90.916300000000007</v>
      </c>
      <c r="BN368" s="34">
        <v>92.197500000000005</v>
      </c>
      <c r="BO368" s="34">
        <v>-36</v>
      </c>
      <c r="BP368" s="34">
        <v>-38.1</v>
      </c>
      <c r="BQ368" s="34">
        <v>19.899999999999999</v>
      </c>
      <c r="BR368" s="34">
        <v>-51.3</v>
      </c>
      <c r="BS368" s="34">
        <v>-6.3</v>
      </c>
      <c r="BT368" s="34">
        <v>-29.4</v>
      </c>
      <c r="BU368" s="34">
        <v>-35.700000000000003</v>
      </c>
      <c r="BV368" s="34">
        <v>-39.9</v>
      </c>
      <c r="BW368" s="34">
        <v>-18.100000000000001</v>
      </c>
      <c r="BX368" s="34">
        <v>-46.3</v>
      </c>
      <c r="BY368" s="34">
        <v>0.9</v>
      </c>
      <c r="BZ368" s="34">
        <v>67</v>
      </c>
      <c r="CA368" s="34">
        <v>-18.100000000000001</v>
      </c>
      <c r="CB368" s="34">
        <v>4.5</v>
      </c>
      <c r="CC368" s="34">
        <v>-5.3</v>
      </c>
      <c r="CD368" s="34">
        <v>-25.5</v>
      </c>
      <c r="CE368" s="34">
        <v>-54.3</v>
      </c>
      <c r="CF368" s="34">
        <v>9.6999999999999993</v>
      </c>
      <c r="CG368" s="34">
        <v>43.5</v>
      </c>
      <c r="CH368" s="34">
        <v>64.5</v>
      </c>
      <c r="CI368" s="34">
        <v>-27.8</v>
      </c>
      <c r="CJ368" s="34">
        <v>-17.2</v>
      </c>
      <c r="CK368" s="34">
        <v>13.7</v>
      </c>
      <c r="CL368" s="34">
        <v>24</v>
      </c>
      <c r="CM368" s="34">
        <v>2839.576</v>
      </c>
      <c r="CN368" s="34">
        <v>20943.509999999998</v>
      </c>
      <c r="CO368" s="34">
        <v>2763.2409090000001</v>
      </c>
      <c r="CP368" s="34">
        <v>0.26900000000000002</v>
      </c>
      <c r="CQ368" s="34">
        <v>0.62</v>
      </c>
      <c r="CR368" s="34">
        <v>70.099999999999994</v>
      </c>
      <c r="CS368" s="64">
        <v>41.56</v>
      </c>
      <c r="CT368" s="34">
        <v>60.8</v>
      </c>
      <c r="CU368" s="34">
        <v>66.099999999999994</v>
      </c>
      <c r="CV368" s="34">
        <v>48.7</v>
      </c>
      <c r="CW368" s="34">
        <v>63.1</v>
      </c>
      <c r="CX368" s="34">
        <v>69.400000000000006</v>
      </c>
      <c r="CY368" s="105">
        <v>73</v>
      </c>
      <c r="CZ368" s="34">
        <v>38474.928</v>
      </c>
      <c r="DA368" s="34">
        <v>5.98</v>
      </c>
      <c r="DB368" s="34">
        <v>24.63</v>
      </c>
      <c r="DC368" s="34">
        <v>38.39</v>
      </c>
      <c r="DD368" s="34">
        <v>11.88</v>
      </c>
      <c r="DE368" s="34">
        <v>14776.998</v>
      </c>
      <c r="DF368" s="34">
        <v>1679.6</v>
      </c>
      <c r="DG368" s="34">
        <v>1650.8630000000001</v>
      </c>
      <c r="DH368" s="34">
        <v>1128.4179999999999</v>
      </c>
      <c r="DI368" s="34">
        <v>7217.2250000000004</v>
      </c>
      <c r="DJ368" s="34">
        <v>90.141999999999996</v>
      </c>
      <c r="DK368" s="34">
        <v>87.282700000000006</v>
      </c>
      <c r="DL368" s="34">
        <v>92.3</v>
      </c>
      <c r="DM368" s="34">
        <v>90.198899999999995</v>
      </c>
      <c r="DN368" s="34">
        <v>92.197500000000005</v>
      </c>
      <c r="DO368" s="34">
        <v>90.916300000000007</v>
      </c>
      <c r="DP368" s="34">
        <v>93.508200000000002</v>
      </c>
      <c r="DQ368" s="34">
        <v>92.858699999999999</v>
      </c>
      <c r="DR368" s="34">
        <v>5995428</v>
      </c>
      <c r="DS368" s="73">
        <v>33506</v>
      </c>
      <c r="DT368" s="73">
        <v>86.7</v>
      </c>
      <c r="DU368">
        <v>297.89849853515625</v>
      </c>
      <c r="DV368">
        <v>374.94692993164063</v>
      </c>
      <c r="DW368">
        <v>624</v>
      </c>
      <c r="DX368">
        <v>219925</v>
      </c>
      <c r="DY368">
        <v>83.9</v>
      </c>
      <c r="DZ368" t="s">
        <v>312</v>
      </c>
    </row>
    <row r="369" spans="1:130" x14ac:dyDescent="0.25">
      <c r="A369" s="1">
        <v>43952</v>
      </c>
      <c r="B369" s="34">
        <v>85</v>
      </c>
      <c r="C369" s="45">
        <v>-0.53100000000000003</v>
      </c>
      <c r="D369" s="99">
        <v>0</v>
      </c>
      <c r="E369" s="34">
        <v>-0.31</v>
      </c>
      <c r="F369" s="34">
        <v>-0.73</v>
      </c>
      <c r="G369" s="34">
        <v>-0.65</v>
      </c>
      <c r="H369" s="34">
        <v>-0.52</v>
      </c>
      <c r="I369" s="34">
        <f t="shared" si="109"/>
        <v>1.100000000000001E-2</v>
      </c>
      <c r="J369" s="34">
        <f t="shared" si="110"/>
        <v>-0.52</v>
      </c>
      <c r="K369" s="34">
        <f t="shared" si="111"/>
        <v>-0.21000000000000002</v>
      </c>
      <c r="L369" s="34">
        <f t="shared" si="112"/>
        <v>0.53100000000000003</v>
      </c>
      <c r="M369" s="34">
        <v>96.3</v>
      </c>
      <c r="N369" s="34">
        <v>10861.64</v>
      </c>
      <c r="O369" s="34">
        <v>33.450000000000003</v>
      </c>
      <c r="P369" s="64">
        <v>2499.6</v>
      </c>
      <c r="Q369" s="34">
        <f t="shared" si="92"/>
        <v>24.89641434262948</v>
      </c>
      <c r="R369" s="34">
        <v>3317.3</v>
      </c>
      <c r="S369" s="34">
        <f t="shared" si="93"/>
        <v>3304.0836653386455</v>
      </c>
      <c r="T369" s="34">
        <v>3343.8</v>
      </c>
      <c r="U369" s="34">
        <f t="shared" si="94"/>
        <v>3330.4780876494024</v>
      </c>
      <c r="V369" s="118">
        <v>252260</v>
      </c>
      <c r="W369" s="118">
        <v>9638421</v>
      </c>
      <c r="X369" s="119">
        <v>13130403</v>
      </c>
      <c r="Y369" s="119">
        <v>668829</v>
      </c>
      <c r="Z369" s="34">
        <v>80.900000000000006</v>
      </c>
      <c r="AA369" s="34">
        <v>63.1</v>
      </c>
      <c r="AB369" s="34">
        <v>84.8</v>
      </c>
      <c r="AC369" s="34">
        <v>58</v>
      </c>
      <c r="AD369" s="34">
        <v>44750</v>
      </c>
      <c r="AE369" s="34">
        <v>6.2</v>
      </c>
      <c r="AF369" s="34">
        <v>586</v>
      </c>
      <c r="AG369" s="34">
        <v>100.2</v>
      </c>
      <c r="AH369" s="34">
        <v>100.4</v>
      </c>
      <c r="AI369" s="64">
        <v>87.8</v>
      </c>
      <c r="AJ369" s="64">
        <v>94.5</v>
      </c>
      <c r="AK369" s="64">
        <v>176.75917000000001</v>
      </c>
      <c r="AL369" s="64">
        <v>93.4</v>
      </c>
      <c r="AM369" s="34">
        <v>85.74</v>
      </c>
      <c r="AN369" s="33">
        <v>72.45</v>
      </c>
      <c r="AO369" s="33">
        <v>87.92</v>
      </c>
      <c r="AP369" s="33">
        <v>29.72</v>
      </c>
      <c r="AQ369" s="34">
        <f t="shared" si="104"/>
        <v>0.33849658314350795</v>
      </c>
      <c r="AR369" s="34">
        <v>80.3</v>
      </c>
      <c r="AS369" s="34">
        <v>82.1</v>
      </c>
      <c r="AT369" s="34">
        <v>78.599999999999994</v>
      </c>
      <c r="AU369" s="34">
        <v>76.7</v>
      </c>
      <c r="AV369" s="34">
        <v>84.1</v>
      </c>
      <c r="AW369" s="34">
        <v>69.900000000000006</v>
      </c>
      <c r="AX369" s="34">
        <v>-42.9</v>
      </c>
      <c r="AY369" s="34">
        <v>-4.0999999999999996</v>
      </c>
      <c r="AZ369" s="34">
        <v>-38.700000000000003</v>
      </c>
      <c r="BA369" s="34">
        <v>-31.9</v>
      </c>
      <c r="BB369" s="34">
        <v>79.900000000000006</v>
      </c>
      <c r="BC369" s="34">
        <v>76</v>
      </c>
      <c r="BD369" s="34">
        <v>84.1</v>
      </c>
      <c r="BE369" s="34">
        <v>-93.5</v>
      </c>
      <c r="BF369" s="34">
        <v>51</v>
      </c>
      <c r="BG369" s="34">
        <v>-10.4</v>
      </c>
      <c r="BH369" s="34">
        <v>168</v>
      </c>
      <c r="BI369" s="34">
        <v>0.2</v>
      </c>
      <c r="BJ369" s="34">
        <v>36.6</v>
      </c>
      <c r="BK369" s="34">
        <v>-3.3378348091446348</v>
      </c>
      <c r="BL369" s="34">
        <v>-0.24</v>
      </c>
      <c r="BM369" s="34">
        <v>93.111699999999999</v>
      </c>
      <c r="BN369" s="34">
        <v>94.083600000000004</v>
      </c>
      <c r="BO369" s="34">
        <v>-46.2</v>
      </c>
      <c r="BP369" s="34">
        <v>-47.6</v>
      </c>
      <c r="BQ369" s="34">
        <v>22.8</v>
      </c>
      <c r="BR369" s="34">
        <v>-18.600000000000001</v>
      </c>
      <c r="BS369" s="34">
        <v>-6.2</v>
      </c>
      <c r="BT369" s="34">
        <v>-29.9</v>
      </c>
      <c r="BU369" s="34">
        <v>-29.2</v>
      </c>
      <c r="BV369" s="34">
        <v>-39.9</v>
      </c>
      <c r="BW369" s="34">
        <v>-15.5</v>
      </c>
      <c r="BX369" s="34">
        <v>-31.7</v>
      </c>
      <c r="BY369" s="34">
        <v>-0.8</v>
      </c>
      <c r="BZ369" s="34">
        <v>72.2</v>
      </c>
      <c r="CA369" s="34">
        <v>-15.5</v>
      </c>
      <c r="CB369" s="34">
        <v>-0.2</v>
      </c>
      <c r="CC369" s="34">
        <v>-1.8</v>
      </c>
      <c r="CD369" s="34">
        <v>-48.2</v>
      </c>
      <c r="CE369" s="34">
        <v>-43.9</v>
      </c>
      <c r="CF369" s="34">
        <v>19.2</v>
      </c>
      <c r="CG369" s="34">
        <v>45.7</v>
      </c>
      <c r="CH369" s="34">
        <v>62.8</v>
      </c>
      <c r="CI369" s="34">
        <v>-17.100000000000001</v>
      </c>
      <c r="CJ369" s="34">
        <v>-16.2</v>
      </c>
      <c r="CK369" s="34">
        <v>14.2</v>
      </c>
      <c r="CL369" s="34">
        <v>27.2</v>
      </c>
      <c r="CM369" s="34">
        <v>2909.3244289999998</v>
      </c>
      <c r="CN369" s="34">
        <v>23723.7</v>
      </c>
      <c r="CO369" s="34">
        <v>2919.6149999999998</v>
      </c>
      <c r="CP369" s="34">
        <v>0.21199999999999999</v>
      </c>
      <c r="CQ369" s="34">
        <v>0.64</v>
      </c>
      <c r="CR369" s="34">
        <v>65.900000000000006</v>
      </c>
      <c r="CS369" s="64">
        <v>42.31</v>
      </c>
      <c r="CT369" s="34">
        <v>64.099999999999994</v>
      </c>
      <c r="CU369" s="34">
        <v>69.3</v>
      </c>
      <c r="CV369" s="34">
        <v>50</v>
      </c>
      <c r="CW369" s="34">
        <v>64.099999999999994</v>
      </c>
      <c r="CX369" s="34">
        <v>73.099999999999994</v>
      </c>
      <c r="CY369" s="54">
        <v>7.03</v>
      </c>
      <c r="CZ369" s="34">
        <v>42713.322999999997</v>
      </c>
      <c r="DA369" s="34">
        <v>4.5599999999999996</v>
      </c>
      <c r="DB369" s="34">
        <v>26.72</v>
      </c>
      <c r="DC369" s="34">
        <v>43.6</v>
      </c>
      <c r="DD369" s="34">
        <v>12.4</v>
      </c>
      <c r="DE369" s="34">
        <v>14793.198</v>
      </c>
      <c r="DF369" s="34">
        <v>1693.4960000000001</v>
      </c>
      <c r="DG369" s="34">
        <v>1481.816</v>
      </c>
      <c r="DH369" s="34">
        <v>1423.989</v>
      </c>
      <c r="DI369" s="34">
        <v>7171.7039999999997</v>
      </c>
      <c r="DJ369" s="34">
        <v>95.0595</v>
      </c>
      <c r="DK369" s="34">
        <v>93.600300000000004</v>
      </c>
      <c r="DL369" s="34">
        <v>97.13</v>
      </c>
      <c r="DM369" s="34">
        <v>96.3553</v>
      </c>
      <c r="DN369" s="34">
        <v>94.083600000000004</v>
      </c>
      <c r="DO369" s="34">
        <v>93.111699999999999</v>
      </c>
      <c r="DP369" s="34">
        <v>94.91</v>
      </c>
      <c r="DQ369" s="34">
        <v>94.400700000000001</v>
      </c>
      <c r="DR369" s="34">
        <v>5714841</v>
      </c>
      <c r="DS369" s="73">
        <v>33382</v>
      </c>
      <c r="DT369" s="73">
        <v>88.5</v>
      </c>
      <c r="DU369">
        <v>282.24844360351563</v>
      </c>
      <c r="DV369">
        <v>397.71600341796875</v>
      </c>
      <c r="DW369">
        <v>617</v>
      </c>
      <c r="DX369">
        <v>251425</v>
      </c>
      <c r="DY369">
        <v>89.1</v>
      </c>
      <c r="DZ369" s="33" t="s">
        <v>312</v>
      </c>
    </row>
    <row r="370" spans="1:130" s="56" customFormat="1" x14ac:dyDescent="0.25">
      <c r="A370" s="53">
        <v>43983</v>
      </c>
      <c r="B370" s="54">
        <v>93.5</v>
      </c>
      <c r="C370" s="55">
        <v>-0.54600000000000004</v>
      </c>
      <c r="D370" s="98">
        <v>0</v>
      </c>
      <c r="E370" s="54">
        <v>-0.3</v>
      </c>
      <c r="F370" s="54">
        <v>-0.66</v>
      </c>
      <c r="G370" s="54">
        <v>-0.57999999999999996</v>
      </c>
      <c r="H370" s="54">
        <v>-0.43</v>
      </c>
      <c r="I370" s="54">
        <f t="shared" ref="I370:I375" si="113">IF(ISNUMBER(C370),IF(ISNUMBER(H370),H370-C370,""),"")</f>
        <v>0.11600000000000005</v>
      </c>
      <c r="J370" s="54">
        <f t="shared" ref="J370:J375" si="114">IF(ISNUMBER(D370),IF(ISNUMBER(H370),H370-D370,""),"")</f>
        <v>-0.43</v>
      </c>
      <c r="K370" s="54">
        <f t="shared" ref="K370:K375" si="115">IF(ISNUMBER(H370),IF(ISNUMBER(E370),H370-E370,""),"")</f>
        <v>-0.13</v>
      </c>
      <c r="L370" s="54">
        <f t="shared" ref="L370:L375" si="116">IF(ISNUMBER(D370),IF(ISNUMBER(C370),D370-C370,""),"")</f>
        <v>0.54600000000000004</v>
      </c>
      <c r="M370" s="54">
        <v>97</v>
      </c>
      <c r="N370" s="54">
        <v>11586.85</v>
      </c>
      <c r="O370" s="54">
        <v>32.96</v>
      </c>
      <c r="P370" s="64">
        <v>2516</v>
      </c>
      <c r="Q370" s="34">
        <f t="shared" si="92"/>
        <v>25.034825870646767</v>
      </c>
      <c r="R370" s="34">
        <v>3325.9</v>
      </c>
      <c r="S370" s="34">
        <f t="shared" si="93"/>
        <v>3309.3532338308455</v>
      </c>
      <c r="T370" s="34">
        <v>3350.9</v>
      </c>
      <c r="U370" s="34">
        <f t="shared" si="94"/>
        <v>3334.2288557213933</v>
      </c>
      <c r="V370" s="118">
        <v>243770</v>
      </c>
      <c r="W370" s="118">
        <v>9736833</v>
      </c>
      <c r="X370" s="119">
        <v>13221156</v>
      </c>
      <c r="Y370" s="119">
        <v>687444</v>
      </c>
      <c r="Z370" s="54">
        <v>85.3</v>
      </c>
      <c r="AA370" s="54">
        <v>81.2</v>
      </c>
      <c r="AB370" s="54">
        <v>86.1</v>
      </c>
      <c r="AC370" s="54">
        <v>85.6</v>
      </c>
      <c r="AD370" s="54">
        <v>44716</v>
      </c>
      <c r="AE370" s="54">
        <v>6.4</v>
      </c>
      <c r="AF370" s="54">
        <v>564</v>
      </c>
      <c r="AG370" s="54">
        <v>100.4</v>
      </c>
      <c r="AH370" s="54">
        <v>100.5</v>
      </c>
      <c r="AI370" s="64">
        <v>88.5</v>
      </c>
      <c r="AJ370" s="64">
        <v>94.6</v>
      </c>
      <c r="AK370" s="64">
        <v>176.75917000000001</v>
      </c>
      <c r="AL370" s="64">
        <v>93</v>
      </c>
      <c r="AM370" s="54">
        <v>91.88</v>
      </c>
      <c r="AN370" s="33">
        <v>87.28</v>
      </c>
      <c r="AO370" s="33">
        <v>92</v>
      </c>
      <c r="AP370" s="33">
        <v>36.29</v>
      </c>
      <c r="AQ370" s="54">
        <f t="shared" si="104"/>
        <v>0.41005649717514125</v>
      </c>
      <c r="AR370" s="54">
        <v>86.4</v>
      </c>
      <c r="AS370" s="54">
        <v>92.6</v>
      </c>
      <c r="AT370" s="54">
        <v>80.599999999999994</v>
      </c>
      <c r="AU370" s="54">
        <v>82.3</v>
      </c>
      <c r="AV370" s="54">
        <v>96.9</v>
      </c>
      <c r="AW370" s="54">
        <v>69.8</v>
      </c>
      <c r="AX370" s="54">
        <v>-29.8</v>
      </c>
      <c r="AY370" s="54">
        <v>11.6</v>
      </c>
      <c r="AZ370" s="54">
        <v>-29.7</v>
      </c>
      <c r="BA370" s="54">
        <v>-8.6999999999999993</v>
      </c>
      <c r="BB370" s="54">
        <v>86.2</v>
      </c>
      <c r="BC370" s="54">
        <v>83.9</v>
      </c>
      <c r="BD370" s="54">
        <v>88.6</v>
      </c>
      <c r="BE370" s="54">
        <v>-83.1</v>
      </c>
      <c r="BF370" s="54">
        <v>63.4</v>
      </c>
      <c r="BG370" s="54">
        <v>8.5</v>
      </c>
      <c r="BH370" s="54">
        <v>161.19999999999999</v>
      </c>
      <c r="BI370" s="54">
        <v>0.6</v>
      </c>
      <c r="BJ370" s="34">
        <v>45.2</v>
      </c>
      <c r="BK370" s="34">
        <v>20.354792062884258</v>
      </c>
      <c r="BL370" s="54">
        <v>-1.0469999999999999</v>
      </c>
      <c r="BM370" s="54">
        <v>97.229100000000003</v>
      </c>
      <c r="BN370" s="54">
        <v>97.620999999999995</v>
      </c>
      <c r="BO370" s="54">
        <v>-48.6</v>
      </c>
      <c r="BP370" s="54">
        <v>-51</v>
      </c>
      <c r="BQ370" s="54">
        <v>22.5</v>
      </c>
      <c r="BR370" s="54">
        <v>4.8</v>
      </c>
      <c r="BS370" s="54">
        <v>-3.8</v>
      </c>
      <c r="BT370" s="54">
        <v>-26.7</v>
      </c>
      <c r="BU370" s="54">
        <v>-22.1</v>
      </c>
      <c r="BV370" s="54">
        <v>-27.7</v>
      </c>
      <c r="BW370" s="54">
        <v>-11.4</v>
      </c>
      <c r="BX370" s="54">
        <v>-16.899999999999999</v>
      </c>
      <c r="BY370" s="54">
        <v>0.5</v>
      </c>
      <c r="BZ370" s="54">
        <v>81.400000000000006</v>
      </c>
      <c r="CA370" s="54">
        <v>-11.4</v>
      </c>
      <c r="CB370" s="54">
        <v>-0.7</v>
      </c>
      <c r="CC370" s="54">
        <v>0.3</v>
      </c>
      <c r="CD370" s="54">
        <v>-49.1</v>
      </c>
      <c r="CE370" s="54">
        <v>-32.299999999999997</v>
      </c>
      <c r="CF370" s="54">
        <v>18.100000000000001</v>
      </c>
      <c r="CG370" s="54">
        <v>30.2</v>
      </c>
      <c r="CH370" s="54">
        <v>58.8</v>
      </c>
      <c r="CI370" s="54">
        <v>-7.4</v>
      </c>
      <c r="CJ370" s="54">
        <v>-13.1</v>
      </c>
      <c r="CK370" s="54">
        <v>12.2</v>
      </c>
      <c r="CL370" s="54">
        <v>29</v>
      </c>
      <c r="CM370" s="54">
        <v>3237.3927269999999</v>
      </c>
      <c r="CN370" s="54">
        <v>25475.02</v>
      </c>
      <c r="CO370" s="54">
        <v>3104.6609090000002</v>
      </c>
      <c r="CP370" s="54">
        <v>0.18</v>
      </c>
      <c r="CQ370" s="54">
        <v>0.66</v>
      </c>
      <c r="CR370" s="54">
        <v>72.3</v>
      </c>
      <c r="CS370" s="64">
        <v>40.659999999999997</v>
      </c>
      <c r="CT370" s="54">
        <v>77.400000000000006</v>
      </c>
      <c r="CU370" s="54">
        <v>82.2</v>
      </c>
      <c r="CV370" s="54">
        <v>64.400000000000006</v>
      </c>
      <c r="CW370" s="54">
        <v>66.5</v>
      </c>
      <c r="CX370" s="54">
        <v>82.5</v>
      </c>
      <c r="CY370" s="54">
        <v>7.31</v>
      </c>
      <c r="CZ370" s="54">
        <v>51178.260999999999</v>
      </c>
      <c r="DA370" s="54">
        <v>4.42</v>
      </c>
      <c r="DB370" s="54">
        <v>30.27</v>
      </c>
      <c r="DC370" s="54">
        <v>49.92</v>
      </c>
      <c r="DD370" s="54">
        <v>15.24</v>
      </c>
      <c r="DE370" s="54">
        <v>17026.327000000001</v>
      </c>
      <c r="DF370" s="54">
        <v>1823.2860000000001</v>
      </c>
      <c r="DG370" s="54">
        <v>1932.914</v>
      </c>
      <c r="DH370" s="54">
        <v>1291.2929999999999</v>
      </c>
      <c r="DI370" s="54">
        <v>8218.2939999999999</v>
      </c>
      <c r="DJ370" s="54">
        <v>97.434600000000003</v>
      </c>
      <c r="DK370" s="54">
        <v>96.661799999999999</v>
      </c>
      <c r="DL370" s="54">
        <v>98.95</v>
      </c>
      <c r="DM370" s="54">
        <v>98.667400000000001</v>
      </c>
      <c r="DN370" s="54">
        <v>97.620999999999995</v>
      </c>
      <c r="DO370" s="54">
        <v>97.229100000000003</v>
      </c>
      <c r="DP370" s="54">
        <v>96.568299999999994</v>
      </c>
      <c r="DQ370" s="54">
        <v>96.224800000000002</v>
      </c>
      <c r="DR370" s="54">
        <v>4452284</v>
      </c>
      <c r="DS370" s="96">
        <v>33411</v>
      </c>
      <c r="DT370" s="96">
        <v>92.1</v>
      </c>
      <c r="DU370" s="56">
        <v>247.64981079101563</v>
      </c>
      <c r="DV370" s="56">
        <v>278.8721923828125</v>
      </c>
      <c r="DW370" s="56">
        <v>520</v>
      </c>
      <c r="DX370" s="56">
        <v>254275</v>
      </c>
      <c r="DY370" s="56">
        <v>92.9</v>
      </c>
      <c r="DZ370" s="60" t="s">
        <v>312</v>
      </c>
    </row>
    <row r="371" spans="1:130" x14ac:dyDescent="0.25">
      <c r="A371" s="1">
        <v>44013</v>
      </c>
      <c r="B371" s="34">
        <v>94.5</v>
      </c>
      <c r="C371" s="45">
        <v>-0.54800000000000004</v>
      </c>
      <c r="D371" s="99">
        <v>0</v>
      </c>
      <c r="E371" s="34">
        <v>-0.36</v>
      </c>
      <c r="F371" s="34">
        <v>-0.71</v>
      </c>
      <c r="G371" s="34">
        <v>-0.65</v>
      </c>
      <c r="H371" s="34">
        <v>-0.52</v>
      </c>
      <c r="I371" s="34">
        <f t="shared" si="113"/>
        <v>2.8000000000000025E-2</v>
      </c>
      <c r="J371" s="34">
        <f t="shared" si="114"/>
        <v>-0.52</v>
      </c>
      <c r="K371" s="34">
        <f t="shared" si="115"/>
        <v>-0.16000000000000003</v>
      </c>
      <c r="L371" s="34">
        <f t="shared" si="116"/>
        <v>0.54800000000000004</v>
      </c>
      <c r="M371" s="34">
        <v>96</v>
      </c>
      <c r="N371" s="34">
        <v>12260.57</v>
      </c>
      <c r="O371" s="34">
        <v>27.48</v>
      </c>
      <c r="P371" s="64">
        <v>2521.9</v>
      </c>
      <c r="Q371" s="34">
        <f t="shared" si="92"/>
        <v>25.320281124497996</v>
      </c>
      <c r="R371" s="34">
        <v>3337.2</v>
      </c>
      <c r="S371" s="34">
        <f t="shared" si="93"/>
        <v>3350.6024096385545</v>
      </c>
      <c r="T371" s="34">
        <v>3360.3</v>
      </c>
      <c r="U371" s="34">
        <f t="shared" si="94"/>
        <v>3373.7951807228919</v>
      </c>
      <c r="V371" s="118">
        <v>243898</v>
      </c>
      <c r="W371" s="118">
        <v>9798649</v>
      </c>
      <c r="X371" s="119">
        <v>13289977</v>
      </c>
      <c r="Y371" s="119">
        <v>700918</v>
      </c>
      <c r="Z371" s="34">
        <v>88.4</v>
      </c>
      <c r="AA371" s="34">
        <v>85.1</v>
      </c>
      <c r="AB371" s="34">
        <v>88.4</v>
      </c>
      <c r="AC371" s="34">
        <v>86.9</v>
      </c>
      <c r="AD371" s="34">
        <v>44740</v>
      </c>
      <c r="AE371" s="34">
        <v>6.4</v>
      </c>
      <c r="AF371" s="34">
        <v>558</v>
      </c>
      <c r="AG371" s="34">
        <v>99.6</v>
      </c>
      <c r="AH371" s="34">
        <v>99.6</v>
      </c>
      <c r="AI371" s="64">
        <v>89.1</v>
      </c>
      <c r="AJ371" s="64">
        <v>94.5</v>
      </c>
      <c r="AK371" s="64">
        <v>177.149798</v>
      </c>
      <c r="AL371" s="64">
        <v>123.9</v>
      </c>
      <c r="AM371" s="34">
        <v>98</v>
      </c>
      <c r="AN371" s="33">
        <v>91.31</v>
      </c>
      <c r="AO371" s="33">
        <v>95.99</v>
      </c>
      <c r="AP371" s="33">
        <v>37.729999999999997</v>
      </c>
      <c r="AQ371" s="34">
        <f t="shared" si="104"/>
        <v>0.42345679012345677</v>
      </c>
      <c r="AR371" s="34">
        <v>91.1</v>
      </c>
      <c r="AS371" s="34">
        <v>98.3</v>
      </c>
      <c r="AT371" s="34">
        <v>84.4</v>
      </c>
      <c r="AU371" s="34">
        <v>87.3</v>
      </c>
      <c r="AV371" s="34">
        <v>102.9</v>
      </c>
      <c r="AW371" s="34">
        <v>74.099999999999994</v>
      </c>
      <c r="AX371" s="34">
        <v>-22.7</v>
      </c>
      <c r="AY371" s="34">
        <v>18.600000000000001</v>
      </c>
      <c r="AZ371" s="34">
        <v>-14.1</v>
      </c>
      <c r="BA371" s="34">
        <v>6.5</v>
      </c>
      <c r="BB371" s="34">
        <v>91</v>
      </c>
      <c r="BC371" s="34">
        <v>89.8</v>
      </c>
      <c r="BD371" s="34">
        <v>92.1</v>
      </c>
      <c r="BE371" s="34">
        <v>-80.900000000000006</v>
      </c>
      <c r="BF371" s="34">
        <v>59.3</v>
      </c>
      <c r="BG371" s="34">
        <v>10.6</v>
      </c>
      <c r="BH371" s="34">
        <v>155.1</v>
      </c>
      <c r="BI371" s="34">
        <v>1.5</v>
      </c>
      <c r="BJ371" s="34">
        <v>51</v>
      </c>
      <c r="BK371" s="34">
        <v>29.991815851719341</v>
      </c>
      <c r="BL371" s="34">
        <v>-1.2250000000000001</v>
      </c>
      <c r="BM371" s="34">
        <v>98.689899999999994</v>
      </c>
      <c r="BN371" s="34">
        <v>98.875900000000001</v>
      </c>
      <c r="BO371" s="34">
        <v>-43.4</v>
      </c>
      <c r="BP371" s="34">
        <v>-44.1</v>
      </c>
      <c r="BQ371" s="34">
        <v>16</v>
      </c>
      <c r="BR371" s="34">
        <v>13.6</v>
      </c>
      <c r="BS371" s="34">
        <v>0.5</v>
      </c>
      <c r="BT371" s="34">
        <v>-23.5</v>
      </c>
      <c r="BU371" s="34">
        <v>-15.3</v>
      </c>
      <c r="BV371" s="34">
        <v>-11.8</v>
      </c>
      <c r="BW371" s="34">
        <v>-10.4</v>
      </c>
      <c r="BX371" s="34">
        <v>-8.6</v>
      </c>
      <c r="BY371" s="34">
        <v>0.3</v>
      </c>
      <c r="BZ371" s="34">
        <v>90</v>
      </c>
      <c r="CA371" s="34">
        <v>-10.4</v>
      </c>
      <c r="CB371" s="34">
        <v>-4</v>
      </c>
      <c r="CC371" s="34">
        <v>1.5</v>
      </c>
      <c r="CD371" s="34">
        <v>-53.5</v>
      </c>
      <c r="CE371" s="34">
        <v>-29</v>
      </c>
      <c r="CF371" s="34">
        <v>5.6</v>
      </c>
      <c r="CG371" s="34">
        <v>21.4</v>
      </c>
      <c r="CH371" s="34">
        <v>53.9</v>
      </c>
      <c r="CI371" s="34">
        <v>8.4</v>
      </c>
      <c r="CJ371" s="34">
        <v>-10.3</v>
      </c>
      <c r="CK371" s="34">
        <v>15</v>
      </c>
      <c r="CL371" s="34">
        <v>27.7</v>
      </c>
      <c r="CM371" s="34">
        <v>3316.291217</v>
      </c>
      <c r="CN371" s="34">
        <v>25734.97</v>
      </c>
      <c r="CO371" s="34">
        <v>3207.619091</v>
      </c>
      <c r="CP371" s="34">
        <v>0.158</v>
      </c>
      <c r="CQ371" s="34">
        <v>0.69</v>
      </c>
      <c r="CR371" s="34">
        <v>65.900000000000006</v>
      </c>
      <c r="CS371" s="64">
        <v>43.73</v>
      </c>
      <c r="CT371" s="34">
        <v>83.3</v>
      </c>
      <c r="CU371" s="34">
        <v>91.3</v>
      </c>
      <c r="CV371" s="34">
        <v>76.5</v>
      </c>
      <c r="CW371" s="34">
        <v>87.6</v>
      </c>
      <c r="CX371" s="34">
        <v>87.2</v>
      </c>
      <c r="CY371" s="54">
        <v>8.33</v>
      </c>
      <c r="CZ371" s="34">
        <v>52552.446000000004</v>
      </c>
      <c r="DA371" s="34">
        <v>5.0599999999999996</v>
      </c>
      <c r="DB371" s="34">
        <v>28.89</v>
      </c>
      <c r="DC371" s="34">
        <v>52.01</v>
      </c>
      <c r="DD371" s="34">
        <v>15.54</v>
      </c>
      <c r="DE371" s="34">
        <v>18943.993999999999</v>
      </c>
      <c r="DF371" s="34">
        <v>2538.1039999999998</v>
      </c>
      <c r="DG371" s="34">
        <v>2011.136</v>
      </c>
      <c r="DH371" s="34">
        <v>1449.37</v>
      </c>
      <c r="DI371" s="34">
        <v>8721.3510000000006</v>
      </c>
      <c r="DJ371" s="34">
        <v>98.471599999999995</v>
      </c>
      <c r="DK371" s="34">
        <v>97.987300000000005</v>
      </c>
      <c r="DL371" s="34">
        <v>99.67</v>
      </c>
      <c r="DM371" s="34">
        <v>99.576999999999998</v>
      </c>
      <c r="DN371" s="34">
        <v>98.875900000000001</v>
      </c>
      <c r="DO371" s="34">
        <v>98.689899999999994</v>
      </c>
      <c r="DP371" s="34">
        <v>98.033699999999996</v>
      </c>
      <c r="DQ371" s="34">
        <v>97.836699999999993</v>
      </c>
      <c r="DR371" s="34">
        <v>3305887</v>
      </c>
      <c r="DS371" s="73">
        <v>33436</v>
      </c>
      <c r="DT371" s="73">
        <v>93.3</v>
      </c>
      <c r="DU371" s="56">
        <v>248.8228759765625</v>
      </c>
      <c r="DV371" s="56">
        <v>312.93161010742188</v>
      </c>
      <c r="DW371">
        <v>1803</v>
      </c>
      <c r="DX371">
        <v>210700</v>
      </c>
      <c r="DY371">
        <v>95.3</v>
      </c>
      <c r="DZ371" s="33" t="s">
        <v>312</v>
      </c>
    </row>
    <row r="372" spans="1:130" x14ac:dyDescent="0.25">
      <c r="A372" s="1">
        <v>44044</v>
      </c>
      <c r="B372" s="34">
        <v>94.8</v>
      </c>
      <c r="C372" s="45">
        <v>-0.55200000000000005</v>
      </c>
      <c r="D372" s="99">
        <v>0</v>
      </c>
      <c r="E372" s="34">
        <v>-0.43</v>
      </c>
      <c r="F372" s="34">
        <v>-0.72</v>
      </c>
      <c r="G372" s="34">
        <v>-0.65</v>
      </c>
      <c r="H372" s="34">
        <v>-0.52</v>
      </c>
      <c r="I372" s="34">
        <f t="shared" si="113"/>
        <v>3.2000000000000028E-2</v>
      </c>
      <c r="J372" s="34">
        <f t="shared" si="114"/>
        <v>-0.52</v>
      </c>
      <c r="K372" s="34">
        <f t="shared" si="115"/>
        <v>-9.0000000000000024E-2</v>
      </c>
      <c r="L372" s="34">
        <f t="shared" si="116"/>
        <v>0.55200000000000005</v>
      </c>
      <c r="M372" s="34">
        <v>97</v>
      </c>
      <c r="N372" s="34">
        <v>12646.98</v>
      </c>
      <c r="O372" s="34">
        <v>28.07</v>
      </c>
      <c r="P372" s="64">
        <v>2535.4</v>
      </c>
      <c r="Q372" s="34">
        <f t="shared" si="92"/>
        <v>25.404809619238478</v>
      </c>
      <c r="R372" s="34">
        <v>3347</v>
      </c>
      <c r="S372" s="34">
        <f t="shared" si="93"/>
        <v>3353.7074148296597</v>
      </c>
      <c r="T372" s="34">
        <v>3369.6</v>
      </c>
      <c r="U372" s="34">
        <f t="shared" si="94"/>
        <v>3376.3527054108217</v>
      </c>
      <c r="V372" s="118">
        <v>238894</v>
      </c>
      <c r="W372" s="118">
        <v>9870472</v>
      </c>
      <c r="X372" s="119">
        <v>13347797</v>
      </c>
      <c r="Y372" s="119">
        <v>686622</v>
      </c>
      <c r="Z372" s="34">
        <v>91.2</v>
      </c>
      <c r="AA372" s="34">
        <v>88.6</v>
      </c>
      <c r="AB372" s="34">
        <v>91.8</v>
      </c>
      <c r="AC372" s="34">
        <v>90.5</v>
      </c>
      <c r="AD372" s="34">
        <v>44774</v>
      </c>
      <c r="AE372" s="34">
        <v>6.3</v>
      </c>
      <c r="AF372" s="34">
        <v>564</v>
      </c>
      <c r="AG372" s="34">
        <v>99.7</v>
      </c>
      <c r="AH372" s="34">
        <v>99.8</v>
      </c>
      <c r="AI372" s="64">
        <v>89.2</v>
      </c>
      <c r="AJ372" s="64">
        <v>94.7</v>
      </c>
      <c r="AK372" s="64">
        <v>177.149798</v>
      </c>
      <c r="AL372" s="64">
        <v>93.4</v>
      </c>
      <c r="AM372" s="34">
        <v>106.33</v>
      </c>
      <c r="AN372" s="33">
        <v>100.45</v>
      </c>
      <c r="AO372" s="33">
        <v>102.44</v>
      </c>
      <c r="AP372" s="33">
        <v>38.11</v>
      </c>
      <c r="AQ372" s="34">
        <f t="shared" si="104"/>
        <v>0.42724215246636771</v>
      </c>
      <c r="AR372" s="34">
        <v>93</v>
      </c>
      <c r="AS372" s="34">
        <v>99.2</v>
      </c>
      <c r="AT372" s="34">
        <v>87.1</v>
      </c>
      <c r="AU372" s="34">
        <v>90.6</v>
      </c>
      <c r="AV372" s="34">
        <v>104.3</v>
      </c>
      <c r="AW372" s="34">
        <v>78.8</v>
      </c>
      <c r="AX372" s="34">
        <v>-9.1999999999999993</v>
      </c>
      <c r="AY372" s="34">
        <v>18.399999999999999</v>
      </c>
      <c r="AZ372" s="34">
        <v>-13</v>
      </c>
      <c r="BA372" s="34">
        <v>6.2</v>
      </c>
      <c r="BB372" s="34">
        <v>91</v>
      </c>
      <c r="BC372" s="34">
        <v>89.2</v>
      </c>
      <c r="BD372" s="34">
        <v>92.9</v>
      </c>
      <c r="BE372" s="34">
        <v>-81.3</v>
      </c>
      <c r="BF372" s="34">
        <v>71.5</v>
      </c>
      <c r="BG372" s="34">
        <v>11.7</v>
      </c>
      <c r="BH372" s="34">
        <v>154.80000000000001</v>
      </c>
      <c r="BI372" s="34">
        <v>1</v>
      </c>
      <c r="BJ372" s="34">
        <v>52.2</v>
      </c>
      <c r="BK372" s="34">
        <v>25.911432164896638</v>
      </c>
      <c r="BL372" s="34">
        <v>-1.5920000000000001</v>
      </c>
      <c r="BM372" s="34">
        <v>99.146299999999997</v>
      </c>
      <c r="BN372" s="34">
        <v>99.268000000000001</v>
      </c>
      <c r="BO372" s="34">
        <v>-33.200000000000003</v>
      </c>
      <c r="BP372" s="34">
        <v>-35.700000000000003</v>
      </c>
      <c r="BQ372" s="34">
        <v>11.3</v>
      </c>
      <c r="BR372" s="34">
        <v>14.9</v>
      </c>
      <c r="BS372" s="34">
        <v>0.4</v>
      </c>
      <c r="BT372" s="34">
        <v>-19.2</v>
      </c>
      <c r="BU372" s="34">
        <v>-9.9</v>
      </c>
      <c r="BV372" s="34">
        <v>2</v>
      </c>
      <c r="BW372" s="34">
        <v>-8.1</v>
      </c>
      <c r="BX372" s="34">
        <v>-5</v>
      </c>
      <c r="BY372" s="34">
        <v>-0.5</v>
      </c>
      <c r="BZ372" s="34">
        <v>97.2</v>
      </c>
      <c r="CA372" s="34">
        <v>-8.1</v>
      </c>
      <c r="CB372" s="34">
        <v>-1</v>
      </c>
      <c r="CC372" s="34">
        <v>1.6</v>
      </c>
      <c r="CD372" s="34">
        <v>-51</v>
      </c>
      <c r="CE372" s="34">
        <v>-26</v>
      </c>
      <c r="CF372" s="34">
        <v>5.9</v>
      </c>
      <c r="CG372" s="34">
        <v>25.6</v>
      </c>
      <c r="CH372" s="34">
        <v>48.9</v>
      </c>
      <c r="CI372" s="34">
        <v>8.9</v>
      </c>
      <c r="CJ372" s="34">
        <v>-7.1</v>
      </c>
      <c r="CK372" s="34">
        <v>15.6</v>
      </c>
      <c r="CL372" s="34">
        <v>28.1</v>
      </c>
      <c r="CM372" s="34">
        <v>3297.6679049999998</v>
      </c>
      <c r="CN372" s="34">
        <v>26664.400000000001</v>
      </c>
      <c r="CO372" s="34">
        <v>3391.71</v>
      </c>
      <c r="CP372" s="34">
        <v>6.4000000000000001E-2</v>
      </c>
      <c r="CQ372" s="34">
        <v>0.56000000000000005</v>
      </c>
      <c r="CR372" s="34">
        <v>68.5</v>
      </c>
      <c r="CS372" s="64">
        <v>45.26</v>
      </c>
      <c r="CT372" s="34">
        <v>94</v>
      </c>
      <c r="CU372" s="34">
        <v>88.8</v>
      </c>
      <c r="CV372" s="34">
        <v>84</v>
      </c>
      <c r="CW372" s="34">
        <v>87.7</v>
      </c>
      <c r="CX372" s="34">
        <v>86.7</v>
      </c>
      <c r="CY372" s="34">
        <v>8.3699999999999992</v>
      </c>
      <c r="CZ372" s="34">
        <v>48126.741999999998</v>
      </c>
      <c r="DA372" s="34">
        <v>5.86</v>
      </c>
      <c r="DB372" s="34">
        <v>32.479999999999997</v>
      </c>
      <c r="DC372" s="34">
        <v>54.78</v>
      </c>
      <c r="DD372" s="34">
        <v>16.63</v>
      </c>
      <c r="DE372" s="34">
        <v>15135.950999999999</v>
      </c>
      <c r="DF372" s="34">
        <v>1881.884</v>
      </c>
      <c r="DG372" s="34">
        <v>1822.691</v>
      </c>
      <c r="DH372" s="34">
        <v>1146.431</v>
      </c>
      <c r="DI372" s="34">
        <v>7306.6580000000004</v>
      </c>
      <c r="DJ372" s="34">
        <v>99.267700000000005</v>
      </c>
      <c r="DK372" s="34">
        <v>99.002700000000004</v>
      </c>
      <c r="DL372" s="34">
        <v>100.46</v>
      </c>
      <c r="DM372" s="34">
        <v>100.58669999999999</v>
      </c>
      <c r="DN372" s="34">
        <v>99.268000000000001</v>
      </c>
      <c r="DO372" s="34">
        <v>99.146299999999997</v>
      </c>
      <c r="DP372" s="34">
        <v>98.658799999999999</v>
      </c>
      <c r="DQ372" s="34">
        <v>98.5244</v>
      </c>
      <c r="DR372" s="34">
        <v>2537053</v>
      </c>
      <c r="DS372" s="73">
        <v>33475</v>
      </c>
      <c r="DT372" s="73">
        <v>95.2</v>
      </c>
      <c r="DU372" s="56">
        <v>213.09036254882813</v>
      </c>
      <c r="DV372" s="56">
        <v>215.73820495605469</v>
      </c>
      <c r="DW372">
        <v>1385</v>
      </c>
      <c r="DX372">
        <v>125150</v>
      </c>
      <c r="DY372">
        <v>96.5</v>
      </c>
      <c r="DZ372" s="33" t="s">
        <v>312</v>
      </c>
    </row>
    <row r="373" spans="1:130" s="56" customFormat="1" x14ac:dyDescent="0.25">
      <c r="A373" s="53">
        <v>44075</v>
      </c>
      <c r="B373" s="54">
        <v>96.7</v>
      </c>
      <c r="C373" s="55">
        <v>-0.55400000000000005</v>
      </c>
      <c r="D373" s="98">
        <v>0</v>
      </c>
      <c r="E373" s="54">
        <v>-0.47</v>
      </c>
      <c r="F373" s="54">
        <v>-0.73</v>
      </c>
      <c r="G373" s="54">
        <v>-0.66</v>
      </c>
      <c r="H373" s="54">
        <v>-0.52</v>
      </c>
      <c r="I373" s="54">
        <f t="shared" si="113"/>
        <v>3.400000000000003E-2</v>
      </c>
      <c r="J373" s="54">
        <f t="shared" si="114"/>
        <v>-0.52</v>
      </c>
      <c r="K373" s="54">
        <f t="shared" si="115"/>
        <v>-5.0000000000000044E-2</v>
      </c>
      <c r="L373" s="54">
        <f t="shared" si="116"/>
        <v>0.55400000000000005</v>
      </c>
      <c r="M373" s="54">
        <v>96.8</v>
      </c>
      <c r="N373" s="54">
        <v>12974.25</v>
      </c>
      <c r="O373" s="54">
        <v>27.7</v>
      </c>
      <c r="P373" s="64">
        <v>2564.8000000000002</v>
      </c>
      <c r="Q373" s="34">
        <f t="shared" si="92"/>
        <v>25.72517552657974</v>
      </c>
      <c r="R373" s="34">
        <v>3373.1</v>
      </c>
      <c r="S373" s="34">
        <f t="shared" si="93"/>
        <v>3383.2497492477428</v>
      </c>
      <c r="T373" s="34">
        <v>3395.9</v>
      </c>
      <c r="U373" s="34">
        <f t="shared" si="94"/>
        <v>3406.1183550651954</v>
      </c>
      <c r="V373" s="118">
        <v>230520</v>
      </c>
      <c r="W373" s="118">
        <v>9944815</v>
      </c>
      <c r="X373" s="119">
        <v>13448531</v>
      </c>
      <c r="Y373" s="119">
        <v>704290</v>
      </c>
      <c r="Z373" s="54">
        <v>92.8</v>
      </c>
      <c r="AA373" s="54">
        <v>91.5</v>
      </c>
      <c r="AB373" s="54">
        <v>95.2</v>
      </c>
      <c r="AC373" s="54">
        <v>91.2</v>
      </c>
      <c r="AD373" s="54">
        <v>44832</v>
      </c>
      <c r="AE373" s="54">
        <v>6.3</v>
      </c>
      <c r="AF373" s="54">
        <v>569</v>
      </c>
      <c r="AG373" s="54">
        <v>99.6</v>
      </c>
      <c r="AH373" s="54">
        <v>99.7</v>
      </c>
      <c r="AI373" s="64">
        <v>89.4</v>
      </c>
      <c r="AJ373" s="64">
        <v>94.8</v>
      </c>
      <c r="AK373" s="64">
        <v>177.73573999999999</v>
      </c>
      <c r="AL373" s="64">
        <v>93.2</v>
      </c>
      <c r="AM373" s="54">
        <v>110.16</v>
      </c>
      <c r="AN373" s="33">
        <v>100.66</v>
      </c>
      <c r="AO373" s="33">
        <v>107.39</v>
      </c>
      <c r="AP373" s="33">
        <v>35.58</v>
      </c>
      <c r="AQ373" s="54">
        <f t="shared" si="104"/>
        <v>0.397986577181208</v>
      </c>
      <c r="AR373" s="54">
        <v>96</v>
      </c>
      <c r="AS373" s="54">
        <v>101.6</v>
      </c>
      <c r="AT373" s="54">
        <v>90.8</v>
      </c>
      <c r="AU373" s="54">
        <v>93.8</v>
      </c>
      <c r="AV373" s="54">
        <v>106.7</v>
      </c>
      <c r="AW373" s="54">
        <v>82.4</v>
      </c>
      <c r="AX373" s="54">
        <v>-5.4</v>
      </c>
      <c r="AY373" s="54">
        <v>23.3</v>
      </c>
      <c r="AZ373" s="54">
        <v>-3.5</v>
      </c>
      <c r="BA373" s="54">
        <v>17.2</v>
      </c>
      <c r="BB373" s="54">
        <v>94.9</v>
      </c>
      <c r="BC373" s="54">
        <v>94.4</v>
      </c>
      <c r="BD373" s="54">
        <v>95.4</v>
      </c>
      <c r="BE373" s="54">
        <v>-66.2</v>
      </c>
      <c r="BF373" s="54">
        <v>77.400000000000006</v>
      </c>
      <c r="BG373" s="54">
        <v>24.1</v>
      </c>
      <c r="BH373" s="54">
        <v>152.9</v>
      </c>
      <c r="BI373" s="54">
        <v>0.6</v>
      </c>
      <c r="BJ373" s="34">
        <v>56.4</v>
      </c>
      <c r="BK373" s="54">
        <v>26.571727990145508</v>
      </c>
      <c r="BL373" s="54">
        <v>-1.4450000000000001</v>
      </c>
      <c r="BM373" s="54">
        <v>99.382499999999993</v>
      </c>
      <c r="BN373" s="54">
        <v>99.471000000000004</v>
      </c>
      <c r="BO373" s="54">
        <v>-32</v>
      </c>
      <c r="BP373" s="54">
        <v>-35.4</v>
      </c>
      <c r="BQ373" s="54">
        <v>10.8</v>
      </c>
      <c r="BR373" s="54">
        <v>20.6</v>
      </c>
      <c r="BS373" s="54">
        <v>2.8</v>
      </c>
      <c r="BT373" s="54">
        <v>-16.3</v>
      </c>
      <c r="BU373" s="54">
        <v>-7.4</v>
      </c>
      <c r="BV373" s="54">
        <v>4.5</v>
      </c>
      <c r="BW373" s="54">
        <v>-8.5</v>
      </c>
      <c r="BX373" s="54">
        <v>-4.0999999999999996</v>
      </c>
      <c r="BY373" s="54">
        <v>2.8</v>
      </c>
      <c r="BZ373" s="54">
        <v>98.7</v>
      </c>
      <c r="CA373" s="54">
        <v>-8.5</v>
      </c>
      <c r="CB373" s="54">
        <v>-4.0999999999999996</v>
      </c>
      <c r="CC373" s="54">
        <v>1.4</v>
      </c>
      <c r="CD373" s="54">
        <v>-49.2</v>
      </c>
      <c r="CE373" s="54">
        <v>-21</v>
      </c>
      <c r="CF373" s="54">
        <v>4.8</v>
      </c>
      <c r="CG373" s="54">
        <v>25</v>
      </c>
      <c r="CH373" s="54">
        <v>45</v>
      </c>
      <c r="CI373" s="54">
        <v>5.3</v>
      </c>
      <c r="CJ373" s="54">
        <v>-10.1</v>
      </c>
      <c r="CK373" s="54">
        <v>14.2</v>
      </c>
      <c r="CL373" s="54">
        <v>26.3</v>
      </c>
      <c r="CM373" s="54">
        <v>3260.7333180000001</v>
      </c>
      <c r="CN373" s="54">
        <v>28645.66</v>
      </c>
      <c r="CO373" s="54">
        <v>3365.5166669999999</v>
      </c>
      <c r="CP373" s="54">
        <v>0.248</v>
      </c>
      <c r="CQ373" s="54">
        <v>0.68</v>
      </c>
      <c r="CR373" s="54">
        <v>75.599999999999994</v>
      </c>
      <c r="CS373" s="64">
        <v>45.36</v>
      </c>
      <c r="CT373" s="54">
        <v>99.1</v>
      </c>
      <c r="CU373" s="54">
        <v>90.5</v>
      </c>
      <c r="CV373" s="54">
        <v>87.7</v>
      </c>
      <c r="CW373" s="54">
        <v>94.6</v>
      </c>
      <c r="CX373" s="54">
        <v>89.1</v>
      </c>
      <c r="CY373" s="54">
        <v>8.6999999999999993</v>
      </c>
      <c r="CZ373" s="54">
        <v>59164.368000000002</v>
      </c>
      <c r="DA373" s="54">
        <v>6.14</v>
      </c>
      <c r="DB373" s="54">
        <v>31.74</v>
      </c>
      <c r="DC373" s="54">
        <v>55.92</v>
      </c>
      <c r="DD373" s="54">
        <v>16.510000000000002</v>
      </c>
      <c r="DE373" s="54">
        <v>17882.563999999998</v>
      </c>
      <c r="DF373" s="54">
        <v>1956.1759999999999</v>
      </c>
      <c r="DG373" s="54">
        <v>2158.5990000000002</v>
      </c>
      <c r="DH373" s="54">
        <v>1471.2629999999999</v>
      </c>
      <c r="DI373" s="54">
        <v>8470.6669999999995</v>
      </c>
      <c r="DJ373" s="54">
        <v>100.2641</v>
      </c>
      <c r="DK373" s="54">
        <v>100.2748</v>
      </c>
      <c r="DL373" s="54">
        <v>101.4</v>
      </c>
      <c r="DM373" s="54">
        <v>101.7865</v>
      </c>
      <c r="DN373" s="54">
        <v>99.471000000000004</v>
      </c>
      <c r="DO373" s="54">
        <v>99.382499999999993</v>
      </c>
      <c r="DP373" s="54">
        <v>98.933300000000003</v>
      </c>
      <c r="DQ373" s="54">
        <v>98.826400000000007</v>
      </c>
      <c r="DR373" s="54">
        <v>2229430</v>
      </c>
      <c r="DS373" s="96">
        <v>33514</v>
      </c>
      <c r="DT373" s="96">
        <v>96.2</v>
      </c>
      <c r="DU373" s="56">
        <v>278.59219360351563</v>
      </c>
      <c r="DV373" s="56">
        <v>295.31851196289063</v>
      </c>
      <c r="DW373" s="56">
        <v>1471</v>
      </c>
      <c r="DX373" s="56">
        <v>84975</v>
      </c>
      <c r="DY373" s="56">
        <v>97.3</v>
      </c>
      <c r="DZ373" s="60" t="s">
        <v>312</v>
      </c>
    </row>
    <row r="374" spans="1:130" x14ac:dyDescent="0.25">
      <c r="A374" s="1">
        <v>44105</v>
      </c>
      <c r="B374" s="34">
        <v>100</v>
      </c>
      <c r="C374" s="45">
        <v>-0.55800000000000005</v>
      </c>
      <c r="D374" s="99">
        <v>0</v>
      </c>
      <c r="E374" s="34">
        <v>-0.49</v>
      </c>
      <c r="F374" s="34">
        <v>-0.79</v>
      </c>
      <c r="G374" s="34">
        <v>-0.73</v>
      </c>
      <c r="H374" s="34">
        <v>-0.61</v>
      </c>
      <c r="I374" s="34">
        <f t="shared" si="113"/>
        <v>-5.1999999999999935E-2</v>
      </c>
      <c r="J374" s="34">
        <f t="shared" si="114"/>
        <v>-0.61</v>
      </c>
      <c r="K374" s="34">
        <f t="shared" si="115"/>
        <v>-0.12</v>
      </c>
      <c r="L374" s="34">
        <f t="shared" si="116"/>
        <v>0.55800000000000005</v>
      </c>
      <c r="M374" s="34">
        <v>96.6</v>
      </c>
      <c r="N374" s="34">
        <v>12730.77</v>
      </c>
      <c r="O374" s="34">
        <v>37.44</v>
      </c>
      <c r="P374" s="64">
        <v>2598</v>
      </c>
      <c r="Q374" s="34">
        <f t="shared" si="92"/>
        <v>26.006006006006004</v>
      </c>
      <c r="R374" s="34">
        <v>3407</v>
      </c>
      <c r="S374" s="34">
        <f t="shared" si="93"/>
        <v>3410.4104104104103</v>
      </c>
      <c r="T374" s="34">
        <v>3429.5</v>
      </c>
      <c r="U374" s="34">
        <f t="shared" si="94"/>
        <v>3432.9329329329325</v>
      </c>
      <c r="V374" s="118">
        <v>231032</v>
      </c>
      <c r="W374" s="118">
        <v>10052369</v>
      </c>
      <c r="X374" s="119">
        <v>13542265</v>
      </c>
      <c r="Y374" s="119">
        <v>710323</v>
      </c>
      <c r="Z374" s="34">
        <v>96.1</v>
      </c>
      <c r="AA374" s="34">
        <v>94.6</v>
      </c>
      <c r="AB374" s="34">
        <v>94</v>
      </c>
      <c r="AC374" s="34">
        <v>95.2</v>
      </c>
      <c r="AD374" s="34">
        <v>44871</v>
      </c>
      <c r="AE374" s="34">
        <v>6.2</v>
      </c>
      <c r="AF374" s="34">
        <v>587</v>
      </c>
      <c r="AG374" s="34">
        <v>99.8</v>
      </c>
      <c r="AH374" s="34">
        <v>99.9</v>
      </c>
      <c r="AI374" s="64">
        <v>89.7</v>
      </c>
      <c r="AJ374" s="64">
        <v>94.9</v>
      </c>
      <c r="AK374" s="64">
        <v>177.93105399999999</v>
      </c>
      <c r="AL374" s="64">
        <v>93.3</v>
      </c>
      <c r="AM374" s="34">
        <v>109.07</v>
      </c>
      <c r="AN374" s="33">
        <v>107.33</v>
      </c>
      <c r="AO374" s="33">
        <v>108.11</v>
      </c>
      <c r="AP374" s="33">
        <v>35.35</v>
      </c>
      <c r="AQ374" s="34">
        <f t="shared" si="104"/>
        <v>0.39409141583054624</v>
      </c>
      <c r="AR374" s="34">
        <v>96.3</v>
      </c>
      <c r="AS374" s="34">
        <v>99.5</v>
      </c>
      <c r="AT374" s="34">
        <v>93.2</v>
      </c>
      <c r="AU374" s="34">
        <v>95.1</v>
      </c>
      <c r="AV374" s="34">
        <v>104.7</v>
      </c>
      <c r="AW374" s="34">
        <v>86.3</v>
      </c>
      <c r="AX374" s="34">
        <v>1.7</v>
      </c>
      <c r="AY374" s="34">
        <v>24.7</v>
      </c>
      <c r="AZ374" s="34">
        <v>1.7</v>
      </c>
      <c r="BA374" s="34">
        <v>18.5</v>
      </c>
      <c r="BB374" s="34">
        <v>94.8</v>
      </c>
      <c r="BC374" s="34">
        <v>92.4</v>
      </c>
      <c r="BD374" s="34">
        <v>97.3</v>
      </c>
      <c r="BE374" s="34">
        <v>-59.5</v>
      </c>
      <c r="BF374" s="34">
        <v>56.1</v>
      </c>
      <c r="BG374" s="34">
        <v>7.1</v>
      </c>
      <c r="BH374" s="34">
        <v>159.6</v>
      </c>
      <c r="BI374" s="34">
        <v>4.5999999999999996</v>
      </c>
      <c r="BJ374" s="34">
        <v>58</v>
      </c>
      <c r="BK374" s="34">
        <v>35.183440219774539</v>
      </c>
      <c r="BL374" s="34">
        <v>0.113</v>
      </c>
      <c r="BM374" s="34">
        <v>99.605800000000002</v>
      </c>
      <c r="BN374" s="34">
        <v>99.662800000000004</v>
      </c>
      <c r="BO374" s="34">
        <v>-22.1</v>
      </c>
      <c r="BP374" s="34">
        <v>-26.7</v>
      </c>
      <c r="BQ374" s="34">
        <v>6.2</v>
      </c>
      <c r="BR374" s="34">
        <v>19.100000000000001</v>
      </c>
      <c r="BS374" s="34">
        <v>3.6</v>
      </c>
      <c r="BT374" s="34">
        <v>-11.8</v>
      </c>
      <c r="BU374" s="34">
        <v>-3.1</v>
      </c>
      <c r="BV374" s="34">
        <v>5.2</v>
      </c>
      <c r="BW374" s="34">
        <v>-9.1</v>
      </c>
      <c r="BX374" s="34">
        <v>-0.9</v>
      </c>
      <c r="BY374" s="34">
        <v>1.6</v>
      </c>
      <c r="BZ374" s="34">
        <v>100.5</v>
      </c>
      <c r="CA374" s="34">
        <v>-9.1</v>
      </c>
      <c r="CB374" s="34">
        <v>-2.1</v>
      </c>
      <c r="CC374" s="34">
        <v>0.7</v>
      </c>
      <c r="CD374" s="34">
        <v>-51.2</v>
      </c>
      <c r="CE374" s="34">
        <v>-23.9</v>
      </c>
      <c r="CF374" s="34">
        <v>5</v>
      </c>
      <c r="CG374" s="34">
        <v>25.3</v>
      </c>
      <c r="CH374" s="34">
        <v>43.2</v>
      </c>
      <c r="CI374" s="34">
        <v>4.8</v>
      </c>
      <c r="CJ374" s="34">
        <v>-11.3</v>
      </c>
      <c r="CK374" s="34">
        <v>12.3</v>
      </c>
      <c r="CL374" s="34">
        <v>28.3</v>
      </c>
      <c r="CM374" s="34">
        <v>3180.3902269999999</v>
      </c>
      <c r="CN374" s="34">
        <v>27816.91</v>
      </c>
      <c r="CO374" s="34">
        <v>3418.701364</v>
      </c>
      <c r="CP374" s="34">
        <v>0.27500000000000002</v>
      </c>
      <c r="CQ374" s="34">
        <v>0.68</v>
      </c>
      <c r="CR374" s="34">
        <v>79.2</v>
      </c>
      <c r="CS374" s="64">
        <v>42.38</v>
      </c>
      <c r="CT374" s="34">
        <v>95.3</v>
      </c>
      <c r="CU374" s="34">
        <v>90.6</v>
      </c>
      <c r="CV374" s="34">
        <v>89.8</v>
      </c>
      <c r="CW374" s="34">
        <v>89.5</v>
      </c>
      <c r="CX374" s="34">
        <v>89.3</v>
      </c>
      <c r="CY374" s="34">
        <v>8.99</v>
      </c>
      <c r="CZ374" s="34">
        <v>59787.086000000003</v>
      </c>
      <c r="DA374" s="34">
        <v>5.5</v>
      </c>
      <c r="DB374" s="34">
        <v>31.77</v>
      </c>
      <c r="DC374" s="34">
        <v>55.85</v>
      </c>
      <c r="DD374" s="34">
        <v>16.670000000000002</v>
      </c>
      <c r="DE374" s="34">
        <v>18473.650000000001</v>
      </c>
      <c r="DF374" s="34">
        <v>2164.5010000000002</v>
      </c>
      <c r="DG374" s="34">
        <v>2107.0410000000002</v>
      </c>
      <c r="DH374" s="34">
        <v>1474.9090000000001</v>
      </c>
      <c r="DI374" s="34">
        <v>8645.2919999999995</v>
      </c>
      <c r="DJ374" s="34">
        <v>100.6628</v>
      </c>
      <c r="DK374" s="34">
        <v>100.78319999999999</v>
      </c>
      <c r="DL374" s="34">
        <v>101.71</v>
      </c>
      <c r="DM374" s="34">
        <v>102.1739</v>
      </c>
      <c r="DN374" s="34">
        <v>99.662800000000004</v>
      </c>
      <c r="DO374" s="34">
        <v>99.605800000000002</v>
      </c>
      <c r="DP374" s="34">
        <v>99.269199999999998</v>
      </c>
      <c r="DQ374" s="34">
        <v>99.195800000000006</v>
      </c>
      <c r="DR374" s="34">
        <v>2020651</v>
      </c>
      <c r="DS374" s="73">
        <v>33586</v>
      </c>
      <c r="DT374" s="73">
        <v>96.7</v>
      </c>
      <c r="DU374" s="56">
        <v>311.58251953125</v>
      </c>
      <c r="DV374" s="56">
        <v>443.74246215820313</v>
      </c>
      <c r="DW374">
        <v>1869</v>
      </c>
      <c r="DX374">
        <v>161975</v>
      </c>
      <c r="DY374">
        <v>97.3</v>
      </c>
      <c r="DZ374" s="33" t="s">
        <v>312</v>
      </c>
    </row>
    <row r="375" spans="1:130" x14ac:dyDescent="0.25">
      <c r="A375" s="1">
        <v>44136</v>
      </c>
      <c r="B375" s="34">
        <v>101.4</v>
      </c>
      <c r="C375" s="45">
        <v>-0.55500000000000005</v>
      </c>
      <c r="D375" s="99">
        <v>0</v>
      </c>
      <c r="E375" s="34">
        <v>-0.51</v>
      </c>
      <c r="F375" s="34">
        <v>-0.79</v>
      </c>
      <c r="G375" s="34">
        <v>-0.74</v>
      </c>
      <c r="H375" s="34">
        <v>-0.61</v>
      </c>
      <c r="I375" s="34">
        <f t="shared" si="113"/>
        <v>-5.4999999999999938E-2</v>
      </c>
      <c r="J375" s="34">
        <f t="shared" si="114"/>
        <v>-0.61</v>
      </c>
      <c r="K375" s="34">
        <f t="shared" si="115"/>
        <v>-9.9999999999999978E-2</v>
      </c>
      <c r="L375" s="34">
        <f t="shared" si="116"/>
        <v>0.55500000000000005</v>
      </c>
      <c r="M375" s="34">
        <v>96.4</v>
      </c>
      <c r="N375" s="34">
        <v>11788.28</v>
      </c>
      <c r="O375" s="34">
        <v>23.39</v>
      </c>
      <c r="P375" s="64">
        <v>2614.8000000000002</v>
      </c>
      <c r="Q375" s="34">
        <f t="shared" si="92"/>
        <v>26.121878121878126</v>
      </c>
      <c r="R375" s="34">
        <v>3412.3</v>
      </c>
      <c r="S375" s="34">
        <f t="shared" si="93"/>
        <v>3408.8911088911091</v>
      </c>
      <c r="T375" s="34">
        <v>3440.8</v>
      </c>
      <c r="U375" s="34">
        <f t="shared" si="94"/>
        <v>3437.362637362638</v>
      </c>
      <c r="V375" s="118">
        <v>230553</v>
      </c>
      <c r="W375" s="118">
        <v>10164449</v>
      </c>
      <c r="X375" s="119">
        <v>13637165</v>
      </c>
      <c r="Y375" s="119">
        <v>712771</v>
      </c>
      <c r="Z375" s="34">
        <v>98.2</v>
      </c>
      <c r="AA375" s="34">
        <v>96.5</v>
      </c>
      <c r="AB375" s="34">
        <v>92.3</v>
      </c>
      <c r="AC375" s="34">
        <v>96.4</v>
      </c>
      <c r="AD375" s="34">
        <v>44835</v>
      </c>
      <c r="AE375" s="34">
        <v>6.1</v>
      </c>
      <c r="AF375" s="34">
        <v>597</v>
      </c>
      <c r="AG375" s="34">
        <v>99.9</v>
      </c>
      <c r="AH375" s="34">
        <v>100.1</v>
      </c>
      <c r="AI375" s="64">
        <v>90.2</v>
      </c>
      <c r="AJ375" s="64">
        <v>95.3</v>
      </c>
      <c r="AK375" s="64">
        <v>178.32168200000001</v>
      </c>
      <c r="AL375" s="64">
        <v>142.4</v>
      </c>
      <c r="AM375" s="34">
        <v>109.98</v>
      </c>
      <c r="AN375" s="33">
        <v>112.15</v>
      </c>
      <c r="AO375" s="33">
        <v>111</v>
      </c>
      <c r="AP375" s="33">
        <v>37.22</v>
      </c>
      <c r="AQ375" s="34">
        <f t="shared" si="104"/>
        <v>0.41263858093126382</v>
      </c>
      <c r="AR375" s="34">
        <v>96.4</v>
      </c>
      <c r="AS375" s="34">
        <v>97.6</v>
      </c>
      <c r="AT375" s="34">
        <v>95.2</v>
      </c>
      <c r="AU375" s="34">
        <v>96</v>
      </c>
      <c r="AV375" s="34">
        <v>102</v>
      </c>
      <c r="AW375" s="34">
        <v>90.4</v>
      </c>
      <c r="AX375" s="34">
        <v>0</v>
      </c>
      <c r="AY375" s="34">
        <v>5.3</v>
      </c>
      <c r="AZ375" s="34">
        <v>9.4</v>
      </c>
      <c r="BA375" s="34">
        <v>12.9</v>
      </c>
      <c r="BB375" s="34">
        <v>94.3</v>
      </c>
      <c r="BC375" s="34">
        <v>91.6</v>
      </c>
      <c r="BD375" s="34">
        <v>97.1</v>
      </c>
      <c r="BE375" s="34">
        <v>-64.3</v>
      </c>
      <c r="BF375" s="34">
        <v>39</v>
      </c>
      <c r="BG375" s="34">
        <v>-0.2</v>
      </c>
      <c r="BH375" s="34">
        <v>152.5</v>
      </c>
      <c r="BI375" s="34">
        <v>4.5</v>
      </c>
      <c r="BJ375" s="34">
        <v>57.8</v>
      </c>
      <c r="BK375" s="34">
        <v>32.399404511921055</v>
      </c>
      <c r="BL375" s="34">
        <v>0.111</v>
      </c>
      <c r="BM375" s="34">
        <v>99.816500000000005</v>
      </c>
      <c r="BN375" s="34">
        <v>99.843800000000002</v>
      </c>
      <c r="BO375" s="34">
        <v>-16.100000000000001</v>
      </c>
      <c r="BP375" s="34">
        <v>-21</v>
      </c>
      <c r="BQ375" s="34">
        <v>3.6</v>
      </c>
      <c r="BR375" s="34">
        <v>8.6</v>
      </c>
      <c r="BS375" s="34">
        <v>4.0999999999999996</v>
      </c>
      <c r="BT375" s="34">
        <v>-12.4</v>
      </c>
      <c r="BU375" s="34">
        <v>-3.7</v>
      </c>
      <c r="BV375" s="34">
        <v>1.9</v>
      </c>
      <c r="BW375" s="34">
        <v>-9.6999999999999993</v>
      </c>
      <c r="BX375" s="34">
        <v>-6.6</v>
      </c>
      <c r="BY375" s="34">
        <v>0.3</v>
      </c>
      <c r="BZ375" s="34">
        <v>98.5</v>
      </c>
      <c r="CA375" s="34">
        <v>-9.6999999999999993</v>
      </c>
      <c r="CB375" s="34">
        <v>-2.6</v>
      </c>
      <c r="CC375" s="34">
        <v>-0.3</v>
      </c>
      <c r="CD375" s="34">
        <v>-48.6</v>
      </c>
      <c r="CE375" s="34">
        <v>-25.9</v>
      </c>
      <c r="CF375" s="34">
        <v>3</v>
      </c>
      <c r="CG375" s="34">
        <v>29.2</v>
      </c>
      <c r="CH375" s="34">
        <v>42.7</v>
      </c>
      <c r="CI375" s="34">
        <v>0.4</v>
      </c>
      <c r="CJ375" s="34">
        <v>-9.9</v>
      </c>
      <c r="CK375" s="34">
        <v>16.2</v>
      </c>
      <c r="CL375" s="34">
        <v>24.7</v>
      </c>
      <c r="CM375" s="34">
        <v>3391.793619</v>
      </c>
      <c r="CN375" s="34">
        <v>26925.05</v>
      </c>
      <c r="CO375" s="34">
        <v>3548.9924999999998</v>
      </c>
      <c r="CP375" s="34">
        <v>0.25800000000000001</v>
      </c>
      <c r="CQ375" s="34">
        <v>0.87</v>
      </c>
      <c r="CR375" s="34">
        <v>70.5</v>
      </c>
      <c r="CS375" s="64">
        <v>42.82</v>
      </c>
      <c r="CT375" s="34">
        <v>89</v>
      </c>
      <c r="CU375" s="34">
        <v>90.3</v>
      </c>
      <c r="CV375" s="34">
        <v>79.900000000000006</v>
      </c>
      <c r="CW375" s="34">
        <v>81.900000000000006</v>
      </c>
      <c r="CX375" s="34">
        <v>85</v>
      </c>
      <c r="CY375" s="34">
        <v>9.1</v>
      </c>
      <c r="CZ375" s="34">
        <v>59596.966999999997</v>
      </c>
      <c r="DA375" s="34">
        <v>5.67</v>
      </c>
      <c r="DB375" s="34">
        <v>33.340000000000003</v>
      </c>
      <c r="DC375" s="34">
        <v>56.92</v>
      </c>
      <c r="DD375" s="34">
        <v>16.16</v>
      </c>
      <c r="DE375" s="34">
        <v>19126.401000000002</v>
      </c>
      <c r="DF375" s="34">
        <v>2089.4259999999999</v>
      </c>
      <c r="DG375" s="34">
        <v>2065.5810000000001</v>
      </c>
      <c r="DH375" s="34">
        <v>1597.8789999999999</v>
      </c>
      <c r="DI375" s="34">
        <v>9342.1669999999995</v>
      </c>
      <c r="DJ375" s="34">
        <v>100.8647</v>
      </c>
      <c r="DK375" s="34">
        <v>101.0416</v>
      </c>
      <c r="DL375" s="34">
        <v>101.93</v>
      </c>
      <c r="DM375" s="34">
        <v>102.4618</v>
      </c>
      <c r="DN375" s="34">
        <v>99.843800000000002</v>
      </c>
      <c r="DO375" s="34">
        <v>99.816500000000005</v>
      </c>
      <c r="DP375" s="34">
        <v>99.632999999999996</v>
      </c>
      <c r="DQ375" s="34">
        <v>99.596000000000004</v>
      </c>
      <c r="DR375" s="34">
        <v>2386194</v>
      </c>
      <c r="DS375" s="73">
        <v>33634</v>
      </c>
      <c r="DT375" s="73">
        <v>96.7</v>
      </c>
      <c r="DU375" s="56">
        <v>328.15249633789063</v>
      </c>
      <c r="DV375" s="56">
        <v>387.49447631835938</v>
      </c>
      <c r="DW375">
        <v>1284</v>
      </c>
      <c r="DX375">
        <v>169400</v>
      </c>
      <c r="DY375">
        <v>97.5</v>
      </c>
      <c r="DZ375" s="33" t="s">
        <v>312</v>
      </c>
    </row>
    <row r="376" spans="1:130" s="56" customFormat="1" x14ac:dyDescent="0.25">
      <c r="A376" s="53">
        <v>44166</v>
      </c>
      <c r="B376" s="54">
        <v>102.7</v>
      </c>
      <c r="C376" s="55">
        <v>-0.55700000000000005</v>
      </c>
      <c r="D376" s="98">
        <v>0</v>
      </c>
      <c r="E376" s="54">
        <v>-0.52</v>
      </c>
      <c r="F376" s="54">
        <v>-0.78</v>
      </c>
      <c r="G376" s="54">
        <v>-0.74</v>
      </c>
      <c r="H376" s="54">
        <v>-0.62</v>
      </c>
      <c r="I376" s="54">
        <f t="shared" ref="I376:I381" si="117">IF(ISNUMBER(C376),IF(ISNUMBER(H376),H376-C376,""),"")</f>
        <v>-6.2999999999999945E-2</v>
      </c>
      <c r="J376" s="54">
        <f t="shared" ref="J376:J381" si="118">IF(ISNUMBER(D376),IF(ISNUMBER(H376),H376-D376,""),"")</f>
        <v>-0.62</v>
      </c>
      <c r="K376" s="54">
        <f t="shared" ref="K376:K381" si="119">IF(ISNUMBER(H376),IF(ISNUMBER(E376),H376-E376,""),"")</f>
        <v>-9.9999999999999978E-2</v>
      </c>
      <c r="L376" s="54">
        <f t="shared" ref="L376:L381" si="120">IF(ISNUMBER(D376),IF(ISNUMBER(C376),D376-C376,""),"")</f>
        <v>0.55700000000000005</v>
      </c>
      <c r="M376" s="54">
        <v>96.9</v>
      </c>
      <c r="N376" s="54">
        <v>13382.3</v>
      </c>
      <c r="O376" s="54">
        <v>24.73</v>
      </c>
      <c r="P376" s="64">
        <v>2626.2</v>
      </c>
      <c r="Q376" s="34">
        <f t="shared" si="92"/>
        <v>26.235764235764236</v>
      </c>
      <c r="R376" s="34">
        <v>3423</v>
      </c>
      <c r="S376" s="34">
        <f t="shared" si="93"/>
        <v>3419.5804195804199</v>
      </c>
      <c r="T376" s="34">
        <v>3452.5</v>
      </c>
      <c r="U376" s="34">
        <f t="shared" si="94"/>
        <v>3449.0509490509494</v>
      </c>
      <c r="V376" s="118">
        <v>227560</v>
      </c>
      <c r="W376" s="118">
        <v>10273062</v>
      </c>
      <c r="X376" s="119">
        <v>13743194</v>
      </c>
      <c r="Y376" s="119">
        <v>734186</v>
      </c>
      <c r="Z376" s="54">
        <v>99.5</v>
      </c>
      <c r="AA376" s="54">
        <v>94.9</v>
      </c>
      <c r="AB376" s="54">
        <v>97.5</v>
      </c>
      <c r="AC376" s="54">
        <v>92.5</v>
      </c>
      <c r="AD376" s="54">
        <v>44846</v>
      </c>
      <c r="AE376" s="54">
        <v>6.1</v>
      </c>
      <c r="AF376" s="54">
        <v>600</v>
      </c>
      <c r="AG376" s="54">
        <v>100</v>
      </c>
      <c r="AH376" s="54">
        <v>100.1</v>
      </c>
      <c r="AI376" s="64">
        <v>90.7</v>
      </c>
      <c r="AJ376" s="64">
        <v>95.6</v>
      </c>
      <c r="AK376" s="64">
        <v>179.68888000000001</v>
      </c>
      <c r="AL376" s="64">
        <v>97.3</v>
      </c>
      <c r="AM376" s="54">
        <v>123.82</v>
      </c>
      <c r="AN376" s="33">
        <v>126.67</v>
      </c>
      <c r="AO376" s="33">
        <v>121.61</v>
      </c>
      <c r="AP376" s="33">
        <v>41.4</v>
      </c>
      <c r="AQ376" s="54">
        <f t="shared" si="104"/>
        <v>0.45644983461962513</v>
      </c>
      <c r="AR376" s="54">
        <v>98.4</v>
      </c>
      <c r="AS376" s="54">
        <v>99.6</v>
      </c>
      <c r="AT376" s="54">
        <v>97.1</v>
      </c>
      <c r="AU376" s="54">
        <v>98.5</v>
      </c>
      <c r="AV376" s="54">
        <v>105.3</v>
      </c>
      <c r="AW376" s="54">
        <v>92.1</v>
      </c>
      <c r="AX376" s="54">
        <v>5.3</v>
      </c>
      <c r="AY376" s="54">
        <v>-2.1</v>
      </c>
      <c r="AZ376" s="54">
        <v>12.1</v>
      </c>
      <c r="BA376" s="54">
        <v>10.7</v>
      </c>
      <c r="BB376" s="54">
        <v>97.1</v>
      </c>
      <c r="BC376" s="54">
        <v>92.7</v>
      </c>
      <c r="BD376" s="54">
        <v>101.6</v>
      </c>
      <c r="BE376" s="54">
        <v>-66.5</v>
      </c>
      <c r="BF376" s="54">
        <v>55</v>
      </c>
      <c r="BG376" s="54">
        <v>4.4000000000000004</v>
      </c>
      <c r="BH376" s="54">
        <v>143.5</v>
      </c>
      <c r="BI376" s="54">
        <v>16.100000000000001</v>
      </c>
      <c r="BJ376" s="34">
        <v>58.3</v>
      </c>
      <c r="BK376" s="54">
        <v>38.607967339739915</v>
      </c>
      <c r="BL376" s="54">
        <v>0.38</v>
      </c>
      <c r="BM376" s="54">
        <v>100.06</v>
      </c>
      <c r="BN376" s="54">
        <v>100.053</v>
      </c>
      <c r="BO376" s="54">
        <v>-9.6999999999999993</v>
      </c>
      <c r="BP376" s="54">
        <v>-15.9</v>
      </c>
      <c r="BQ376" s="54">
        <v>1.1000000000000001</v>
      </c>
      <c r="BR376" s="54">
        <v>8.1</v>
      </c>
      <c r="BS376" s="54">
        <v>8.9</v>
      </c>
      <c r="BT376" s="54">
        <v>-9.8000000000000007</v>
      </c>
      <c r="BU376" s="54">
        <v>-0.9</v>
      </c>
      <c r="BV376" s="54">
        <v>-1.7</v>
      </c>
      <c r="BW376" s="54">
        <v>-8.6999999999999993</v>
      </c>
      <c r="BX376" s="54">
        <v>-4.4000000000000004</v>
      </c>
      <c r="BY376" s="54">
        <v>1.9</v>
      </c>
      <c r="BZ376" s="54">
        <v>99.1</v>
      </c>
      <c r="CA376" s="54">
        <v>-8.6999999999999993</v>
      </c>
      <c r="CB376" s="54">
        <v>0</v>
      </c>
      <c r="CC376" s="54">
        <v>-0.2</v>
      </c>
      <c r="CD376" s="54">
        <v>-48.7</v>
      </c>
      <c r="CE376" s="54">
        <v>-24.9</v>
      </c>
      <c r="CF376" s="54">
        <v>0.1</v>
      </c>
      <c r="CG376" s="54">
        <v>31.9</v>
      </c>
      <c r="CH376" s="54">
        <v>39.9</v>
      </c>
      <c r="CI376" s="54">
        <v>4.5999999999999996</v>
      </c>
      <c r="CJ376" s="54">
        <v>-9.6</v>
      </c>
      <c r="CK376" s="54">
        <v>18.2</v>
      </c>
      <c r="CL376" s="54">
        <v>29</v>
      </c>
      <c r="CM376" s="54">
        <v>3530.9469089999998</v>
      </c>
      <c r="CN376" s="54">
        <v>29823.919999999998</v>
      </c>
      <c r="CO376" s="54">
        <v>3695.31</v>
      </c>
      <c r="CP376" s="54">
        <v>0.38700000000000001</v>
      </c>
      <c r="CQ376" s="54">
        <v>0.92</v>
      </c>
      <c r="CR376" s="54">
        <v>74.599999999999994</v>
      </c>
      <c r="CS376" s="64">
        <v>45.16</v>
      </c>
      <c r="CT376" s="54">
        <v>94.9</v>
      </c>
      <c r="CU376" s="54">
        <v>93.5</v>
      </c>
      <c r="CV376" s="54">
        <v>86.1</v>
      </c>
      <c r="CW376" s="54">
        <v>91.5</v>
      </c>
      <c r="CX376" s="54">
        <v>91.7</v>
      </c>
      <c r="CY376" s="54">
        <v>9.7200000000000006</v>
      </c>
      <c r="CZ376" s="54">
        <v>51499.214999999997</v>
      </c>
      <c r="DA376" s="54">
        <v>5.84</v>
      </c>
      <c r="DB376" s="54">
        <v>32.81</v>
      </c>
      <c r="DC376" s="54">
        <v>57.32</v>
      </c>
      <c r="DD376" s="54">
        <v>16.32</v>
      </c>
      <c r="DE376" s="54">
        <v>19956.530999999999</v>
      </c>
      <c r="DF376" s="54">
        <v>3342.0529999999999</v>
      </c>
      <c r="DG376" s="54">
        <v>1735.4659999999999</v>
      </c>
      <c r="DH376" s="54">
        <v>1527.884</v>
      </c>
      <c r="DI376" s="54">
        <v>9244.0939999999991</v>
      </c>
      <c r="DJ376" s="54">
        <v>101.0123</v>
      </c>
      <c r="DK376" s="54">
        <v>101.22920000000001</v>
      </c>
      <c r="DL376" s="54">
        <v>102.07</v>
      </c>
      <c r="DM376" s="54">
        <v>102.6341</v>
      </c>
      <c r="DN376" s="54">
        <v>100.053</v>
      </c>
      <c r="DO376" s="54">
        <v>100.06</v>
      </c>
      <c r="DP376" s="54">
        <v>100.011</v>
      </c>
      <c r="DQ376" s="54">
        <v>100.01179999999999</v>
      </c>
      <c r="DR376" s="54">
        <v>2675968</v>
      </c>
      <c r="DS376" s="96">
        <v>33677</v>
      </c>
      <c r="DT376" s="96">
        <v>95.6</v>
      </c>
      <c r="DU376" s="56">
        <v>208.95866394042969</v>
      </c>
      <c r="DV376" s="56">
        <v>227.94400024414063</v>
      </c>
      <c r="DW376" s="56">
        <v>1211</v>
      </c>
      <c r="DX376" s="56">
        <v>149675</v>
      </c>
      <c r="DY376" s="56">
        <v>102.2</v>
      </c>
      <c r="DZ376" s="60" t="s">
        <v>312</v>
      </c>
    </row>
    <row r="377" spans="1:130" x14ac:dyDescent="0.25">
      <c r="A377" s="1">
        <v>44197</v>
      </c>
      <c r="B377" s="34">
        <v>100.4</v>
      </c>
      <c r="C377" s="45">
        <v>-0.58299999999999996</v>
      </c>
      <c r="D377" s="99">
        <v>0</v>
      </c>
      <c r="E377" s="34">
        <v>-0.54</v>
      </c>
      <c r="F377" s="34">
        <v>-0.76</v>
      </c>
      <c r="G377" s="34">
        <v>-0.71</v>
      </c>
      <c r="H377" s="34">
        <v>-0.57999999999999996</v>
      </c>
      <c r="I377" s="34">
        <f t="shared" si="117"/>
        <v>3.0000000000000027E-3</v>
      </c>
      <c r="J377" s="34">
        <f t="shared" si="118"/>
        <v>-0.57999999999999996</v>
      </c>
      <c r="K377" s="34">
        <f t="shared" si="119"/>
        <v>-3.9999999999999925E-2</v>
      </c>
      <c r="L377" s="34">
        <f t="shared" si="120"/>
        <v>0.58299999999999996</v>
      </c>
      <c r="M377" s="34">
        <v>97.9</v>
      </c>
      <c r="N377" s="34">
        <v>13718.78</v>
      </c>
      <c r="O377" s="34">
        <v>28.85</v>
      </c>
      <c r="P377" s="64">
        <v>2680.4</v>
      </c>
      <c r="Q377" s="34">
        <f t="shared" si="92"/>
        <v>26.486166007905137</v>
      </c>
      <c r="R377" s="34">
        <v>3459.2</v>
      </c>
      <c r="S377" s="34">
        <f t="shared" si="93"/>
        <v>3418.181818181818</v>
      </c>
      <c r="T377" s="34">
        <v>3484.8</v>
      </c>
      <c r="U377" s="34">
        <f t="shared" si="94"/>
        <v>3443.4782608695655</v>
      </c>
      <c r="V377" s="118">
        <v>225927</v>
      </c>
      <c r="W377" s="118">
        <v>10374220</v>
      </c>
      <c r="X377" s="119">
        <v>13827562</v>
      </c>
      <c r="Y377" s="119">
        <v>754518</v>
      </c>
      <c r="Z377" s="34">
        <v>100.8</v>
      </c>
      <c r="AA377" s="34">
        <v>94</v>
      </c>
      <c r="AB377" s="34">
        <v>93.3</v>
      </c>
      <c r="AC377" s="34">
        <v>91.1</v>
      </c>
      <c r="AD377" s="34">
        <v>44811</v>
      </c>
      <c r="AE377" s="34">
        <v>6</v>
      </c>
      <c r="AF377" s="34">
        <v>599</v>
      </c>
      <c r="AG377" s="34">
        <v>101.4</v>
      </c>
      <c r="AH377" s="34">
        <v>101.2</v>
      </c>
      <c r="AI377" s="64">
        <v>92.3</v>
      </c>
      <c r="AJ377" s="64">
        <v>95</v>
      </c>
      <c r="AK377" s="64">
        <v>182.22796199999999</v>
      </c>
      <c r="AL377" s="64">
        <v>93.9</v>
      </c>
      <c r="AM377" s="34">
        <v>131.06</v>
      </c>
      <c r="AN377" s="33">
        <v>141.01</v>
      </c>
      <c r="AO377" s="33">
        <v>129.85</v>
      </c>
      <c r="AP377" s="33">
        <v>45.38</v>
      </c>
      <c r="AQ377" s="34">
        <f t="shared" si="104"/>
        <v>0.49165763813651142</v>
      </c>
      <c r="AR377" s="34">
        <v>95.2</v>
      </c>
      <c r="AS377" s="34">
        <v>96</v>
      </c>
      <c r="AT377" s="34">
        <v>94.5</v>
      </c>
      <c r="AU377" s="34">
        <v>97.5</v>
      </c>
      <c r="AV377" s="34">
        <v>101.9</v>
      </c>
      <c r="AW377" s="34">
        <v>93.4</v>
      </c>
      <c r="AX377" s="34">
        <v>4.7</v>
      </c>
      <c r="AY377" s="34">
        <v>6.8</v>
      </c>
      <c r="AZ377" s="34">
        <v>13.7</v>
      </c>
      <c r="BA377" s="34">
        <v>13.3</v>
      </c>
      <c r="BB377" s="34">
        <v>93.8</v>
      </c>
      <c r="BC377" s="34">
        <v>90.3</v>
      </c>
      <c r="BD377" s="34">
        <v>97.3</v>
      </c>
      <c r="BE377" s="34">
        <v>-66.400000000000006</v>
      </c>
      <c r="BF377" s="34">
        <v>61.8</v>
      </c>
      <c r="BG377" s="34">
        <v>1.3</v>
      </c>
      <c r="BH377" s="34">
        <v>141.6</v>
      </c>
      <c r="BI377" s="34">
        <v>50.1</v>
      </c>
      <c r="BJ377" s="34">
        <v>57.1</v>
      </c>
      <c r="BK377" s="34">
        <v>33.171351002061996</v>
      </c>
      <c r="BL377" s="34">
        <v>0.99</v>
      </c>
      <c r="BM377" s="34">
        <v>100.3724</v>
      </c>
      <c r="BN377" s="34">
        <v>100.3214</v>
      </c>
      <c r="BO377" s="34">
        <v>-6.4</v>
      </c>
      <c r="BP377" s="34">
        <v>-13.1</v>
      </c>
      <c r="BQ377" s="34">
        <v>1.9</v>
      </c>
      <c r="BR377" s="34">
        <v>11.4</v>
      </c>
      <c r="BS377" s="34">
        <v>12.3</v>
      </c>
      <c r="BT377" s="34">
        <v>-9.1</v>
      </c>
      <c r="BU377" s="34">
        <v>1</v>
      </c>
      <c r="BV377" s="34">
        <v>-4.5</v>
      </c>
      <c r="BW377" s="34">
        <v>-11.3</v>
      </c>
      <c r="BX377" s="34">
        <v>-28.9</v>
      </c>
      <c r="BY377" s="34">
        <v>1.7</v>
      </c>
      <c r="BZ377" s="34">
        <v>96.7</v>
      </c>
      <c r="CA377" s="34">
        <v>-11.3</v>
      </c>
      <c r="CB377" s="34">
        <v>-4.4000000000000004</v>
      </c>
      <c r="CC377" s="34">
        <v>-0.8</v>
      </c>
      <c r="CD377" s="34">
        <v>-54.6</v>
      </c>
      <c r="CE377" s="34">
        <v>-25.1</v>
      </c>
      <c r="CF377" s="34">
        <v>2.5</v>
      </c>
      <c r="CG377" s="34">
        <v>32.4</v>
      </c>
      <c r="CH377" s="34">
        <v>51</v>
      </c>
      <c r="CI377" s="34">
        <v>-18.7</v>
      </c>
      <c r="CJ377" s="34">
        <v>-14.9</v>
      </c>
      <c r="CK377" s="34">
        <v>14.9</v>
      </c>
      <c r="CL377" s="34">
        <v>27.3</v>
      </c>
      <c r="CM377" s="34">
        <v>3592.2347</v>
      </c>
      <c r="CN377" s="34">
        <v>30606.48</v>
      </c>
      <c r="CO377" s="34">
        <v>3793.7484209999998</v>
      </c>
      <c r="CP377" s="34">
        <v>0.23499999999999999</v>
      </c>
      <c r="CQ377" s="34">
        <v>0.93</v>
      </c>
      <c r="CR377" s="34">
        <v>74</v>
      </c>
      <c r="CS377" s="64">
        <v>43.1</v>
      </c>
      <c r="CT377" s="34">
        <v>93.8</v>
      </c>
      <c r="CU377" s="34">
        <v>96</v>
      </c>
      <c r="CV377" s="34">
        <v>86.6</v>
      </c>
      <c r="CW377" s="34">
        <v>88.7</v>
      </c>
      <c r="CX377" s="34">
        <v>96.3</v>
      </c>
      <c r="CY377" s="34">
        <v>9.9600000000000009</v>
      </c>
      <c r="CZ377" s="34">
        <v>54469.417999999998</v>
      </c>
      <c r="DA377" s="34">
        <v>5.07</v>
      </c>
      <c r="DB377" s="34">
        <v>31.77</v>
      </c>
      <c r="DC377" s="34">
        <v>57.92</v>
      </c>
      <c r="DD377" s="34">
        <v>15.24</v>
      </c>
      <c r="DE377" s="34">
        <v>16026.337</v>
      </c>
      <c r="DF377" s="34">
        <v>1659.009</v>
      </c>
      <c r="DG377" s="34">
        <v>1643.9639999999999</v>
      </c>
      <c r="DH377" s="34">
        <v>1469.7260000000001</v>
      </c>
      <c r="DI377" s="34">
        <v>7535.26</v>
      </c>
      <c r="DJ377" s="34">
        <v>101.10120000000001</v>
      </c>
      <c r="DK377" s="34">
        <v>101.33799999999999</v>
      </c>
      <c r="DL377" s="34">
        <v>102.11</v>
      </c>
      <c r="DM377" s="34">
        <v>102.6925</v>
      </c>
      <c r="DN377" s="34">
        <v>100.3214</v>
      </c>
      <c r="DO377" s="34">
        <v>100.3724</v>
      </c>
      <c r="DP377" s="34">
        <v>100.3437</v>
      </c>
      <c r="DQ377" s="34">
        <v>100.3777</v>
      </c>
      <c r="DR377" s="34">
        <v>3293888</v>
      </c>
      <c r="DS377" s="73">
        <v>33671</v>
      </c>
      <c r="DT377" s="73">
        <v>95.1</v>
      </c>
      <c r="DU377" s="56">
        <v>231.37863159179688</v>
      </c>
      <c r="DV377" s="56">
        <v>210.23208618164063</v>
      </c>
      <c r="DW377">
        <v>1366</v>
      </c>
      <c r="DX377">
        <v>105800</v>
      </c>
      <c r="DY377">
        <v>99.1</v>
      </c>
      <c r="DZ377" s="33" t="s">
        <v>312</v>
      </c>
    </row>
    <row r="378" spans="1:130" x14ac:dyDescent="0.25">
      <c r="A378" s="1">
        <v>44228</v>
      </c>
      <c r="B378" s="34">
        <v>98.3</v>
      </c>
      <c r="C378" s="45">
        <v>-0.56599999999999995</v>
      </c>
      <c r="D378" s="99">
        <v>0</v>
      </c>
      <c r="E378" s="34">
        <v>-0.54</v>
      </c>
      <c r="F378" s="34">
        <v>-0.71</v>
      </c>
      <c r="G378" s="34">
        <v>-0.61</v>
      </c>
      <c r="H378" s="34">
        <v>-0.45</v>
      </c>
      <c r="I378" s="34">
        <f t="shared" si="117"/>
        <v>0.11599999999999994</v>
      </c>
      <c r="J378" s="34">
        <f t="shared" si="118"/>
        <v>-0.45</v>
      </c>
      <c r="K378" s="34">
        <f t="shared" si="119"/>
        <v>9.0000000000000024E-2</v>
      </c>
      <c r="L378" s="34">
        <f t="shared" si="120"/>
        <v>0.56599999999999995</v>
      </c>
      <c r="M378" s="34">
        <v>98</v>
      </c>
      <c r="N378" s="34">
        <v>13622.02</v>
      </c>
      <c r="O378" s="34">
        <v>23.3</v>
      </c>
      <c r="P378" s="64">
        <v>2704.3</v>
      </c>
      <c r="Q378" s="34">
        <f t="shared" si="92"/>
        <v>26.643349753694583</v>
      </c>
      <c r="R378" s="34">
        <v>3476.2</v>
      </c>
      <c r="S378" s="34">
        <f t="shared" si="93"/>
        <v>3424.8275862068967</v>
      </c>
      <c r="T378" s="34">
        <v>3499.2</v>
      </c>
      <c r="U378" s="34">
        <f t="shared" si="94"/>
        <v>3447.4876847290639</v>
      </c>
      <c r="V378" s="118">
        <v>226531</v>
      </c>
      <c r="W378" s="118">
        <v>10465077</v>
      </c>
      <c r="X378" s="119">
        <v>13915157</v>
      </c>
      <c r="Y378" s="119">
        <v>747215</v>
      </c>
      <c r="Z378" s="34">
        <v>97.6</v>
      </c>
      <c r="AA378" s="34">
        <v>96.3</v>
      </c>
      <c r="AB378" s="34">
        <v>91.1</v>
      </c>
      <c r="AC378" s="34">
        <v>95</v>
      </c>
      <c r="AD378" s="34">
        <v>44795</v>
      </c>
      <c r="AE378" s="34">
        <v>6.1</v>
      </c>
      <c r="AF378" s="34">
        <v>599</v>
      </c>
      <c r="AG378" s="34">
        <v>101.8</v>
      </c>
      <c r="AH378" s="34">
        <v>101.5</v>
      </c>
      <c r="AI378" s="64">
        <v>93.2</v>
      </c>
      <c r="AJ378" s="64">
        <v>95.3</v>
      </c>
      <c r="AK378" s="64">
        <v>183.79047399999999</v>
      </c>
      <c r="AL378" s="64">
        <v>93.9</v>
      </c>
      <c r="AM378" s="34">
        <v>133.04</v>
      </c>
      <c r="AN378" s="33">
        <v>149.62</v>
      </c>
      <c r="AO378" s="33">
        <v>132.13999999999999</v>
      </c>
      <c r="AP378" s="33">
        <v>51.55</v>
      </c>
      <c r="AQ378" s="34">
        <f t="shared" si="104"/>
        <v>0.55311158798283255</v>
      </c>
      <c r="AR378" s="34">
        <v>97.5</v>
      </c>
      <c r="AS378" s="34">
        <v>99</v>
      </c>
      <c r="AT378" s="34">
        <v>96</v>
      </c>
      <c r="AU378" s="34">
        <v>100.6</v>
      </c>
      <c r="AV378" s="34">
        <v>105.1</v>
      </c>
      <c r="AW378" s="34">
        <v>96.3</v>
      </c>
      <c r="AX378" s="34">
        <v>16.899999999999999</v>
      </c>
      <c r="AY378" s="34">
        <v>26.7</v>
      </c>
      <c r="AZ378" s="34">
        <v>21.4</v>
      </c>
      <c r="BA378" s="34">
        <v>18.399999999999999</v>
      </c>
      <c r="BB378" s="34">
        <v>94.5</v>
      </c>
      <c r="BC378" s="34">
        <v>92.3</v>
      </c>
      <c r="BD378" s="34">
        <v>96.7</v>
      </c>
      <c r="BE378" s="34">
        <v>-67.2</v>
      </c>
      <c r="BF378" s="34">
        <v>71.2</v>
      </c>
      <c r="BG378" s="34">
        <v>8</v>
      </c>
      <c r="BH378" s="34">
        <v>134.4</v>
      </c>
      <c r="BI378" s="34">
        <v>63.5</v>
      </c>
      <c r="BJ378" s="34">
        <v>60.6</v>
      </c>
      <c r="BK378" s="34">
        <v>35.094665926306874</v>
      </c>
      <c r="BL378" s="34">
        <v>0.96</v>
      </c>
      <c r="BM378" s="34">
        <v>100.7884</v>
      </c>
      <c r="BN378" s="34">
        <v>100.6788</v>
      </c>
      <c r="BO378" s="34">
        <v>-2.5</v>
      </c>
      <c r="BP378" s="34">
        <v>-8.6999999999999993</v>
      </c>
      <c r="BQ378" s="34">
        <v>-2</v>
      </c>
      <c r="BR378" s="34">
        <v>20.399999999999999</v>
      </c>
      <c r="BS378" s="34">
        <v>16.5</v>
      </c>
      <c r="BT378" s="34">
        <v>-4.9000000000000004</v>
      </c>
      <c r="BU378" s="34">
        <v>6.6</v>
      </c>
      <c r="BV378" s="34">
        <v>-4.2</v>
      </c>
      <c r="BW378" s="34">
        <v>-9.5</v>
      </c>
      <c r="BX378" s="34">
        <v>-30.3</v>
      </c>
      <c r="BY378" s="34">
        <v>0.1</v>
      </c>
      <c r="BZ378" s="34">
        <v>99.8</v>
      </c>
      <c r="CA378" s="34">
        <v>-9.5</v>
      </c>
      <c r="CB378" s="34">
        <v>-2.9</v>
      </c>
      <c r="CC378" s="34">
        <v>0.1</v>
      </c>
      <c r="CD378" s="34">
        <v>-55</v>
      </c>
      <c r="CE378" s="34">
        <v>-23.3</v>
      </c>
      <c r="CF378" s="34">
        <v>10.199999999999999</v>
      </c>
      <c r="CG378" s="34">
        <v>32.4</v>
      </c>
      <c r="CH378" s="34">
        <v>43.9</v>
      </c>
      <c r="CI378" s="34">
        <v>-13.5</v>
      </c>
      <c r="CJ378" s="34">
        <v>-12</v>
      </c>
      <c r="CK378" s="34">
        <v>17.8</v>
      </c>
      <c r="CL378" s="34">
        <v>30.5</v>
      </c>
      <c r="CM378" s="34">
        <v>3667.1430500000001</v>
      </c>
      <c r="CN378" s="34">
        <v>30211.91</v>
      </c>
      <c r="CO378" s="34">
        <v>3883.4321049999999</v>
      </c>
      <c r="CP378" s="34">
        <v>0.33800000000000002</v>
      </c>
      <c r="CQ378" s="34">
        <v>1.0900000000000001</v>
      </c>
      <c r="CR378" s="34">
        <v>70.7</v>
      </c>
      <c r="CS378" s="64">
        <v>45.85</v>
      </c>
      <c r="CT378" s="34">
        <v>94.7</v>
      </c>
      <c r="CU378" s="34">
        <v>93.1</v>
      </c>
      <c r="CV378" s="34">
        <v>91.8</v>
      </c>
      <c r="CW378" s="34">
        <v>91.4</v>
      </c>
      <c r="CX378" s="34">
        <v>94.3</v>
      </c>
      <c r="CY378" s="34">
        <v>9.7100000000000009</v>
      </c>
      <c r="CZ378" s="34">
        <v>57964.841</v>
      </c>
      <c r="DA378" s="34">
        <v>5.46</v>
      </c>
      <c r="DB378" s="34">
        <v>33.15</v>
      </c>
      <c r="DC378" s="34">
        <v>58.05</v>
      </c>
      <c r="DD378" s="34">
        <v>15.42</v>
      </c>
      <c r="DE378" s="34">
        <v>17805.269</v>
      </c>
      <c r="DF378" s="34">
        <v>1977.5619999999999</v>
      </c>
      <c r="DG378" s="34">
        <v>1961.299</v>
      </c>
      <c r="DH378" s="34">
        <v>1435.7840000000001</v>
      </c>
      <c r="DI378" s="34">
        <v>8324.2639999999992</v>
      </c>
      <c r="DJ378" s="34">
        <v>101.13509999999999</v>
      </c>
      <c r="DK378" s="34">
        <v>101.37949999999999</v>
      </c>
      <c r="DL378" s="34">
        <v>102.06</v>
      </c>
      <c r="DM378" s="34">
        <v>102.6216</v>
      </c>
      <c r="DN378" s="34">
        <v>100.6788</v>
      </c>
      <c r="DO378" s="34">
        <v>100.7884</v>
      </c>
      <c r="DP378" s="34">
        <v>100.66419999999999</v>
      </c>
      <c r="DQ378" s="34">
        <v>100.7303</v>
      </c>
      <c r="DR378" s="34">
        <v>3358070</v>
      </c>
      <c r="DS378" s="73">
        <v>33679</v>
      </c>
      <c r="DT378" s="73">
        <v>94.9</v>
      </c>
      <c r="DU378" s="56">
        <v>185.27867126464844</v>
      </c>
      <c r="DV378" s="56">
        <v>223.45362854003906</v>
      </c>
      <c r="DW378">
        <v>1444</v>
      </c>
      <c r="DX378">
        <v>74225</v>
      </c>
      <c r="DY378">
        <v>96</v>
      </c>
      <c r="DZ378" s="33" t="s">
        <v>312</v>
      </c>
    </row>
    <row r="379" spans="1:130" s="56" customFormat="1" x14ac:dyDescent="0.25">
      <c r="A379" s="53">
        <v>44256</v>
      </c>
      <c r="B379" s="34">
        <v>101.3</v>
      </c>
      <c r="C379" s="55">
        <v>-0.56299999999999994</v>
      </c>
      <c r="D379" s="98">
        <v>0</v>
      </c>
      <c r="E379" s="54">
        <v>-0.54</v>
      </c>
      <c r="F379" s="54">
        <v>-0.69</v>
      </c>
      <c r="G379" s="54">
        <v>-0.56000000000000005</v>
      </c>
      <c r="H379" s="54">
        <v>-0.36</v>
      </c>
      <c r="I379" s="54">
        <f t="shared" si="117"/>
        <v>0.20299999999999996</v>
      </c>
      <c r="J379" s="54">
        <f t="shared" si="118"/>
        <v>-0.36</v>
      </c>
      <c r="K379" s="54">
        <f t="shared" si="119"/>
        <v>0.18000000000000005</v>
      </c>
      <c r="L379" s="54">
        <f t="shared" si="120"/>
        <v>0.56299999999999994</v>
      </c>
      <c r="M379" s="54">
        <v>97.7</v>
      </c>
      <c r="N379" s="54">
        <v>14012.82</v>
      </c>
      <c r="O379" s="54">
        <v>18.239999999999998</v>
      </c>
      <c r="P379" s="64">
        <v>2739</v>
      </c>
      <c r="Q379" s="34">
        <f t="shared" si="92"/>
        <v>26.958661417322837</v>
      </c>
      <c r="R379" s="34">
        <v>3508.9</v>
      </c>
      <c r="S379" s="34">
        <f t="shared" si="93"/>
        <v>3453.641732283465</v>
      </c>
      <c r="T379" s="34">
        <v>3537.2</v>
      </c>
      <c r="U379" s="34">
        <f t="shared" si="94"/>
        <v>3481.4960629921261</v>
      </c>
      <c r="V379" s="118">
        <v>229630</v>
      </c>
      <c r="W379" s="118">
        <v>10563963</v>
      </c>
      <c r="X379" s="119">
        <v>14020200</v>
      </c>
      <c r="Y379" s="119">
        <v>741316</v>
      </c>
      <c r="Z379" s="54">
        <v>100.3</v>
      </c>
      <c r="AA379" s="54">
        <v>99.9</v>
      </c>
      <c r="AB379" s="54">
        <v>96.4</v>
      </c>
      <c r="AC379" s="54">
        <v>98.3</v>
      </c>
      <c r="AD379" s="54">
        <v>44847</v>
      </c>
      <c r="AE379" s="54">
        <v>6</v>
      </c>
      <c r="AF379" s="54">
        <v>618</v>
      </c>
      <c r="AG379" s="54">
        <v>102.1</v>
      </c>
      <c r="AH379" s="54">
        <v>101.6</v>
      </c>
      <c r="AI379" s="64">
        <v>94.5</v>
      </c>
      <c r="AJ379" s="64">
        <v>95.9</v>
      </c>
      <c r="AK379" s="64">
        <v>185.54830000000001</v>
      </c>
      <c r="AL379" s="64">
        <v>94</v>
      </c>
      <c r="AM379" s="54">
        <v>139.6</v>
      </c>
      <c r="AN379" s="33">
        <v>153.88999999999999</v>
      </c>
      <c r="AO379" s="33">
        <v>136.46</v>
      </c>
      <c r="AP379" s="33">
        <v>55.3</v>
      </c>
      <c r="AQ379" s="54">
        <f t="shared" si="104"/>
        <v>0.58518518518518514</v>
      </c>
      <c r="AR379" s="54">
        <v>101.5</v>
      </c>
      <c r="AS379" s="54">
        <v>103.2</v>
      </c>
      <c r="AT379" s="54">
        <v>99.8</v>
      </c>
      <c r="AU379" s="54">
        <v>104.2</v>
      </c>
      <c r="AV379" s="54">
        <v>108.7</v>
      </c>
      <c r="AW379" s="54">
        <v>99.8</v>
      </c>
      <c r="AX379" s="54">
        <v>24</v>
      </c>
      <c r="AY379" s="54">
        <v>41</v>
      </c>
      <c r="AZ379" s="54">
        <v>31.5</v>
      </c>
      <c r="BA379" s="54">
        <v>27.5</v>
      </c>
      <c r="BB379" s="54">
        <v>98.9</v>
      </c>
      <c r="BC379" s="54">
        <v>97.1</v>
      </c>
      <c r="BD379" s="54">
        <v>100.7</v>
      </c>
      <c r="BE379" s="54">
        <v>-61</v>
      </c>
      <c r="BF379" s="54">
        <v>76.599999999999994</v>
      </c>
      <c r="BG379" s="54">
        <v>17.7</v>
      </c>
      <c r="BH379" s="54">
        <v>126.3</v>
      </c>
      <c r="BI379" s="54">
        <v>25.5</v>
      </c>
      <c r="BJ379" s="34">
        <v>66.599999999999994</v>
      </c>
      <c r="BK379" s="54">
        <v>51.115338910573563</v>
      </c>
      <c r="BL379" s="54">
        <v>1.36</v>
      </c>
      <c r="BM379" s="54">
        <v>101.28660000000001</v>
      </c>
      <c r="BN379" s="54">
        <v>101.10680000000001</v>
      </c>
      <c r="BO379" s="54">
        <v>5.9</v>
      </c>
      <c r="BP379" s="54">
        <v>0.1</v>
      </c>
      <c r="BQ379" s="54">
        <v>-6.4</v>
      </c>
      <c r="BR379" s="54">
        <v>25.1</v>
      </c>
      <c r="BS379" s="54">
        <v>25.3</v>
      </c>
      <c r="BT379" s="54">
        <v>-1.5</v>
      </c>
      <c r="BU379" s="54">
        <v>12.5</v>
      </c>
      <c r="BV379" s="54">
        <v>-0.1</v>
      </c>
      <c r="BW379" s="54">
        <v>-6.8</v>
      </c>
      <c r="BX379" s="54">
        <v>-17.899999999999999</v>
      </c>
      <c r="BY379" s="54">
        <v>2.2000000000000002</v>
      </c>
      <c r="BZ379" s="54">
        <v>105.2</v>
      </c>
      <c r="CA379" s="54">
        <v>-6.8</v>
      </c>
      <c r="CB379" s="54">
        <v>-4.3</v>
      </c>
      <c r="CC379" s="54">
        <v>2.7</v>
      </c>
      <c r="CD379" s="54">
        <v>-49.9</v>
      </c>
      <c r="CE379" s="54">
        <v>-18.2</v>
      </c>
      <c r="CF379" s="54">
        <v>19.8</v>
      </c>
      <c r="CG379" s="54">
        <v>38.799999999999997</v>
      </c>
      <c r="CH379" s="54">
        <v>37.700000000000003</v>
      </c>
      <c r="CI379" s="54">
        <v>-9.9</v>
      </c>
      <c r="CJ379" s="54">
        <v>-7.4</v>
      </c>
      <c r="CK379" s="54">
        <v>15.6</v>
      </c>
      <c r="CL379" s="54">
        <v>32.6</v>
      </c>
      <c r="CM379" s="54">
        <v>3813.293087</v>
      </c>
      <c r="CN379" s="54">
        <v>31535.51</v>
      </c>
      <c r="CO379" s="54">
        <v>3910.5082609999999</v>
      </c>
      <c r="CP379" s="54">
        <v>0.78200000000000003</v>
      </c>
      <c r="CQ379" s="54">
        <v>1.45</v>
      </c>
      <c r="CR379" s="54">
        <v>79.7</v>
      </c>
      <c r="CS379" s="64">
        <v>52.73</v>
      </c>
      <c r="CT379" s="54">
        <v>98.6</v>
      </c>
      <c r="CU379" s="54">
        <v>99.7</v>
      </c>
      <c r="CV379" s="54">
        <v>95.6</v>
      </c>
      <c r="CW379" s="54">
        <v>86.3</v>
      </c>
      <c r="CX379" s="54">
        <v>95.5</v>
      </c>
      <c r="CY379" s="54">
        <v>9.48</v>
      </c>
      <c r="CZ379" s="54">
        <v>68133.278999999995</v>
      </c>
      <c r="DA379" s="54">
        <v>5.89</v>
      </c>
      <c r="DB379" s="54">
        <v>35.130000000000003</v>
      </c>
      <c r="DC379" s="54">
        <v>60.23</v>
      </c>
      <c r="DD379" s="54">
        <v>16.38</v>
      </c>
      <c r="DE379" s="54">
        <v>21569.552</v>
      </c>
      <c r="DF379" s="54">
        <v>2308.38</v>
      </c>
      <c r="DG379" s="54">
        <v>2471.6640000000002</v>
      </c>
      <c r="DH379" s="54">
        <v>1673.7349999999999</v>
      </c>
      <c r="DI379" s="54">
        <v>10317.332</v>
      </c>
      <c r="DJ379" s="54">
        <v>101.13249999999999</v>
      </c>
      <c r="DK379" s="54">
        <v>101.3837</v>
      </c>
      <c r="DL379" s="54">
        <v>101.91</v>
      </c>
      <c r="DM379" s="54">
        <v>102.4387</v>
      </c>
      <c r="DN379" s="54">
        <v>101.10680000000001</v>
      </c>
      <c r="DO379" s="54">
        <v>101.28660000000001</v>
      </c>
      <c r="DP379" s="54">
        <v>100.94540000000001</v>
      </c>
      <c r="DQ379" s="54">
        <v>101.03959999999999</v>
      </c>
      <c r="DR379" s="54">
        <v>2818317</v>
      </c>
      <c r="DS379" s="96">
        <v>33736</v>
      </c>
      <c r="DT379" s="96">
        <v>97.7</v>
      </c>
      <c r="DU379" s="56">
        <v>217.4661865234375</v>
      </c>
      <c r="DV379" s="56">
        <v>263.66323852539063</v>
      </c>
      <c r="DW379" s="56">
        <v>1651</v>
      </c>
      <c r="DX379" s="56">
        <v>73700</v>
      </c>
      <c r="DY379" s="56">
        <v>100.8</v>
      </c>
      <c r="DZ379" s="60" t="s">
        <v>312</v>
      </c>
    </row>
    <row r="380" spans="1:130" x14ac:dyDescent="0.25">
      <c r="A380" s="1">
        <v>44287</v>
      </c>
      <c r="B380" s="34">
        <v>101.1</v>
      </c>
      <c r="C380" s="45">
        <v>-0.56599999999999995</v>
      </c>
      <c r="D380" s="99">
        <v>0</v>
      </c>
      <c r="E380" s="34">
        <v>-0.54</v>
      </c>
      <c r="F380" s="34">
        <v>-0.68</v>
      </c>
      <c r="G380" s="34">
        <v>-0.53</v>
      </c>
      <c r="H380" s="34">
        <v>-0.33</v>
      </c>
      <c r="I380" s="34">
        <f t="shared" si="117"/>
        <v>0.23599999999999993</v>
      </c>
      <c r="J380" s="34">
        <f t="shared" si="118"/>
        <v>-0.33</v>
      </c>
      <c r="K380" s="34">
        <f t="shared" si="119"/>
        <v>0.21000000000000002</v>
      </c>
      <c r="L380" s="34">
        <f t="shared" si="120"/>
        <v>0.56599999999999995</v>
      </c>
      <c r="M380" s="34">
        <v>97.9</v>
      </c>
      <c r="N380" s="34">
        <v>15107.17</v>
      </c>
      <c r="O380" s="34">
        <v>20.57</v>
      </c>
      <c r="P380" s="64">
        <v>2749.5</v>
      </c>
      <c r="Q380" s="34">
        <f t="shared" si="92"/>
        <v>27.035398230088497</v>
      </c>
      <c r="R380" s="34">
        <v>3517.8</v>
      </c>
      <c r="S380" s="34">
        <f t="shared" si="93"/>
        <v>3458.9970501474932</v>
      </c>
      <c r="T380" s="34">
        <v>3542.2</v>
      </c>
      <c r="U380" s="34">
        <f t="shared" si="94"/>
        <v>3482.9891838741396</v>
      </c>
      <c r="V380" s="118">
        <v>222009</v>
      </c>
      <c r="W380" s="118">
        <v>10621142</v>
      </c>
      <c r="X380" s="119">
        <v>14066583</v>
      </c>
      <c r="Y380" s="119">
        <v>746015</v>
      </c>
      <c r="Z380" s="34">
        <v>100.4</v>
      </c>
      <c r="AA380" s="34">
        <v>102.1</v>
      </c>
      <c r="AB380" s="34">
        <v>95.8</v>
      </c>
      <c r="AC380" s="34">
        <v>102.1</v>
      </c>
      <c r="AD380" s="34">
        <v>44870</v>
      </c>
      <c r="AE380" s="34">
        <v>6</v>
      </c>
      <c r="AF380" s="34">
        <v>635</v>
      </c>
      <c r="AG380" s="34">
        <v>102.2</v>
      </c>
      <c r="AH380" s="34">
        <v>101.7</v>
      </c>
      <c r="AI380" s="64">
        <v>95.5</v>
      </c>
      <c r="AJ380" s="64">
        <v>96.5</v>
      </c>
      <c r="AK380" s="64">
        <v>187.30612600000001</v>
      </c>
      <c r="AL380" s="64">
        <v>94.8</v>
      </c>
      <c r="AM380" s="34">
        <v>144.72999999999999</v>
      </c>
      <c r="AN380" s="33">
        <v>157.51</v>
      </c>
      <c r="AO380" s="33">
        <v>141.21</v>
      </c>
      <c r="AP380" s="33">
        <v>54.78</v>
      </c>
      <c r="AQ380" s="34">
        <f t="shared" si="104"/>
        <v>0.57361256544502615</v>
      </c>
      <c r="AR380" s="34">
        <v>102.2</v>
      </c>
      <c r="AS380" s="34">
        <v>102.4</v>
      </c>
      <c r="AT380" s="34">
        <v>101.9</v>
      </c>
      <c r="AU380" s="34">
        <v>104.7</v>
      </c>
      <c r="AV380" s="34">
        <v>107.7</v>
      </c>
      <c r="AW380" s="34">
        <v>101.8</v>
      </c>
      <c r="AX380" s="34">
        <v>26.6</v>
      </c>
      <c r="AY380" s="34">
        <v>44.7</v>
      </c>
      <c r="AZ380" s="34">
        <v>30.5</v>
      </c>
      <c r="BA380" s="34">
        <v>28.4</v>
      </c>
      <c r="BB380" s="34">
        <v>100</v>
      </c>
      <c r="BC380" s="34">
        <v>96.2</v>
      </c>
      <c r="BD380" s="34">
        <v>104</v>
      </c>
      <c r="BE380" s="34">
        <v>-48.8</v>
      </c>
      <c r="BF380" s="34">
        <v>70.7</v>
      </c>
      <c r="BG380" s="34">
        <v>7.3</v>
      </c>
      <c r="BH380" s="34">
        <v>126.2</v>
      </c>
      <c r="BI380" s="34">
        <v>20.2</v>
      </c>
      <c r="BJ380" s="34">
        <v>66.2</v>
      </c>
      <c r="BK380" s="34">
        <v>52.656304932044705</v>
      </c>
      <c r="BL380" s="34">
        <v>0.92</v>
      </c>
      <c r="BM380" s="34">
        <v>101.794</v>
      </c>
      <c r="BN380" s="34">
        <v>101.5427</v>
      </c>
      <c r="BO380" s="34">
        <v>11.8</v>
      </c>
      <c r="BP380" s="34">
        <v>5</v>
      </c>
      <c r="BQ380" s="34">
        <v>-8.6</v>
      </c>
      <c r="BR380" s="34">
        <v>24.9</v>
      </c>
      <c r="BS380" s="34">
        <v>30.4</v>
      </c>
      <c r="BT380" s="34">
        <v>2</v>
      </c>
      <c r="BU380" s="34">
        <v>15.1</v>
      </c>
      <c r="BV380" s="34">
        <v>-2.2000000000000002</v>
      </c>
      <c r="BW380" s="34">
        <v>-8.1999999999999993</v>
      </c>
      <c r="BX380" s="34">
        <v>-13.6</v>
      </c>
      <c r="BY380" s="34">
        <v>2.8</v>
      </c>
      <c r="BZ380" s="34">
        <v>105</v>
      </c>
      <c r="CA380" s="34">
        <v>-8.1999999999999993</v>
      </c>
      <c r="CB380" s="34">
        <v>-2.5</v>
      </c>
      <c r="CC380" s="34">
        <v>0.2</v>
      </c>
      <c r="CD380" s="34">
        <v>-44.9</v>
      </c>
      <c r="CE380" s="34">
        <v>-20.3</v>
      </c>
      <c r="CF380" s="34">
        <v>22.3</v>
      </c>
      <c r="CG380" s="34">
        <v>37.9</v>
      </c>
      <c r="CH380" s="34">
        <v>32.799999999999997</v>
      </c>
      <c r="CI380" s="34">
        <v>-7.3</v>
      </c>
      <c r="CJ380" s="34">
        <v>-10.1</v>
      </c>
      <c r="CK380" s="34">
        <v>16.399999999999999</v>
      </c>
      <c r="CL380" s="34">
        <v>29.9</v>
      </c>
      <c r="CM380" s="34">
        <v>3987.2865999999999</v>
      </c>
      <c r="CN380" s="34">
        <v>33153.21</v>
      </c>
      <c r="CO380" s="34">
        <v>4141.1761900000001</v>
      </c>
      <c r="CP380" s="34">
        <v>0.83399999999999996</v>
      </c>
      <c r="CQ380" s="34">
        <v>1.69</v>
      </c>
      <c r="CR380" s="34">
        <v>82.7</v>
      </c>
      <c r="CS380" s="64">
        <v>53.1</v>
      </c>
      <c r="CT380" s="34">
        <v>101</v>
      </c>
      <c r="CU380" s="34">
        <v>102.4</v>
      </c>
      <c r="CV380" s="34">
        <v>95.5</v>
      </c>
      <c r="CW380" s="34">
        <v>92</v>
      </c>
      <c r="CX380" s="34">
        <v>94.7</v>
      </c>
      <c r="CY380" s="34">
        <v>10.17</v>
      </c>
      <c r="CZ380" s="34">
        <v>61110.048000000003</v>
      </c>
      <c r="DA380" s="34">
        <v>6.06</v>
      </c>
      <c r="DB380" s="34">
        <v>34.090000000000003</v>
      </c>
      <c r="DC380" s="34">
        <v>60.91</v>
      </c>
      <c r="DD380" s="34">
        <v>16.34</v>
      </c>
      <c r="DE380" s="34">
        <v>18217.076000000001</v>
      </c>
      <c r="DF380" s="34">
        <v>2032.98</v>
      </c>
      <c r="DG380" s="34">
        <v>2302.759</v>
      </c>
      <c r="DH380" s="34">
        <v>1547.682</v>
      </c>
      <c r="DI380" s="34">
        <v>8377.2090000000007</v>
      </c>
      <c r="DJ380" s="34">
        <v>101.0838</v>
      </c>
      <c r="DK380" s="34">
        <v>101.3304</v>
      </c>
      <c r="DL380" s="34">
        <v>101.7</v>
      </c>
      <c r="DM380" s="34">
        <v>102.1666</v>
      </c>
      <c r="DN380" s="34">
        <v>101.5427</v>
      </c>
      <c r="DO380" s="34">
        <v>101.794</v>
      </c>
      <c r="DP380" s="34">
        <v>101.1644</v>
      </c>
      <c r="DQ380" s="34">
        <v>101.2805</v>
      </c>
      <c r="DR380" s="34">
        <v>2560303</v>
      </c>
      <c r="DS380" s="73">
        <v>33766</v>
      </c>
      <c r="DT380" s="73">
        <v>98.3</v>
      </c>
      <c r="DU380" s="56">
        <v>179.65824890136719</v>
      </c>
      <c r="DV380" s="56">
        <v>236.3790283203125</v>
      </c>
      <c r="DW380">
        <v>2072</v>
      </c>
      <c r="DX380">
        <v>143425</v>
      </c>
      <c r="DY380">
        <v>99.9</v>
      </c>
      <c r="DZ380" s="33" t="s">
        <v>312</v>
      </c>
    </row>
    <row r="381" spans="1:130" x14ac:dyDescent="0.25">
      <c r="A381" s="1">
        <v>44317</v>
      </c>
      <c r="B381" s="34">
        <v>100.5</v>
      </c>
      <c r="C381" s="45">
        <v>-0.56699999999999995</v>
      </c>
      <c r="D381" s="99">
        <v>0</v>
      </c>
      <c r="E381" s="34">
        <v>-0.54</v>
      </c>
      <c r="F381" s="34">
        <v>-0.62</v>
      </c>
      <c r="G381" s="34">
        <v>-0.45</v>
      </c>
      <c r="H381" s="34">
        <v>-0.22</v>
      </c>
      <c r="I381" s="34">
        <f t="shared" si="117"/>
        <v>0.34699999999999998</v>
      </c>
      <c r="J381" s="34">
        <f t="shared" si="118"/>
        <v>-0.22</v>
      </c>
      <c r="K381" s="34">
        <f t="shared" si="119"/>
        <v>0.32000000000000006</v>
      </c>
      <c r="L381" s="34">
        <f t="shared" si="120"/>
        <v>0.56699999999999995</v>
      </c>
      <c r="M381" s="34">
        <v>98</v>
      </c>
      <c r="N381" s="34">
        <v>15236.47</v>
      </c>
      <c r="O381" s="34">
        <v>19.54</v>
      </c>
      <c r="P381" s="64">
        <v>2758</v>
      </c>
      <c r="Q381" s="34">
        <f t="shared" si="92"/>
        <v>27.065750736015701</v>
      </c>
      <c r="R381" s="34">
        <v>3529.2</v>
      </c>
      <c r="S381" s="34">
        <f t="shared" si="93"/>
        <v>3463.3954857703629</v>
      </c>
      <c r="T381" s="34">
        <v>3557.2</v>
      </c>
      <c r="U381" s="34">
        <f t="shared" si="94"/>
        <v>3490.8734052993127</v>
      </c>
      <c r="V381" s="118">
        <v>223689</v>
      </c>
      <c r="W381" s="118">
        <v>10700843</v>
      </c>
      <c r="X381" s="119">
        <v>14155703</v>
      </c>
      <c r="Y381" s="119">
        <v>752777</v>
      </c>
      <c r="Z381" s="34">
        <v>101.4</v>
      </c>
      <c r="AA381" s="34">
        <v>97.9</v>
      </c>
      <c r="AB381" s="34">
        <v>100.9</v>
      </c>
      <c r="AC381" s="34">
        <v>96.4</v>
      </c>
      <c r="AD381" s="34">
        <v>44890</v>
      </c>
      <c r="AE381" s="34">
        <v>6</v>
      </c>
      <c r="AF381" s="34">
        <v>656</v>
      </c>
      <c r="AG381" s="34">
        <v>102.4</v>
      </c>
      <c r="AH381" s="34">
        <v>101.9</v>
      </c>
      <c r="AI381" s="64">
        <v>96.8</v>
      </c>
      <c r="AJ381" s="64">
        <v>97.2</v>
      </c>
      <c r="AK381" s="64">
        <v>189.45457999999999</v>
      </c>
      <c r="AL381" s="64">
        <v>94.3</v>
      </c>
      <c r="AM381" s="34">
        <v>162.52000000000001</v>
      </c>
      <c r="AN381" s="33">
        <v>172.11</v>
      </c>
      <c r="AO381" s="33">
        <v>155.53</v>
      </c>
      <c r="AP381" s="33">
        <v>56.27</v>
      </c>
      <c r="AQ381" s="34">
        <f t="shared" si="104"/>
        <v>0.58130165289256208</v>
      </c>
      <c r="AR381" s="34">
        <v>103</v>
      </c>
      <c r="AS381" s="34">
        <v>102.1</v>
      </c>
      <c r="AT381" s="34">
        <v>103.9</v>
      </c>
      <c r="AU381" s="34">
        <v>104.7</v>
      </c>
      <c r="AV381" s="34">
        <v>105.5</v>
      </c>
      <c r="AW381" s="34">
        <v>103.9</v>
      </c>
      <c r="AX381" s="34">
        <v>26.7</v>
      </c>
      <c r="AY381" s="34">
        <v>30</v>
      </c>
      <c r="AZ381" s="34">
        <v>24.5</v>
      </c>
      <c r="BA381" s="34">
        <v>20.7</v>
      </c>
      <c r="BB381" s="34">
        <v>102.9</v>
      </c>
      <c r="BC381" s="34">
        <v>98.9</v>
      </c>
      <c r="BD381" s="34">
        <v>107</v>
      </c>
      <c r="BE381" s="34">
        <v>-40.1</v>
      </c>
      <c r="BF381" s="34">
        <v>84.4</v>
      </c>
      <c r="BG381" s="34">
        <v>41.1</v>
      </c>
      <c r="BH381" s="34">
        <v>123.4</v>
      </c>
      <c r="BI381" s="34">
        <v>7.5</v>
      </c>
      <c r="BJ381" s="34">
        <v>64.400000000000006</v>
      </c>
      <c r="BK381" s="34">
        <v>54.759956896966408</v>
      </c>
      <c r="BL381" s="34">
        <v>1.01</v>
      </c>
      <c r="BM381" s="34">
        <v>102.24809999999999</v>
      </c>
      <c r="BN381" s="34">
        <v>101.9329</v>
      </c>
      <c r="BO381" s="34">
        <v>17</v>
      </c>
      <c r="BP381" s="34">
        <v>11.3</v>
      </c>
      <c r="BQ381" s="34">
        <v>-8.6</v>
      </c>
      <c r="BR381" s="34">
        <v>22.2</v>
      </c>
      <c r="BS381" s="34">
        <v>36.6</v>
      </c>
      <c r="BT381" s="34">
        <v>2.6</v>
      </c>
      <c r="BU381" s="34">
        <v>15.9</v>
      </c>
      <c r="BV381" s="34">
        <v>4.3</v>
      </c>
      <c r="BW381" s="34">
        <v>-4.9000000000000004</v>
      </c>
      <c r="BX381" s="34">
        <v>-6.5</v>
      </c>
      <c r="BY381" s="34">
        <v>4.0999999999999996</v>
      </c>
      <c r="BZ381" s="34">
        <v>108.6</v>
      </c>
      <c r="CA381" s="34">
        <v>-4.9000000000000004</v>
      </c>
      <c r="CB381" s="34">
        <v>-1.5</v>
      </c>
      <c r="CC381" s="34">
        <v>2</v>
      </c>
      <c r="CD381" s="34">
        <v>-44.8</v>
      </c>
      <c r="CE381" s="34">
        <v>-11</v>
      </c>
      <c r="CF381" s="34">
        <v>29.3</v>
      </c>
      <c r="CG381" s="34">
        <v>38.9</v>
      </c>
      <c r="CH381" s="34">
        <v>26.7</v>
      </c>
      <c r="CI381" s="34">
        <v>-11.1</v>
      </c>
      <c r="CJ381" s="34">
        <v>-9.3000000000000007</v>
      </c>
      <c r="CK381" s="34">
        <v>17.3</v>
      </c>
      <c r="CL381" s="34">
        <v>30.6</v>
      </c>
      <c r="CM381" s="34">
        <v>4003.5907139999999</v>
      </c>
      <c r="CN381" s="34">
        <v>34113.230000000003</v>
      </c>
      <c r="CO381" s="34">
        <v>4169.5761899999998</v>
      </c>
      <c r="CP381" s="34">
        <v>0.872</v>
      </c>
      <c r="CQ381" s="34">
        <v>1.63</v>
      </c>
      <c r="CR381" s="34">
        <v>78.8</v>
      </c>
      <c r="CS381" s="64">
        <v>55.75</v>
      </c>
      <c r="CT381" s="34">
        <v>108.9</v>
      </c>
      <c r="CU381" s="34">
        <v>105</v>
      </c>
      <c r="CV381" s="34">
        <v>101.3</v>
      </c>
      <c r="CW381" s="34">
        <v>96.6</v>
      </c>
      <c r="CX381" s="34">
        <v>102.3</v>
      </c>
      <c r="CY381" s="34">
        <v>9.86</v>
      </c>
      <c r="CZ381" s="34">
        <v>61038.857000000004</v>
      </c>
      <c r="DA381" s="34">
        <v>6.05</v>
      </c>
      <c r="DB381" s="34">
        <v>36.07</v>
      </c>
      <c r="DC381" s="34">
        <v>62.3</v>
      </c>
      <c r="DD381" s="34">
        <v>16.09</v>
      </c>
      <c r="DE381" s="34">
        <v>17893.973000000002</v>
      </c>
      <c r="DF381" s="34">
        <v>2228.3580000000002</v>
      </c>
      <c r="DG381" s="34">
        <v>2287.6410000000001</v>
      </c>
      <c r="DH381" s="34">
        <v>1310.134</v>
      </c>
      <c r="DI381" s="34">
        <v>8379.0280000000002</v>
      </c>
      <c r="DJ381" s="34">
        <v>100.9773</v>
      </c>
      <c r="DK381" s="34">
        <v>101.1969</v>
      </c>
      <c r="DL381" s="34">
        <v>101.43</v>
      </c>
      <c r="DM381" s="34">
        <v>101.8275</v>
      </c>
      <c r="DN381" s="34">
        <v>101.9329</v>
      </c>
      <c r="DO381" s="34">
        <v>102.24809999999999</v>
      </c>
      <c r="DP381" s="34">
        <v>101.2217</v>
      </c>
      <c r="DQ381" s="34">
        <v>101.3436</v>
      </c>
      <c r="DR381" s="34">
        <v>2320489</v>
      </c>
      <c r="DS381" s="73">
        <v>33802</v>
      </c>
      <c r="DT381" s="73">
        <v>100</v>
      </c>
      <c r="DU381" s="56">
        <v>141.38604736328125</v>
      </c>
      <c r="DV381" s="56">
        <v>168.61250305175781</v>
      </c>
      <c r="DW381">
        <v>3053</v>
      </c>
      <c r="DX381">
        <v>137400</v>
      </c>
      <c r="DY381">
        <v>100.1</v>
      </c>
      <c r="DZ381" s="33" t="s">
        <v>312</v>
      </c>
    </row>
    <row r="382" spans="1:130" s="56" customFormat="1" x14ac:dyDescent="0.25">
      <c r="A382" s="1">
        <v>44348</v>
      </c>
      <c r="B382" s="55">
        <v>98.7</v>
      </c>
      <c r="C382" s="55">
        <v>-0.56399999999999995</v>
      </c>
      <c r="D382" s="98">
        <v>0</v>
      </c>
      <c r="E382" s="54">
        <v>-0.54</v>
      </c>
      <c r="F382" s="54">
        <v>-0.64</v>
      </c>
      <c r="G382" s="54">
        <v>-0.49</v>
      </c>
      <c r="H382" s="54">
        <v>-0.28999999999999998</v>
      </c>
      <c r="I382" s="54">
        <f t="shared" ref="I382:I387" si="121">IF(ISNUMBER(C382),IF(ISNUMBER(H382),H382-C382,""),"")</f>
        <v>0.27399999999999997</v>
      </c>
      <c r="J382" s="54">
        <f t="shared" ref="J382:J387" si="122">IF(ISNUMBER(D382),IF(ISNUMBER(H382),H382-D382,""),"")</f>
        <v>-0.28999999999999998</v>
      </c>
      <c r="K382" s="54">
        <f t="shared" ref="K382:K387" si="123">IF(ISNUMBER(H382),IF(ISNUMBER(E382),H382-E382,""),"")</f>
        <v>0.25000000000000006</v>
      </c>
      <c r="L382" s="54">
        <f t="shared" ref="L382:L387" si="124">IF(ISNUMBER(D382),IF(ISNUMBER(C382),D382-C382,""),"")</f>
        <v>0.56399999999999995</v>
      </c>
      <c r="M382" s="54">
        <v>97.9</v>
      </c>
      <c r="N382" s="54">
        <v>15567.36</v>
      </c>
      <c r="O382" s="54">
        <v>17.95</v>
      </c>
      <c r="P382" s="64">
        <v>2773</v>
      </c>
      <c r="Q382" s="34">
        <f t="shared" si="92"/>
        <v>27.13307240704501</v>
      </c>
      <c r="R382" s="34">
        <v>3536.2</v>
      </c>
      <c r="S382" s="34">
        <f t="shared" si="93"/>
        <v>3460.0782778864968</v>
      </c>
      <c r="T382" s="34">
        <v>3564.9</v>
      </c>
      <c r="U382" s="34">
        <f t="shared" si="94"/>
        <v>3488.1604696673194</v>
      </c>
      <c r="V382" s="118">
        <v>221775</v>
      </c>
      <c r="W382" s="118">
        <v>10799517</v>
      </c>
      <c r="X382" s="119">
        <v>14232549</v>
      </c>
      <c r="Y382" s="119">
        <v>755633</v>
      </c>
      <c r="Z382" s="54">
        <v>100.3</v>
      </c>
      <c r="AA382" s="54">
        <v>103.5</v>
      </c>
      <c r="AB382" s="54">
        <v>113.9</v>
      </c>
      <c r="AC382" s="54">
        <v>104.1</v>
      </c>
      <c r="AD382" s="54">
        <v>45003</v>
      </c>
      <c r="AE382" s="54">
        <v>5.8</v>
      </c>
      <c r="AF382" s="54">
        <v>686</v>
      </c>
      <c r="AG382" s="54">
        <v>102.8</v>
      </c>
      <c r="AH382" s="54">
        <v>102.2</v>
      </c>
      <c r="AI382" s="64">
        <v>98.4</v>
      </c>
      <c r="AJ382" s="64">
        <v>98</v>
      </c>
      <c r="AK382" s="64">
        <v>191.60303400000001</v>
      </c>
      <c r="AL382" s="64">
        <v>96.8</v>
      </c>
      <c r="AM382" s="54">
        <v>158.46</v>
      </c>
      <c r="AN382" s="33">
        <v>190.74</v>
      </c>
      <c r="AO382" s="33">
        <v>150.88</v>
      </c>
      <c r="AP382" s="33">
        <v>61.03</v>
      </c>
      <c r="AQ382" s="54">
        <f t="shared" si="104"/>
        <v>0.62022357723577237</v>
      </c>
      <c r="AR382" s="54">
        <v>105.7</v>
      </c>
      <c r="AS382" s="54">
        <v>102.8</v>
      </c>
      <c r="AT382" s="54">
        <v>108.7</v>
      </c>
      <c r="AU382" s="54">
        <v>107</v>
      </c>
      <c r="AV382" s="54">
        <v>106.1</v>
      </c>
      <c r="AW382" s="54">
        <v>107.9</v>
      </c>
      <c r="AX382" s="54">
        <v>31</v>
      </c>
      <c r="AY382" s="54">
        <v>31.5</v>
      </c>
      <c r="AZ382" s="54">
        <v>35.9</v>
      </c>
      <c r="BA382" s="54">
        <v>25.2</v>
      </c>
      <c r="BB382" s="54">
        <v>105.2</v>
      </c>
      <c r="BC382" s="54">
        <v>101</v>
      </c>
      <c r="BD382" s="54">
        <v>109.6</v>
      </c>
      <c r="BE382" s="54">
        <v>-9.1</v>
      </c>
      <c r="BF382" s="54">
        <v>79.8</v>
      </c>
      <c r="BG382" s="54">
        <v>58.4</v>
      </c>
      <c r="BH382" s="54">
        <v>119.6</v>
      </c>
      <c r="BI382" s="54">
        <v>4.4000000000000004</v>
      </c>
      <c r="BJ382" s="34">
        <v>65.099999999999994</v>
      </c>
      <c r="BK382" s="34">
        <v>59.886397761930453</v>
      </c>
      <c r="BL382" s="54">
        <v>0.96</v>
      </c>
      <c r="BM382" s="54">
        <v>102.6033</v>
      </c>
      <c r="BN382" s="54">
        <v>102.2381</v>
      </c>
      <c r="BO382" s="54">
        <v>23.8</v>
      </c>
      <c r="BP382" s="54">
        <v>15.8</v>
      </c>
      <c r="BQ382" s="54">
        <v>-9.3000000000000007</v>
      </c>
      <c r="BR382" s="54">
        <v>26.3</v>
      </c>
      <c r="BS382" s="54">
        <v>45.8</v>
      </c>
      <c r="BT382" s="54">
        <v>7.5</v>
      </c>
      <c r="BU382" s="54">
        <v>19.8</v>
      </c>
      <c r="BV382" s="54">
        <v>18.8</v>
      </c>
      <c r="BW382" s="54">
        <v>-1.7</v>
      </c>
      <c r="BX382" s="54">
        <v>4.2</v>
      </c>
      <c r="BY382" s="54">
        <v>5.3</v>
      </c>
      <c r="BZ382" s="54">
        <v>116</v>
      </c>
      <c r="CA382" s="54">
        <v>-1.7</v>
      </c>
      <c r="CB382" s="54">
        <v>0.7</v>
      </c>
      <c r="CC382" s="54">
        <v>4.8</v>
      </c>
      <c r="CD382" s="54">
        <v>-39</v>
      </c>
      <c r="CE382" s="54">
        <v>-7</v>
      </c>
      <c r="CF382" s="54">
        <v>39.1</v>
      </c>
      <c r="CG382" s="54">
        <v>47.2</v>
      </c>
      <c r="CH382" s="54">
        <v>20.100000000000001</v>
      </c>
      <c r="CI382" s="54">
        <v>-9.3000000000000007</v>
      </c>
      <c r="CJ382" s="54">
        <v>-5.2</v>
      </c>
      <c r="CK382" s="54">
        <v>14.3</v>
      </c>
      <c r="CL382" s="54">
        <v>30.2</v>
      </c>
      <c r="CM382" s="54">
        <v>4105.8087729999997</v>
      </c>
      <c r="CN382" s="54">
        <v>34575.31</v>
      </c>
      <c r="CO382" s="54">
        <v>4238.4895450000004</v>
      </c>
      <c r="CP382" s="54">
        <v>0.878</v>
      </c>
      <c r="CQ382" s="54">
        <v>1.62</v>
      </c>
      <c r="CR382" s="54">
        <v>83.5</v>
      </c>
      <c r="CS382" s="64">
        <v>55.7</v>
      </c>
      <c r="CT382" s="54">
        <v>113.4</v>
      </c>
      <c r="CU382" s="54">
        <v>107.6</v>
      </c>
      <c r="CV382" s="54">
        <v>105.2</v>
      </c>
      <c r="CW382" s="54">
        <v>105.2</v>
      </c>
      <c r="CX382" s="54">
        <v>106</v>
      </c>
      <c r="CY382" s="54">
        <v>9.84</v>
      </c>
      <c r="CZ382" s="54">
        <v>64587.98</v>
      </c>
      <c r="DA382" s="54">
        <v>6.56</v>
      </c>
      <c r="DB382" s="54">
        <v>36.07</v>
      </c>
      <c r="DC382" s="54">
        <v>61.22</v>
      </c>
      <c r="DD382" s="54">
        <v>16.010000000000002</v>
      </c>
      <c r="DE382" s="54">
        <v>19567.335999999999</v>
      </c>
      <c r="DF382" s="54">
        <v>2331.7150000000001</v>
      </c>
      <c r="DG382" s="54">
        <v>2077.0790000000002</v>
      </c>
      <c r="DH382" s="54">
        <v>1400.3109999999999</v>
      </c>
      <c r="DI382" s="54">
        <v>9510.5390000000007</v>
      </c>
      <c r="DJ382" s="54">
        <v>100.83880000000001</v>
      </c>
      <c r="DK382" s="54">
        <v>101.0248</v>
      </c>
      <c r="DL382" s="54">
        <v>101.13</v>
      </c>
      <c r="DM382" s="54">
        <v>101.4425</v>
      </c>
      <c r="DN382" s="54">
        <v>102.2381</v>
      </c>
      <c r="DO382" s="54">
        <v>102.6033</v>
      </c>
      <c r="DP382" s="54">
        <v>101.2221</v>
      </c>
      <c r="DQ382" s="54">
        <v>101.34399999999999</v>
      </c>
      <c r="DR382" s="54">
        <v>1547552</v>
      </c>
      <c r="DS382" s="96">
        <v>33890</v>
      </c>
      <c r="DT382" s="96">
        <v>103.4</v>
      </c>
      <c r="DU382" s="56">
        <v>152.61494445800781</v>
      </c>
      <c r="DV382" s="56">
        <v>192.4976806640625</v>
      </c>
      <c r="DW382" s="56">
        <v>2568</v>
      </c>
      <c r="DX382" s="56">
        <v>123350</v>
      </c>
      <c r="DY382" s="56">
        <v>100</v>
      </c>
      <c r="DZ382" s="60" t="s">
        <v>312</v>
      </c>
    </row>
    <row r="383" spans="1:130" x14ac:dyDescent="0.25">
      <c r="A383" s="1">
        <v>44378</v>
      </c>
      <c r="B383" s="45">
        <v>100.2</v>
      </c>
      <c r="C383" s="45">
        <v>-0.56499999999999995</v>
      </c>
      <c r="D383" s="99">
        <v>0</v>
      </c>
      <c r="E383" s="34">
        <v>-0.54</v>
      </c>
      <c r="F383" s="34">
        <v>-0.72</v>
      </c>
      <c r="G383" s="34">
        <v>-0.61</v>
      </c>
      <c r="H383" s="34">
        <v>-0.45</v>
      </c>
      <c r="I383" s="34">
        <f t="shared" si="121"/>
        <v>0.11499999999999994</v>
      </c>
      <c r="J383" s="34">
        <f t="shared" si="122"/>
        <v>-0.45</v>
      </c>
      <c r="K383" s="34">
        <f t="shared" si="123"/>
        <v>9.0000000000000024E-2</v>
      </c>
      <c r="L383" s="34">
        <f t="shared" si="124"/>
        <v>0.56499999999999995</v>
      </c>
      <c r="M383" s="34">
        <v>97.7</v>
      </c>
      <c r="N383" s="34">
        <v>15603.81</v>
      </c>
      <c r="O383" s="34">
        <v>19.309999999999999</v>
      </c>
      <c r="P383" s="64">
        <v>2796.3</v>
      </c>
      <c r="Q383" s="34">
        <f t="shared" si="92"/>
        <v>27.254385964912284</v>
      </c>
      <c r="R383" s="34">
        <v>3553.9</v>
      </c>
      <c r="S383" s="34">
        <f t="shared" si="93"/>
        <v>3463.8401559454196</v>
      </c>
      <c r="T383" s="34">
        <v>3581.8</v>
      </c>
      <c r="U383" s="34">
        <f t="shared" si="94"/>
        <v>3491.0331384015599</v>
      </c>
      <c r="V383" s="118">
        <v>220960</v>
      </c>
      <c r="W383" s="118">
        <v>10898215</v>
      </c>
      <c r="X383" s="119">
        <v>14331718</v>
      </c>
      <c r="Y383" s="119">
        <v>774349</v>
      </c>
      <c r="Z383" s="34">
        <v>100.4</v>
      </c>
      <c r="AA383" s="34">
        <v>107.8</v>
      </c>
      <c r="AB383" s="34">
        <v>105.6</v>
      </c>
      <c r="AC383" s="34">
        <v>113.1</v>
      </c>
      <c r="AD383" s="34">
        <v>45083</v>
      </c>
      <c r="AE383" s="34">
        <v>5.6</v>
      </c>
      <c r="AF383" s="34">
        <v>725</v>
      </c>
      <c r="AG383" s="34">
        <v>103.2</v>
      </c>
      <c r="AH383" s="34">
        <v>102.6</v>
      </c>
      <c r="AI383" s="64">
        <v>100.5</v>
      </c>
      <c r="AJ383" s="64">
        <v>99.1</v>
      </c>
      <c r="AK383" s="64">
        <v>194.923372</v>
      </c>
      <c r="AL383" s="64">
        <v>123.4</v>
      </c>
      <c r="AM383" s="34">
        <v>151.03</v>
      </c>
      <c r="AN383" s="33">
        <v>207.06</v>
      </c>
      <c r="AO383" s="33">
        <v>144.30000000000001</v>
      </c>
      <c r="AP383" s="33">
        <v>62.92</v>
      </c>
      <c r="AQ383" s="34">
        <f t="shared" si="104"/>
        <v>0.62606965174129359</v>
      </c>
      <c r="AR383" s="34">
        <v>105.6</v>
      </c>
      <c r="AS383" s="34">
        <v>102.2</v>
      </c>
      <c r="AT383" s="34">
        <v>109.2</v>
      </c>
      <c r="AU383" s="34">
        <v>106.7</v>
      </c>
      <c r="AV383" s="34">
        <v>105.3</v>
      </c>
      <c r="AW383" s="34">
        <v>108.2</v>
      </c>
      <c r="AX383" s="34">
        <v>32.200000000000003</v>
      </c>
      <c r="AY383" s="34">
        <v>30.8</v>
      </c>
      <c r="AZ383" s="34">
        <v>30</v>
      </c>
      <c r="BA383" s="34">
        <v>23.6</v>
      </c>
      <c r="BB383" s="34">
        <v>104.6</v>
      </c>
      <c r="BC383" s="34">
        <v>98.6</v>
      </c>
      <c r="BD383" s="34">
        <v>110.9</v>
      </c>
      <c r="BE383" s="34">
        <v>21.9</v>
      </c>
      <c r="BF383" s="34">
        <v>63.3</v>
      </c>
      <c r="BG383" s="34">
        <v>54.6</v>
      </c>
      <c r="BH383" s="34">
        <v>121.5</v>
      </c>
      <c r="BI383" s="34">
        <v>10</v>
      </c>
      <c r="BJ383" s="34">
        <v>65.900000000000006</v>
      </c>
      <c r="BK383" s="34">
        <v>58.9165633149915</v>
      </c>
      <c r="BL383" s="34">
        <v>0.88</v>
      </c>
      <c r="BM383" s="34">
        <v>102.81010000000001</v>
      </c>
      <c r="BN383" s="34">
        <v>102.4157</v>
      </c>
      <c r="BO383" s="34">
        <v>26.5</v>
      </c>
      <c r="BP383" s="34">
        <v>16.2</v>
      </c>
      <c r="BQ383" s="34">
        <v>-14.9</v>
      </c>
      <c r="BR383" s="34">
        <v>25</v>
      </c>
      <c r="BS383" s="34">
        <v>44.9</v>
      </c>
      <c r="BT383" s="34">
        <v>14.8</v>
      </c>
      <c r="BU383" s="34">
        <v>22.1</v>
      </c>
      <c r="BV383" s="34">
        <v>20.6</v>
      </c>
      <c r="BW383" s="34">
        <v>-2.6</v>
      </c>
      <c r="BX383" s="34">
        <v>6.9</v>
      </c>
      <c r="BY383" s="34">
        <v>5.9</v>
      </c>
      <c r="BZ383" s="34">
        <v>117.5</v>
      </c>
      <c r="CA383" s="34">
        <v>-2.6</v>
      </c>
      <c r="CB383" s="34">
        <v>-1.4</v>
      </c>
      <c r="CC383" s="34">
        <v>3.4</v>
      </c>
      <c r="CD383" s="34">
        <v>-31.7</v>
      </c>
      <c r="CE383" s="34">
        <v>-5.4</v>
      </c>
      <c r="CF383" s="34">
        <v>37.5</v>
      </c>
      <c r="CG383" s="34">
        <v>41.8</v>
      </c>
      <c r="CH383" s="34">
        <v>15.9</v>
      </c>
      <c r="CI383" s="34">
        <v>-8</v>
      </c>
      <c r="CJ383" s="34">
        <v>-7.1</v>
      </c>
      <c r="CK383" s="34">
        <v>14.3</v>
      </c>
      <c r="CL383" s="34">
        <v>28.8</v>
      </c>
      <c r="CM383" s="34">
        <v>4062.6065450000001</v>
      </c>
      <c r="CN383" s="34">
        <v>34633.53</v>
      </c>
      <c r="CO383" s="34">
        <v>4363.7128570000004</v>
      </c>
      <c r="CP383" s="34">
        <v>0.76100000000000001</v>
      </c>
      <c r="CQ383" s="34">
        <v>1.48</v>
      </c>
      <c r="CR383" s="34">
        <v>79</v>
      </c>
      <c r="CS383" s="64">
        <v>56.52</v>
      </c>
      <c r="CT383" s="34">
        <v>118.1</v>
      </c>
      <c r="CU383" s="34">
        <v>110.8</v>
      </c>
      <c r="CV383" s="34">
        <v>106.8</v>
      </c>
      <c r="CW383" s="34">
        <v>98.5</v>
      </c>
      <c r="CX383" s="34">
        <v>112.1</v>
      </c>
      <c r="CY383" s="34">
        <v>10.220000000000001</v>
      </c>
      <c r="CZ383" s="34">
        <v>61348.042000000001</v>
      </c>
      <c r="DA383" s="34">
        <v>5.48</v>
      </c>
      <c r="DB383" s="34">
        <v>35.47</v>
      </c>
      <c r="DC383" s="34">
        <v>62.4</v>
      </c>
      <c r="DD383" s="34">
        <v>17.2</v>
      </c>
      <c r="DE383" s="34">
        <v>18113.552</v>
      </c>
      <c r="DF383" s="34">
        <v>2014.7660000000001</v>
      </c>
      <c r="DG383" s="34">
        <v>2361.2109999999998</v>
      </c>
      <c r="DH383" s="34">
        <v>1435.1369999999999</v>
      </c>
      <c r="DI383" s="34">
        <v>8339.4930000000004</v>
      </c>
      <c r="DJ383" s="34">
        <v>100.5919</v>
      </c>
      <c r="DK383" s="34">
        <v>100.6738</v>
      </c>
      <c r="DL383" s="34">
        <v>100.81</v>
      </c>
      <c r="DM383" s="34">
        <v>101.039</v>
      </c>
      <c r="DN383" s="34">
        <v>102.4157</v>
      </c>
      <c r="DO383" s="34">
        <v>102.81010000000001</v>
      </c>
      <c r="DP383" s="34">
        <v>101.1807</v>
      </c>
      <c r="DQ383" s="34">
        <v>101.2984</v>
      </c>
      <c r="DR383" s="34">
        <v>1068043</v>
      </c>
      <c r="DS383" s="73">
        <v>33943</v>
      </c>
      <c r="DT383" s="73">
        <v>102.4</v>
      </c>
      <c r="DU383">
        <v>197.37940979003906</v>
      </c>
      <c r="DV383">
        <v>346.4342041015625</v>
      </c>
      <c r="DW383">
        <v>3338</v>
      </c>
      <c r="DX383">
        <v>211950</v>
      </c>
      <c r="DY383">
        <v>99.4</v>
      </c>
      <c r="DZ383" s="33" t="s">
        <v>312</v>
      </c>
    </row>
    <row r="384" spans="1:130" x14ac:dyDescent="0.25">
      <c r="A384" s="1">
        <v>44409</v>
      </c>
      <c r="B384" s="45">
        <v>95.5</v>
      </c>
      <c r="C384" s="45">
        <v>-0.56499999999999995</v>
      </c>
      <c r="D384" s="99">
        <v>0</v>
      </c>
      <c r="E384" s="34">
        <v>-0.55000000000000004</v>
      </c>
      <c r="F384" s="34">
        <v>-0.79</v>
      </c>
      <c r="G384" s="34">
        <v>-0.7</v>
      </c>
      <c r="H384" s="34">
        <v>-0.54</v>
      </c>
      <c r="I384" s="34">
        <f t="shared" si="121"/>
        <v>2.4999999999999911E-2</v>
      </c>
      <c r="J384" s="34">
        <f t="shared" si="122"/>
        <v>-0.54</v>
      </c>
      <c r="K384" s="34">
        <f t="shared" si="123"/>
        <v>1.0000000000000009E-2</v>
      </c>
      <c r="L384" s="34">
        <f t="shared" si="124"/>
        <v>0.56499999999999995</v>
      </c>
      <c r="M384" s="34">
        <v>97.4</v>
      </c>
      <c r="N384" s="34">
        <v>15568.73</v>
      </c>
      <c r="O384" s="34">
        <v>17.600000000000001</v>
      </c>
      <c r="P384" s="64">
        <v>2810.8</v>
      </c>
      <c r="Q384" s="34">
        <f t="shared" si="92"/>
        <v>27.34241245136187</v>
      </c>
      <c r="R384" s="34">
        <v>3567.2</v>
      </c>
      <c r="S384" s="34">
        <f t="shared" si="93"/>
        <v>3470.0389105058362</v>
      </c>
      <c r="T384" s="34">
        <v>3597.9</v>
      </c>
      <c r="U384" s="34">
        <f t="shared" si="94"/>
        <v>3499.9027237354085</v>
      </c>
      <c r="V384" s="118">
        <v>222003</v>
      </c>
      <c r="W384" s="118">
        <v>11003766</v>
      </c>
      <c r="X384" s="119">
        <v>14422869</v>
      </c>
      <c r="Y384" s="119">
        <v>774799</v>
      </c>
      <c r="Z384" s="34">
        <v>97.5</v>
      </c>
      <c r="AA384" s="34">
        <v>97.1</v>
      </c>
      <c r="AB384" s="34">
        <v>95.6</v>
      </c>
      <c r="AC384" s="34">
        <v>97.1</v>
      </c>
      <c r="AD384" s="34">
        <v>45146</v>
      </c>
      <c r="AE384" s="34">
        <v>5.5</v>
      </c>
      <c r="AF384" s="34">
        <v>753</v>
      </c>
      <c r="AG384" s="34">
        <v>103.5</v>
      </c>
      <c r="AH384" s="34">
        <v>102.8</v>
      </c>
      <c r="AI384" s="64">
        <v>101.7</v>
      </c>
      <c r="AJ384" s="64">
        <v>99.8</v>
      </c>
      <c r="AK384" s="64">
        <v>197.26714000000001</v>
      </c>
      <c r="AL384" s="64">
        <v>94.8</v>
      </c>
      <c r="AM384" s="34">
        <v>144.08000000000001</v>
      </c>
      <c r="AN384" s="33">
        <v>215.12</v>
      </c>
      <c r="AO384" s="33">
        <v>140.77000000000001</v>
      </c>
      <c r="AP384" s="33">
        <v>59.98</v>
      </c>
      <c r="AQ384" s="34">
        <f t="shared" si="104"/>
        <v>0.58977384464110127</v>
      </c>
      <c r="AR384" s="34">
        <v>104.4</v>
      </c>
      <c r="AS384" s="34">
        <v>100.6</v>
      </c>
      <c r="AT384" s="34">
        <v>108.3</v>
      </c>
      <c r="AU384" s="34">
        <v>105.5</v>
      </c>
      <c r="AV384" s="34">
        <v>103.3</v>
      </c>
      <c r="AW384" s="34">
        <v>107.9</v>
      </c>
      <c r="AX384" s="34">
        <v>28.9</v>
      </c>
      <c r="AY384" s="34">
        <v>38.299999999999997</v>
      </c>
      <c r="AZ384" s="34">
        <v>29.8</v>
      </c>
      <c r="BA384" s="34">
        <v>27.4</v>
      </c>
      <c r="BB384" s="34">
        <v>101.9</v>
      </c>
      <c r="BC384" s="34">
        <v>95.6</v>
      </c>
      <c r="BD384" s="34">
        <v>108.6</v>
      </c>
      <c r="BE384" s="34">
        <v>29.3</v>
      </c>
      <c r="BF384" s="34">
        <v>40.4</v>
      </c>
      <c r="BG384" s="34">
        <v>40.799999999999997</v>
      </c>
      <c r="BH384" s="34">
        <v>126.7</v>
      </c>
      <c r="BI384" s="34">
        <v>7.9</v>
      </c>
      <c r="BJ384" s="34">
        <v>62.6</v>
      </c>
      <c r="BK384" s="34">
        <v>67.242263599282452</v>
      </c>
      <c r="BL384" s="34">
        <v>0.98</v>
      </c>
      <c r="BM384" s="34">
        <v>102.8639</v>
      </c>
      <c r="BN384" s="34">
        <v>102.4619</v>
      </c>
      <c r="BO384" s="34">
        <v>25.5</v>
      </c>
      <c r="BP384" s="34">
        <v>15.9</v>
      </c>
      <c r="BQ384" s="34">
        <v>-15.3</v>
      </c>
      <c r="BR384" s="34">
        <v>28.6</v>
      </c>
      <c r="BS384" s="34">
        <v>48.6</v>
      </c>
      <c r="BT384" s="34">
        <v>14.4</v>
      </c>
      <c r="BU384" s="34">
        <v>23.1</v>
      </c>
      <c r="BV384" s="34">
        <v>22.1</v>
      </c>
      <c r="BW384" s="34">
        <v>-3.9</v>
      </c>
      <c r="BX384" s="34">
        <v>3.6</v>
      </c>
      <c r="BY384" s="34">
        <v>6.3</v>
      </c>
      <c r="BZ384" s="34">
        <v>117.9</v>
      </c>
      <c r="CA384" s="34">
        <v>-3.9</v>
      </c>
      <c r="CB384" s="34">
        <v>-0.5</v>
      </c>
      <c r="CC384" s="34">
        <v>4.0999999999999996</v>
      </c>
      <c r="CD384" s="34">
        <v>-30.1</v>
      </c>
      <c r="CE384" s="34">
        <v>-8.6</v>
      </c>
      <c r="CF384" s="34">
        <v>46.1</v>
      </c>
      <c r="CG384" s="34">
        <v>45</v>
      </c>
      <c r="CH384" s="34">
        <v>13.8</v>
      </c>
      <c r="CI384" s="34">
        <v>-10.8</v>
      </c>
      <c r="CJ384" s="34">
        <v>-10.5</v>
      </c>
      <c r="CK384" s="34">
        <v>13.1</v>
      </c>
      <c r="CL384" s="34">
        <v>29.9</v>
      </c>
      <c r="CM384" s="34">
        <v>4177.025909</v>
      </c>
      <c r="CN384" s="34">
        <v>34838.160000000003</v>
      </c>
      <c r="CO384" s="34">
        <v>4454.2063639999997</v>
      </c>
      <c r="CP384" s="34">
        <v>0.60899999999999999</v>
      </c>
      <c r="CQ384" s="34">
        <v>1.2</v>
      </c>
      <c r="CR384" s="34">
        <v>65.099999999999994</v>
      </c>
      <c r="CS384" s="64">
        <v>55.3</v>
      </c>
      <c r="CT384" s="34">
        <v>114.4</v>
      </c>
      <c r="CU384" s="34">
        <v>108.3</v>
      </c>
      <c r="CV384" s="34">
        <v>106</v>
      </c>
      <c r="CW384" s="34">
        <v>96.2</v>
      </c>
      <c r="CX384" s="34">
        <v>112.1</v>
      </c>
      <c r="CY384" s="34">
        <v>9.94</v>
      </c>
      <c r="CZ384" s="34">
        <v>55076.447999999997</v>
      </c>
      <c r="DA384" s="34">
        <v>6.36</v>
      </c>
      <c r="DB384" s="34">
        <v>35.25</v>
      </c>
      <c r="DC384" s="34">
        <v>60.99</v>
      </c>
      <c r="DD384" s="34">
        <v>16.61</v>
      </c>
      <c r="DE384" s="34">
        <v>17211.812999999998</v>
      </c>
      <c r="DF384" s="34">
        <v>2134.7249999999999</v>
      </c>
      <c r="DG384" s="34">
        <v>2130.194</v>
      </c>
      <c r="DH384" s="34">
        <v>1563.2329999999999</v>
      </c>
      <c r="DI384" s="34">
        <v>7625.5439999999999</v>
      </c>
      <c r="DJ384" s="34">
        <v>100.4144</v>
      </c>
      <c r="DK384" s="34">
        <v>100.4462</v>
      </c>
      <c r="DL384" s="34">
        <v>100.51</v>
      </c>
      <c r="DM384" s="34">
        <v>100.6511</v>
      </c>
      <c r="DN384" s="34">
        <v>102.4619</v>
      </c>
      <c r="DO384" s="34">
        <v>102.8639</v>
      </c>
      <c r="DP384" s="34">
        <v>101.1234</v>
      </c>
      <c r="DQ384" s="34">
        <v>101.2354</v>
      </c>
      <c r="DR384" s="34">
        <v>838090</v>
      </c>
      <c r="DS384" s="73">
        <v>33997</v>
      </c>
      <c r="DT384" s="73">
        <v>103.5</v>
      </c>
      <c r="DU384">
        <v>187.20578002929688</v>
      </c>
      <c r="DV384">
        <v>364.09979248046875</v>
      </c>
      <c r="DW384">
        <v>3282</v>
      </c>
      <c r="DX384">
        <v>238000</v>
      </c>
      <c r="DY384">
        <v>97.5</v>
      </c>
      <c r="DZ384" s="33" t="s">
        <v>312</v>
      </c>
    </row>
    <row r="385" spans="1:130" s="56" customFormat="1" x14ac:dyDescent="0.25">
      <c r="A385" s="1">
        <v>44440</v>
      </c>
      <c r="B385" s="55">
        <v>96.3</v>
      </c>
      <c r="C385" s="55">
        <v>-0.56899999999999995</v>
      </c>
      <c r="D385" s="98">
        <v>0</v>
      </c>
      <c r="E385" s="54">
        <v>-0.55000000000000004</v>
      </c>
      <c r="F385" s="54">
        <v>-0.69</v>
      </c>
      <c r="G385" s="54">
        <v>-0.56000000000000005</v>
      </c>
      <c r="H385" s="54">
        <v>-0.36</v>
      </c>
      <c r="I385" s="54">
        <f t="shared" si="121"/>
        <v>0.20899999999999996</v>
      </c>
      <c r="J385" s="54">
        <f t="shared" si="122"/>
        <v>-0.36</v>
      </c>
      <c r="K385" s="54">
        <f t="shared" si="123"/>
        <v>0.19000000000000006</v>
      </c>
      <c r="L385" s="54">
        <f t="shared" si="124"/>
        <v>0.56899999999999995</v>
      </c>
      <c r="M385" s="54">
        <v>97.3</v>
      </c>
      <c r="N385" s="54">
        <v>15824.29</v>
      </c>
      <c r="O385" s="54">
        <v>24.15</v>
      </c>
      <c r="P385" s="64">
        <v>2819.7</v>
      </c>
      <c r="Q385" s="34">
        <f t="shared" si="92"/>
        <v>27.375728155339804</v>
      </c>
      <c r="R385" s="34">
        <v>3575.7</v>
      </c>
      <c r="S385" s="34">
        <f t="shared" si="93"/>
        <v>3471.5533980582522</v>
      </c>
      <c r="T385" s="34">
        <v>3609.6</v>
      </c>
      <c r="U385" s="34">
        <f t="shared" si="94"/>
        <v>3504.4660194174753</v>
      </c>
      <c r="V385" s="118">
        <v>223267</v>
      </c>
      <c r="W385" s="118">
        <v>11086933</v>
      </c>
      <c r="X385" s="119">
        <v>14492971</v>
      </c>
      <c r="Y385" s="119">
        <v>761029</v>
      </c>
      <c r="Z385" s="54">
        <v>97.7</v>
      </c>
      <c r="AA385" s="54">
        <v>100.5</v>
      </c>
      <c r="AB385" s="54">
        <v>95.9</v>
      </c>
      <c r="AC385" s="54">
        <v>102.7</v>
      </c>
      <c r="AD385" s="54">
        <v>45194</v>
      </c>
      <c r="AE385" s="54">
        <v>5.4</v>
      </c>
      <c r="AF385" s="54">
        <v>772</v>
      </c>
      <c r="AG385" s="54">
        <v>103.7</v>
      </c>
      <c r="AH385" s="54">
        <v>103</v>
      </c>
      <c r="AI385" s="64">
        <v>102.8</v>
      </c>
      <c r="AJ385" s="64">
        <v>100.7</v>
      </c>
      <c r="AK385" s="64">
        <v>200.587478</v>
      </c>
      <c r="AL385" s="64">
        <v>94.6</v>
      </c>
      <c r="AM385" s="54">
        <v>141.63999999999999</v>
      </c>
      <c r="AN385" s="33">
        <v>257.5</v>
      </c>
      <c r="AO385" s="33">
        <v>138.69999999999999</v>
      </c>
      <c r="AP385" s="33">
        <v>63.52</v>
      </c>
      <c r="AQ385" s="54">
        <f t="shared" si="104"/>
        <v>0.61789883268482493</v>
      </c>
      <c r="AR385" s="54">
        <v>103.7</v>
      </c>
      <c r="AS385" s="54">
        <v>100.2</v>
      </c>
      <c r="AT385" s="54">
        <v>107.3</v>
      </c>
      <c r="AU385" s="54">
        <v>104.1</v>
      </c>
      <c r="AV385" s="54">
        <v>102.9</v>
      </c>
      <c r="AW385" s="54">
        <v>105.3</v>
      </c>
      <c r="AX385" s="54">
        <v>25.9</v>
      </c>
      <c r="AY385" s="54">
        <v>39.700000000000003</v>
      </c>
      <c r="AZ385" s="54">
        <v>29.6</v>
      </c>
      <c r="BA385" s="54">
        <v>31.5</v>
      </c>
      <c r="BB385" s="54">
        <v>102</v>
      </c>
      <c r="BC385" s="54">
        <v>94.9</v>
      </c>
      <c r="BD385" s="54">
        <v>109.6</v>
      </c>
      <c r="BE385" s="54">
        <v>31.9</v>
      </c>
      <c r="BF385" s="54">
        <v>26.5</v>
      </c>
      <c r="BG385" s="54">
        <v>48.5</v>
      </c>
      <c r="BH385" s="54">
        <v>133.5</v>
      </c>
      <c r="BI385" s="54">
        <v>4.2</v>
      </c>
      <c r="BJ385" s="34">
        <v>58.5</v>
      </c>
      <c r="BK385" s="34">
        <v>66.362711689062706</v>
      </c>
      <c r="BL385" s="54">
        <v>0.75</v>
      </c>
      <c r="BM385" s="54">
        <v>102.8098</v>
      </c>
      <c r="BN385" s="54">
        <v>102.41549999999999</v>
      </c>
      <c r="BO385" s="54">
        <v>27.9</v>
      </c>
      <c r="BP385" s="54">
        <v>19.5</v>
      </c>
      <c r="BQ385" s="54">
        <v>-13.6</v>
      </c>
      <c r="BR385" s="54">
        <v>30.9</v>
      </c>
      <c r="BS385" s="54">
        <v>48.3</v>
      </c>
      <c r="BT385" s="54">
        <v>14.4</v>
      </c>
      <c r="BU385" s="54">
        <v>24.1</v>
      </c>
      <c r="BV385" s="54">
        <v>20.5</v>
      </c>
      <c r="BW385" s="54">
        <v>-0.8</v>
      </c>
      <c r="BX385" s="54">
        <v>4.5</v>
      </c>
      <c r="BY385" s="54">
        <v>9.4</v>
      </c>
      <c r="BZ385" s="54">
        <v>118.9</v>
      </c>
      <c r="CA385" s="54">
        <v>-0.8</v>
      </c>
      <c r="CB385" s="54">
        <v>3</v>
      </c>
      <c r="CC385" s="54">
        <v>6.3</v>
      </c>
      <c r="CD385" s="54">
        <v>-22.2</v>
      </c>
      <c r="CE385" s="54">
        <v>-6.2</v>
      </c>
      <c r="CF385" s="54">
        <v>47.6</v>
      </c>
      <c r="CG385" s="54">
        <v>42.3</v>
      </c>
      <c r="CH385" s="54">
        <v>13</v>
      </c>
      <c r="CI385" s="54">
        <v>-8.6</v>
      </c>
      <c r="CJ385" s="54">
        <v>-6.4</v>
      </c>
      <c r="CK385" s="54">
        <v>18.100000000000001</v>
      </c>
      <c r="CL385" s="54">
        <v>31</v>
      </c>
      <c r="CM385" s="54">
        <v>4158.2860449999998</v>
      </c>
      <c r="CN385" s="54">
        <v>35312.53</v>
      </c>
      <c r="CO385" s="54">
        <v>4449.6290909999998</v>
      </c>
      <c r="CP385" s="54">
        <v>0.69599999999999995</v>
      </c>
      <c r="CQ385" s="54">
        <v>1.31</v>
      </c>
      <c r="CR385" s="54">
        <v>68.099999999999994</v>
      </c>
      <c r="CS385" s="64">
        <v>54.07</v>
      </c>
      <c r="CT385" s="54">
        <v>113.5</v>
      </c>
      <c r="CU385" s="54">
        <v>109.5</v>
      </c>
      <c r="CV385" s="54">
        <v>107</v>
      </c>
      <c r="CW385" s="54">
        <v>95.9</v>
      </c>
      <c r="CX385" s="54">
        <v>110.5</v>
      </c>
      <c r="CY385" s="54">
        <v>10.07</v>
      </c>
      <c r="CZ385" s="54">
        <v>64127.77</v>
      </c>
      <c r="DA385" s="54">
        <v>6.24</v>
      </c>
      <c r="DB385" s="54">
        <v>34.83</v>
      </c>
      <c r="DC385" s="54">
        <v>60.62</v>
      </c>
      <c r="DD385" s="54">
        <v>16.21</v>
      </c>
      <c r="DE385" s="54">
        <v>18511.565999999999</v>
      </c>
      <c r="DF385" s="54">
        <v>2175.991</v>
      </c>
      <c r="DG385" s="54">
        <v>2308.6179999999999</v>
      </c>
      <c r="DH385" s="54">
        <v>1637.29</v>
      </c>
      <c r="DI385" s="54">
        <v>8443.3359999999993</v>
      </c>
      <c r="DJ385" s="54">
        <v>100.31359999999999</v>
      </c>
      <c r="DK385" s="54">
        <v>100.34650000000001</v>
      </c>
      <c r="DL385" s="54">
        <v>100.24</v>
      </c>
      <c r="DM385" s="54">
        <v>100.30840000000001</v>
      </c>
      <c r="DN385" s="54">
        <v>102.41549999999999</v>
      </c>
      <c r="DO385" s="54">
        <v>102.8098</v>
      </c>
      <c r="DP385" s="54">
        <v>101.07940000000001</v>
      </c>
      <c r="DQ385" s="54">
        <v>101.187</v>
      </c>
      <c r="DR385" s="54">
        <v>839492</v>
      </c>
      <c r="DS385" s="96">
        <v>34049</v>
      </c>
      <c r="DT385" s="96">
        <v>104.5</v>
      </c>
      <c r="DU385" s="56">
        <v>206.72854614257813</v>
      </c>
      <c r="DV385" s="56">
        <v>361.96707153320313</v>
      </c>
      <c r="DW385" s="56">
        <v>4013</v>
      </c>
      <c r="DX385" s="56">
        <v>252400</v>
      </c>
      <c r="DY385" s="56">
        <v>97.8</v>
      </c>
      <c r="DZ385" s="60" t="s">
        <v>312</v>
      </c>
    </row>
    <row r="386" spans="1:130" x14ac:dyDescent="0.25">
      <c r="A386" s="1">
        <v>44470</v>
      </c>
      <c r="B386" s="34">
        <v>99.4</v>
      </c>
      <c r="C386" s="45">
        <v>-0.57099999999999995</v>
      </c>
      <c r="D386" s="99">
        <v>0</v>
      </c>
      <c r="E386" s="34">
        <v>-0.55000000000000004</v>
      </c>
      <c r="F386" s="34">
        <v>-0.57999999999999996</v>
      </c>
      <c r="G386" s="34">
        <v>-0.41</v>
      </c>
      <c r="H386" s="34">
        <v>-0.21</v>
      </c>
      <c r="I386" s="34">
        <f t="shared" si="121"/>
        <v>0.36099999999999999</v>
      </c>
      <c r="J386" s="34">
        <f t="shared" si="122"/>
        <v>-0.21</v>
      </c>
      <c r="K386" s="34">
        <f t="shared" si="123"/>
        <v>0.34000000000000008</v>
      </c>
      <c r="L386" s="34">
        <f t="shared" si="124"/>
        <v>0.57099999999999995</v>
      </c>
      <c r="M386" s="34">
        <v>96.7</v>
      </c>
      <c r="N386" s="34">
        <v>15156.44</v>
      </c>
      <c r="O386" s="34">
        <v>17.11</v>
      </c>
      <c r="P386" s="64">
        <v>2828.4</v>
      </c>
      <c r="Q386" s="34">
        <f t="shared" si="92"/>
        <v>27.406976744186046</v>
      </c>
      <c r="R386" s="34">
        <v>3596.1</v>
      </c>
      <c r="S386" s="34">
        <f t="shared" si="93"/>
        <v>3484.5930232558139</v>
      </c>
      <c r="T386" s="34">
        <v>3630.1</v>
      </c>
      <c r="U386" s="34">
        <f t="shared" si="94"/>
        <v>3517.5387596899222</v>
      </c>
      <c r="V386" s="118">
        <v>233840</v>
      </c>
      <c r="W386" s="118">
        <v>11145446</v>
      </c>
      <c r="X386" s="119">
        <v>14566828</v>
      </c>
      <c r="Y386" s="119">
        <v>794622</v>
      </c>
      <c r="Z386" s="34">
        <v>98.2</v>
      </c>
      <c r="AA386" s="34">
        <v>95.1</v>
      </c>
      <c r="AB386" s="34">
        <v>98.5</v>
      </c>
      <c r="AC386" s="34">
        <v>94.8</v>
      </c>
      <c r="AD386" s="34">
        <v>45224</v>
      </c>
      <c r="AE386" s="34">
        <v>5.3</v>
      </c>
      <c r="AF386" s="34">
        <v>790</v>
      </c>
      <c r="AG386" s="34">
        <v>104.2</v>
      </c>
      <c r="AH386" s="34">
        <v>103.2</v>
      </c>
      <c r="AI386" s="64">
        <v>106.2</v>
      </c>
      <c r="AJ386" s="64">
        <v>101.9</v>
      </c>
      <c r="AK386" s="64">
        <v>206.642212</v>
      </c>
      <c r="AL386" s="64">
        <v>96.4</v>
      </c>
      <c r="AM386" s="34">
        <v>148.38999999999999</v>
      </c>
      <c r="AN386" s="33">
        <v>313.70999999999998</v>
      </c>
      <c r="AO386" s="33">
        <v>144.93</v>
      </c>
      <c r="AP386" s="33">
        <v>72.290000000000006</v>
      </c>
      <c r="AQ386" s="34">
        <f t="shared" si="104"/>
        <v>0.68069679849340869</v>
      </c>
      <c r="AR386" s="34">
        <v>102.2</v>
      </c>
      <c r="AS386" s="34">
        <v>98.5</v>
      </c>
      <c r="AT386" s="34">
        <v>106.1</v>
      </c>
      <c r="AU386" s="34">
        <v>102.8</v>
      </c>
      <c r="AV386" s="34">
        <v>100.9</v>
      </c>
      <c r="AW386" s="34">
        <v>104.7</v>
      </c>
      <c r="AX386" s="34">
        <v>26</v>
      </c>
      <c r="AY386" s="34">
        <v>42.5</v>
      </c>
      <c r="AZ386" s="34">
        <v>22.7</v>
      </c>
      <c r="BA386" s="34">
        <v>19.899999999999999</v>
      </c>
      <c r="BB386" s="34">
        <v>99.9</v>
      </c>
      <c r="BC386" s="34">
        <v>92.4</v>
      </c>
      <c r="BD386" s="34">
        <v>108</v>
      </c>
      <c r="BE386" s="34">
        <v>21.6</v>
      </c>
      <c r="BF386" s="34">
        <v>22.3</v>
      </c>
      <c r="BG386" s="34">
        <v>46.6</v>
      </c>
      <c r="BH386" s="34">
        <v>136.4</v>
      </c>
      <c r="BI386" s="34">
        <v>4.4000000000000004</v>
      </c>
      <c r="BJ386" s="34">
        <v>57.8</v>
      </c>
      <c r="BK386" s="34">
        <v>70.910334638208724</v>
      </c>
      <c r="BL386" s="34">
        <v>0.71</v>
      </c>
      <c r="BM386" s="34">
        <v>102.6709</v>
      </c>
      <c r="BN386" s="34">
        <v>102.2961</v>
      </c>
      <c r="BO386" s="34">
        <v>25.5</v>
      </c>
      <c r="BP386" s="34">
        <v>16.399999999999999</v>
      </c>
      <c r="BQ386" s="34">
        <v>-13.7</v>
      </c>
      <c r="BR386" s="34">
        <v>25.2</v>
      </c>
      <c r="BS386" s="34">
        <v>50.2</v>
      </c>
      <c r="BT386" s="34">
        <v>15.7</v>
      </c>
      <c r="BU386" s="34">
        <v>21.5</v>
      </c>
      <c r="BV386" s="34">
        <v>22.7</v>
      </c>
      <c r="BW386" s="34">
        <v>-2.6</v>
      </c>
      <c r="BX386" s="34">
        <v>3.1</v>
      </c>
      <c r="BY386" s="34">
        <v>10.3</v>
      </c>
      <c r="BZ386" s="34">
        <v>117.9</v>
      </c>
      <c r="CA386" s="34">
        <v>-2.6</v>
      </c>
      <c r="CB386" s="34">
        <v>0.5</v>
      </c>
      <c r="CC386" s="34">
        <v>3.6</v>
      </c>
      <c r="CD386" s="34">
        <v>-24.4</v>
      </c>
      <c r="CE386" s="34">
        <v>-7.6</v>
      </c>
      <c r="CF386" s="34">
        <v>54.3</v>
      </c>
      <c r="CG386" s="34">
        <v>47.2</v>
      </c>
      <c r="CH386" s="34">
        <v>13.5</v>
      </c>
      <c r="CI386" s="34">
        <v>-5.4</v>
      </c>
      <c r="CJ386" s="34">
        <v>-6.9</v>
      </c>
      <c r="CK386" s="34">
        <v>13.4</v>
      </c>
      <c r="CL386" s="34">
        <v>29.8</v>
      </c>
      <c r="CM386" s="34">
        <v>4132.2289520000004</v>
      </c>
      <c r="CN386" s="34">
        <v>34326.46</v>
      </c>
      <c r="CO386" s="34">
        <v>4460.7071429999996</v>
      </c>
      <c r="CP386" s="34">
        <v>1.004</v>
      </c>
      <c r="CQ386" s="34">
        <v>1.48</v>
      </c>
      <c r="CR386" s="34">
        <v>67.900000000000006</v>
      </c>
      <c r="CS386" s="64">
        <v>52.35</v>
      </c>
      <c r="CT386" s="34">
        <v>114.5</v>
      </c>
      <c r="CU386" s="34">
        <v>112.4</v>
      </c>
      <c r="CV386" s="34">
        <v>107.1</v>
      </c>
      <c r="CW386" s="34">
        <v>95.5</v>
      </c>
      <c r="CX386" s="34">
        <v>113.5</v>
      </c>
      <c r="CY386" s="34">
        <v>10.35</v>
      </c>
      <c r="CZ386" s="34">
        <v>65927.991999999998</v>
      </c>
      <c r="DA386" s="34">
        <v>5.97</v>
      </c>
      <c r="DB386" s="34">
        <v>37.71</v>
      </c>
      <c r="DC386" s="34">
        <v>63.34</v>
      </c>
      <c r="DD386" s="34">
        <v>16.78</v>
      </c>
      <c r="DE386" s="34">
        <v>19673.656999999999</v>
      </c>
      <c r="DF386" s="34">
        <v>2179.364</v>
      </c>
      <c r="DG386" s="34">
        <v>2431.12</v>
      </c>
      <c r="DH386" s="34">
        <v>1574.056</v>
      </c>
      <c r="DI386" s="34">
        <v>9376.6859999999997</v>
      </c>
      <c r="DJ386" s="34">
        <v>100.2362</v>
      </c>
      <c r="DK386" s="34">
        <v>100.2756</v>
      </c>
      <c r="DL386" s="34">
        <v>100.02</v>
      </c>
      <c r="DM386" s="34">
        <v>100.02719999999999</v>
      </c>
      <c r="DN386" s="34">
        <v>102.2961</v>
      </c>
      <c r="DO386" s="34">
        <v>102.6709</v>
      </c>
      <c r="DP386" s="34">
        <v>101.0518</v>
      </c>
      <c r="DQ386" s="34">
        <v>101.1567</v>
      </c>
      <c r="DR386" s="34">
        <v>762378</v>
      </c>
      <c r="DS386" s="73">
        <v>34096</v>
      </c>
      <c r="DT386" s="73">
        <v>104.1</v>
      </c>
      <c r="DU386" s="56">
        <v>198.51043701171875</v>
      </c>
      <c r="DV386" s="56">
        <v>304.22576904296875</v>
      </c>
      <c r="DW386">
        <v>5202</v>
      </c>
      <c r="DX386">
        <v>216725</v>
      </c>
      <c r="DY386">
        <v>98.9</v>
      </c>
      <c r="DZ386" s="33" t="s">
        <v>312</v>
      </c>
    </row>
    <row r="387" spans="1:130" x14ac:dyDescent="0.25">
      <c r="A387" s="1">
        <v>44501</v>
      </c>
      <c r="B387" s="34">
        <v>99.8</v>
      </c>
      <c r="C387" s="45">
        <v>-0.57899999999999996</v>
      </c>
      <c r="D387" s="99">
        <v>0</v>
      </c>
      <c r="E387" s="34">
        <v>-0.55000000000000004</v>
      </c>
      <c r="F387" s="34">
        <v>-0.64</v>
      </c>
      <c r="G387" s="34">
        <v>-0.5</v>
      </c>
      <c r="H387" s="34">
        <v>-0.31</v>
      </c>
      <c r="I387" s="34">
        <f t="shared" si="121"/>
        <v>0.26899999999999996</v>
      </c>
      <c r="J387" s="34">
        <f t="shared" si="122"/>
        <v>-0.31</v>
      </c>
      <c r="K387" s="34">
        <f t="shared" si="123"/>
        <v>0.24000000000000005</v>
      </c>
      <c r="L387" s="34">
        <f t="shared" si="124"/>
        <v>0.57899999999999996</v>
      </c>
      <c r="M387" s="34">
        <v>96.1</v>
      </c>
      <c r="N387" s="34">
        <v>15806.29</v>
      </c>
      <c r="O387" s="34">
        <v>24.17</v>
      </c>
      <c r="P387" s="64">
        <v>2840.6</v>
      </c>
      <c r="Q387" s="34">
        <f t="shared" si="92"/>
        <v>27.418918918918919</v>
      </c>
      <c r="R387" s="34">
        <v>3599.2</v>
      </c>
      <c r="S387" s="34">
        <f t="shared" si="93"/>
        <v>3474.131274131274</v>
      </c>
      <c r="T387" s="34">
        <v>3628.9</v>
      </c>
      <c r="U387" s="34">
        <f t="shared" si="94"/>
        <v>3502.7992277992284</v>
      </c>
      <c r="V387" s="118">
        <v>233378</v>
      </c>
      <c r="W387" s="118">
        <v>11190661</v>
      </c>
      <c r="X387" s="119">
        <v>14613640</v>
      </c>
      <c r="Y387" s="119">
        <v>801436</v>
      </c>
      <c r="Z387" s="34">
        <v>98.8</v>
      </c>
      <c r="AA387" s="34">
        <v>98.3</v>
      </c>
      <c r="AB387" s="34">
        <v>102</v>
      </c>
      <c r="AC387" s="34">
        <v>97.8</v>
      </c>
      <c r="AD387" s="34">
        <v>45289</v>
      </c>
      <c r="AE387" s="34">
        <v>5.2</v>
      </c>
      <c r="AF387" s="34">
        <v>805</v>
      </c>
      <c r="AG387" s="34">
        <v>104.7</v>
      </c>
      <c r="AH387" s="34">
        <v>103.6</v>
      </c>
      <c r="AI387" s="64">
        <v>108.4</v>
      </c>
      <c r="AJ387" s="64">
        <v>102.9</v>
      </c>
      <c r="AK387" s="64">
        <v>208.59535199999999</v>
      </c>
      <c r="AL387" s="64">
        <v>144.69999999999999</v>
      </c>
      <c r="AM387" s="34">
        <v>144.22</v>
      </c>
      <c r="AN387" s="33">
        <v>283.54000000000002</v>
      </c>
      <c r="AO387" s="33">
        <v>144.65</v>
      </c>
      <c r="AP387" s="33">
        <v>70.900000000000006</v>
      </c>
      <c r="AQ387" s="34">
        <f t="shared" si="104"/>
        <v>0.65405904059040587</v>
      </c>
      <c r="AR387" s="34">
        <v>101.4</v>
      </c>
      <c r="AS387" s="34">
        <v>97.6</v>
      </c>
      <c r="AT387" s="34">
        <v>105.4</v>
      </c>
      <c r="AU387" s="34">
        <v>102</v>
      </c>
      <c r="AV387" s="34">
        <v>100.6</v>
      </c>
      <c r="AW387" s="34">
        <v>103.4</v>
      </c>
      <c r="AX387" s="34">
        <v>29</v>
      </c>
      <c r="AY387" s="34">
        <v>40.6</v>
      </c>
      <c r="AZ387" s="34">
        <v>18.5</v>
      </c>
      <c r="BA387" s="34">
        <v>17.100000000000001</v>
      </c>
      <c r="BB387" s="34">
        <v>99.3</v>
      </c>
      <c r="BC387" s="34">
        <v>91.6</v>
      </c>
      <c r="BD387" s="34">
        <v>107.7</v>
      </c>
      <c r="BE387" s="34">
        <v>12.5</v>
      </c>
      <c r="BF387" s="34">
        <v>31.7</v>
      </c>
      <c r="BG387" s="34">
        <v>31</v>
      </c>
      <c r="BH387" s="34">
        <v>138</v>
      </c>
      <c r="BI387" s="34">
        <v>10.8</v>
      </c>
      <c r="BJ387" s="34">
        <v>57.4</v>
      </c>
      <c r="BK387" s="34">
        <v>72.800047526545299</v>
      </c>
      <c r="BL387" s="34">
        <v>0.16</v>
      </c>
      <c r="BM387" s="34">
        <v>102.4789</v>
      </c>
      <c r="BN387" s="34">
        <v>102.1311</v>
      </c>
      <c r="BO387" s="34">
        <v>26.9</v>
      </c>
      <c r="BP387" s="34">
        <v>18</v>
      </c>
      <c r="BQ387" s="34">
        <v>-11.7</v>
      </c>
      <c r="BR387" s="34">
        <v>23.3</v>
      </c>
      <c r="BS387" s="34">
        <v>55.9</v>
      </c>
      <c r="BT387" s="34">
        <v>15.7</v>
      </c>
      <c r="BU387" s="34">
        <v>20.6</v>
      </c>
      <c r="BV387" s="34">
        <v>19.8</v>
      </c>
      <c r="BW387" s="34">
        <v>-4.4000000000000004</v>
      </c>
      <c r="BX387" s="34">
        <v>4.5</v>
      </c>
      <c r="BY387" s="34">
        <v>12.1</v>
      </c>
      <c r="BZ387" s="34">
        <v>116.1</v>
      </c>
      <c r="CA387" s="34">
        <v>-4.4000000000000004</v>
      </c>
      <c r="CB387" s="34">
        <v>-0.3</v>
      </c>
      <c r="CC387" s="34">
        <v>1.7</v>
      </c>
      <c r="CD387" s="34">
        <v>-24</v>
      </c>
      <c r="CE387" s="34">
        <v>-10.3</v>
      </c>
      <c r="CF387" s="34">
        <v>58.5</v>
      </c>
      <c r="CG387" s="34">
        <v>47.7</v>
      </c>
      <c r="CH387" s="34">
        <v>15.2</v>
      </c>
      <c r="CI387" s="34">
        <v>-11.6</v>
      </c>
      <c r="CJ387" s="34">
        <v>-8.5</v>
      </c>
      <c r="CK387" s="34">
        <v>13.8</v>
      </c>
      <c r="CL387" s="34">
        <v>28.4</v>
      </c>
      <c r="CM387" s="34">
        <v>4306.3552730000001</v>
      </c>
      <c r="CN387" s="34">
        <v>35913.839999999997</v>
      </c>
      <c r="CO387" s="34">
        <v>4668.9354549999998</v>
      </c>
      <c r="CP387" s="34">
        <v>1.0620000000000001</v>
      </c>
      <c r="CQ387" s="34">
        <v>1.58</v>
      </c>
      <c r="CR387" s="34">
        <v>63.5</v>
      </c>
      <c r="CS387" s="64">
        <v>49.76</v>
      </c>
      <c r="CT387" s="34">
        <v>116.8</v>
      </c>
      <c r="CU387" s="34">
        <v>109.4</v>
      </c>
      <c r="CV387" s="34">
        <v>104.9</v>
      </c>
      <c r="CW387" s="34">
        <v>93.9</v>
      </c>
      <c r="CX387" s="34">
        <v>114.1</v>
      </c>
      <c r="CY387" s="34">
        <v>10.33</v>
      </c>
      <c r="CZ387" s="34">
        <v>67452.153000000006</v>
      </c>
      <c r="DA387" s="34">
        <v>6.14</v>
      </c>
      <c r="DB387" s="34">
        <v>39.5</v>
      </c>
      <c r="DC387" s="34">
        <v>63.94</v>
      </c>
      <c r="DD387" s="34">
        <v>17.29</v>
      </c>
      <c r="DE387" s="34">
        <v>20170.277999999998</v>
      </c>
      <c r="DF387" s="34">
        <v>2269.2750000000001</v>
      </c>
      <c r="DG387" s="34">
        <v>2596.355</v>
      </c>
      <c r="DH387" s="34">
        <v>1693.848</v>
      </c>
      <c r="DI387" s="34">
        <v>8913.6029999999992</v>
      </c>
      <c r="DJ387" s="34">
        <v>100.129</v>
      </c>
      <c r="DK387" s="34">
        <v>100.1412</v>
      </c>
      <c r="DL387" s="34">
        <v>99.84</v>
      </c>
      <c r="DM387" s="34">
        <v>99.795599999999993</v>
      </c>
      <c r="DN387" s="34">
        <v>102.1311</v>
      </c>
      <c r="DO387" s="34">
        <v>102.4789</v>
      </c>
      <c r="DP387" s="34">
        <v>101.0287</v>
      </c>
      <c r="DQ387" s="34">
        <v>101.13120000000001</v>
      </c>
      <c r="DR387" s="34">
        <v>750167</v>
      </c>
      <c r="DS387" s="73">
        <v>34185</v>
      </c>
      <c r="DT387" s="73">
        <v>103.9</v>
      </c>
      <c r="DU387" s="56">
        <v>246.60824584960938</v>
      </c>
      <c r="DV387" s="56">
        <v>395.57162475585938</v>
      </c>
      <c r="DW387">
        <v>3428</v>
      </c>
      <c r="DX387">
        <v>123925</v>
      </c>
      <c r="DY387">
        <v>99.4</v>
      </c>
      <c r="DZ387" s="33" t="s">
        <v>312</v>
      </c>
    </row>
    <row r="388" spans="1:130" s="56" customFormat="1" x14ac:dyDescent="0.25">
      <c r="A388" s="53">
        <v>44531</v>
      </c>
      <c r="B388" s="54">
        <v>100.5</v>
      </c>
      <c r="C388" s="55">
        <v>-0.57399999999999995</v>
      </c>
      <c r="D388" s="98">
        <v>0</v>
      </c>
      <c r="E388" s="54">
        <v>-0.56999999999999995</v>
      </c>
      <c r="F388" s="54">
        <v>-0.64</v>
      </c>
      <c r="G388" s="54">
        <v>-0.54</v>
      </c>
      <c r="H388" s="54">
        <v>-0.38</v>
      </c>
      <c r="I388" s="54">
        <f t="shared" ref="I388:I393" si="125">IF(ISNUMBER(C388),IF(ISNUMBER(H388),H388-C388,""),"")</f>
        <v>0.19399999999999995</v>
      </c>
      <c r="J388" s="54">
        <f t="shared" ref="J388:J393" si="126">IF(ISNUMBER(D388),IF(ISNUMBER(H388),H388-D388,""),"")</f>
        <v>-0.38</v>
      </c>
      <c r="K388" s="54">
        <f t="shared" ref="K388:K393" si="127">IF(ISNUMBER(H388),IF(ISNUMBER(E388),H388-E388,""),"")</f>
        <v>0.18999999999999995</v>
      </c>
      <c r="L388" s="54">
        <f t="shared" ref="L388:L393" si="128">IF(ISNUMBER(D388),IF(ISNUMBER(C388),D388-C388,""),"")</f>
        <v>0.57399999999999995</v>
      </c>
      <c r="M388" s="54">
        <v>95.7</v>
      </c>
      <c r="N388" s="54">
        <v>15472.67</v>
      </c>
      <c r="O388" s="54">
        <v>17.350000000000001</v>
      </c>
      <c r="P388" s="64">
        <v>2844.1</v>
      </c>
      <c r="Q388" s="34">
        <f t="shared" si="92"/>
        <v>27.347115384615385</v>
      </c>
      <c r="R388" s="34">
        <v>3613.2</v>
      </c>
      <c r="S388" s="34">
        <f t="shared" si="93"/>
        <v>3474.2307692307691</v>
      </c>
      <c r="T388" s="34">
        <v>3644.4</v>
      </c>
      <c r="U388" s="34">
        <f t="shared" si="94"/>
        <v>3504.2307692307695</v>
      </c>
      <c r="V388" s="118">
        <v>238606</v>
      </c>
      <c r="W388" s="118">
        <v>11299553</v>
      </c>
      <c r="X388" s="119">
        <v>14712456</v>
      </c>
      <c r="Y388" s="119">
        <v>786930</v>
      </c>
      <c r="Z388" s="54">
        <v>99.9</v>
      </c>
      <c r="AA388" s="54">
        <v>100.6</v>
      </c>
      <c r="AB388" s="54">
        <v>105</v>
      </c>
      <c r="AC388" s="54">
        <v>100.8</v>
      </c>
      <c r="AD388" s="54">
        <v>45345</v>
      </c>
      <c r="AE388" s="54">
        <v>5.2</v>
      </c>
      <c r="AF388" s="54">
        <v>818</v>
      </c>
      <c r="AG388" s="54">
        <v>104.9</v>
      </c>
      <c r="AH388" s="54">
        <v>104</v>
      </c>
      <c r="AI388" s="64">
        <v>109.8</v>
      </c>
      <c r="AJ388" s="64">
        <v>103.8</v>
      </c>
      <c r="AK388" s="64">
        <v>215.82196999999999</v>
      </c>
      <c r="AL388" s="64">
        <v>97</v>
      </c>
      <c r="AM388" s="54">
        <v>147.66</v>
      </c>
      <c r="AN388" s="33">
        <v>306.83</v>
      </c>
      <c r="AO388" s="33">
        <v>147.56</v>
      </c>
      <c r="AP388" s="33">
        <v>66.08</v>
      </c>
      <c r="AQ388" s="54">
        <f t="shared" ref="AQ388:AQ410" si="129">IF(ISNUMBER(AP388),IF(ISNUMBER($AI388),AP388/$AI388,""),"")</f>
        <v>0.60182149362477233</v>
      </c>
      <c r="AR388" s="54">
        <v>100.2</v>
      </c>
      <c r="AS388" s="54">
        <v>96.7</v>
      </c>
      <c r="AT388" s="54">
        <v>103.8</v>
      </c>
      <c r="AU388" s="54">
        <v>102.1</v>
      </c>
      <c r="AV388" s="54">
        <v>100.9</v>
      </c>
      <c r="AW388" s="54">
        <v>103.2</v>
      </c>
      <c r="AX388" s="54">
        <v>24.1</v>
      </c>
      <c r="AY388" s="54">
        <v>44.3</v>
      </c>
      <c r="AZ388" s="54">
        <v>19.100000000000001</v>
      </c>
      <c r="BA388" s="54">
        <v>22.7</v>
      </c>
      <c r="BB388" s="54">
        <v>98</v>
      </c>
      <c r="BC388" s="54">
        <v>89.8</v>
      </c>
      <c r="BD388" s="54">
        <v>107</v>
      </c>
      <c r="BE388" s="54">
        <v>-7.4</v>
      </c>
      <c r="BF388" s="54">
        <v>29.9</v>
      </c>
      <c r="BG388" s="54">
        <v>17.100000000000001</v>
      </c>
      <c r="BH388" s="54">
        <v>134.69999999999999</v>
      </c>
      <c r="BI388" s="54">
        <v>30.6</v>
      </c>
      <c r="BJ388" s="34">
        <v>57.4</v>
      </c>
      <c r="BK388" s="54">
        <v>79.575403195584428</v>
      </c>
      <c r="BL388" s="54">
        <v>0.21</v>
      </c>
      <c r="BM388" s="54">
        <v>102.2557</v>
      </c>
      <c r="BN388" s="54">
        <v>101.93940000000001</v>
      </c>
      <c r="BO388" s="54">
        <v>29</v>
      </c>
      <c r="BP388" s="54">
        <v>20.3</v>
      </c>
      <c r="BQ388" s="54">
        <v>-15.2</v>
      </c>
      <c r="BR388" s="54">
        <v>26.2</v>
      </c>
      <c r="BS388" s="54">
        <v>56.3</v>
      </c>
      <c r="BT388" s="54">
        <v>18.7</v>
      </c>
      <c r="BU388" s="54">
        <v>23.5</v>
      </c>
      <c r="BV388" s="54">
        <v>8.5</v>
      </c>
      <c r="BW388" s="54">
        <v>-6.4</v>
      </c>
      <c r="BX388" s="54">
        <v>-5.4</v>
      </c>
      <c r="BY388" s="54">
        <v>11.2</v>
      </c>
      <c r="BZ388" s="54">
        <v>112.8</v>
      </c>
      <c r="CA388" s="54">
        <v>-6.4</v>
      </c>
      <c r="CB388" s="54">
        <v>-0.3</v>
      </c>
      <c r="CC388" s="54">
        <v>0.3</v>
      </c>
      <c r="CD388" s="54">
        <v>-30.7</v>
      </c>
      <c r="CE388" s="54">
        <v>-14.3</v>
      </c>
      <c r="CF388" s="54">
        <v>59</v>
      </c>
      <c r="CG388" s="54">
        <v>40.5</v>
      </c>
      <c r="CH388" s="54">
        <v>17.399999999999999</v>
      </c>
      <c r="CI388" s="54">
        <v>-16.3</v>
      </c>
      <c r="CJ388" s="54">
        <v>-11.2</v>
      </c>
      <c r="CK388" s="54">
        <v>14.6</v>
      </c>
      <c r="CL388" s="54">
        <v>28.8</v>
      </c>
      <c r="CM388" s="54">
        <v>4207.8639999999996</v>
      </c>
      <c r="CN388" s="54">
        <v>34022.04</v>
      </c>
      <c r="CO388" s="54">
        <v>4676.9908699999996</v>
      </c>
      <c r="CP388" s="54">
        <v>0.82199999999999995</v>
      </c>
      <c r="CQ388" s="54">
        <v>1.43</v>
      </c>
      <c r="CR388" s="54">
        <v>68.3</v>
      </c>
      <c r="CS388" s="64">
        <v>52.08</v>
      </c>
      <c r="CT388" s="54">
        <v>114.1</v>
      </c>
      <c r="CU388" s="54">
        <v>108.1</v>
      </c>
      <c r="CV388" s="54">
        <v>104.7</v>
      </c>
      <c r="CW388" s="54">
        <v>95.2</v>
      </c>
      <c r="CX388" s="54">
        <v>108.7</v>
      </c>
      <c r="CY388" s="54">
        <v>10.95</v>
      </c>
      <c r="CZ388" s="54">
        <v>62136.642999999996</v>
      </c>
      <c r="DA388" s="54">
        <v>6.42</v>
      </c>
      <c r="DB388" s="54">
        <v>40.14</v>
      </c>
      <c r="DC388" s="54">
        <v>67.33</v>
      </c>
      <c r="DD388" s="54">
        <v>17.010000000000002</v>
      </c>
      <c r="DE388" s="54">
        <v>20136.706999999999</v>
      </c>
      <c r="DF388" s="54">
        <v>2778.0149999999999</v>
      </c>
      <c r="DG388" s="54">
        <v>2059.9870000000001</v>
      </c>
      <c r="DH388" s="54">
        <v>1504.077</v>
      </c>
      <c r="DI388" s="54">
        <v>8422.0849999999991</v>
      </c>
      <c r="DJ388" s="54">
        <v>100.0252</v>
      </c>
      <c r="DK388" s="54">
        <v>100.00920000000001</v>
      </c>
      <c r="DL388" s="54">
        <v>99.67</v>
      </c>
      <c r="DM388" s="54">
        <v>99.578999999999994</v>
      </c>
      <c r="DN388" s="54">
        <v>101.93940000000001</v>
      </c>
      <c r="DO388" s="54">
        <v>102.2557</v>
      </c>
      <c r="DP388" s="54">
        <v>100.9847</v>
      </c>
      <c r="DQ388" s="54">
        <v>101.08280000000001</v>
      </c>
      <c r="DR388" s="54">
        <v>772383</v>
      </c>
      <c r="DS388" s="96">
        <v>34253</v>
      </c>
      <c r="DT388" s="96">
        <v>103.1</v>
      </c>
      <c r="DU388" s="56">
        <v>298.15951538085938</v>
      </c>
      <c r="DV388" s="56">
        <v>597.93621826171875</v>
      </c>
      <c r="DW388" s="56">
        <v>3047</v>
      </c>
      <c r="DX388" s="56">
        <v>78225</v>
      </c>
      <c r="DY388" s="56">
        <v>102</v>
      </c>
      <c r="DZ388" s="60" t="s">
        <v>312</v>
      </c>
    </row>
    <row r="389" spans="1:130" x14ac:dyDescent="0.25">
      <c r="A389" s="1">
        <v>44562</v>
      </c>
      <c r="B389" s="34">
        <v>100.6</v>
      </c>
      <c r="C389" s="45">
        <v>-0.57799999999999996</v>
      </c>
      <c r="D389" s="99">
        <v>0</v>
      </c>
      <c r="E389" s="34">
        <v>-0.56999999999999995</v>
      </c>
      <c r="F389" s="34">
        <v>-0.46</v>
      </c>
      <c r="G389" s="34">
        <v>-0.32</v>
      </c>
      <c r="H389" s="34">
        <v>-0.12</v>
      </c>
      <c r="I389" s="34">
        <f t="shared" si="125"/>
        <v>0.45799999999999996</v>
      </c>
      <c r="J389" s="34">
        <f t="shared" si="126"/>
        <v>-0.12</v>
      </c>
      <c r="K389" s="34">
        <f t="shared" si="127"/>
        <v>0.44999999999999996</v>
      </c>
      <c r="L389" s="34">
        <f t="shared" si="128"/>
        <v>0.57799999999999996</v>
      </c>
      <c r="M389" s="34">
        <v>96</v>
      </c>
      <c r="N389" s="34">
        <v>16020.73</v>
      </c>
      <c r="O389" s="34">
        <v>23.24</v>
      </c>
      <c r="P389" s="64">
        <v>2880.5</v>
      </c>
      <c r="Q389" s="34">
        <f t="shared" si="92"/>
        <v>27.643953934740882</v>
      </c>
      <c r="R389" s="34">
        <v>3654.7</v>
      </c>
      <c r="S389" s="34">
        <f t="shared" si="93"/>
        <v>3507.3896353166988</v>
      </c>
      <c r="T389" s="34">
        <v>3683.1</v>
      </c>
      <c r="U389" s="34">
        <f t="shared" si="94"/>
        <v>3534.6449136276392</v>
      </c>
      <c r="V389" s="118">
        <v>247221</v>
      </c>
      <c r="W389" s="118">
        <v>11388865</v>
      </c>
      <c r="X389" s="119">
        <v>14830551</v>
      </c>
      <c r="Y389" s="119">
        <v>772200</v>
      </c>
      <c r="Z389" s="34">
        <v>100.8</v>
      </c>
      <c r="AA389" s="34">
        <v>104.1</v>
      </c>
      <c r="AB389" s="34">
        <v>103.5</v>
      </c>
      <c r="AC389" s="34">
        <v>107.4</v>
      </c>
      <c r="AD389" s="34">
        <v>45429</v>
      </c>
      <c r="AE389" s="34">
        <v>5.0999999999999996</v>
      </c>
      <c r="AF389" s="34">
        <v>833</v>
      </c>
      <c r="AG389" s="34">
        <v>105.6</v>
      </c>
      <c r="AH389" s="34">
        <v>104.2</v>
      </c>
      <c r="AI389" s="64">
        <v>112.8</v>
      </c>
      <c r="AJ389" s="64">
        <v>105.3</v>
      </c>
      <c r="AK389" s="64">
        <v>224.025158</v>
      </c>
      <c r="AL389" s="64">
        <v>95.9</v>
      </c>
      <c r="AM389" s="34">
        <v>159.47999999999999</v>
      </c>
      <c r="AN389" s="33">
        <v>294.95</v>
      </c>
      <c r="AO389" s="33">
        <v>156.86000000000001</v>
      </c>
      <c r="AP389" s="33">
        <v>75.650000000000006</v>
      </c>
      <c r="AQ389" s="34">
        <f t="shared" si="129"/>
        <v>0.67065602836879434</v>
      </c>
      <c r="AR389" s="34">
        <v>101.2</v>
      </c>
      <c r="AS389" s="34">
        <v>98</v>
      </c>
      <c r="AT389" s="34">
        <v>104.5</v>
      </c>
      <c r="AU389" s="34">
        <v>102.6</v>
      </c>
      <c r="AV389" s="34">
        <v>101.4</v>
      </c>
      <c r="AW389" s="34">
        <v>103.8</v>
      </c>
      <c r="AX389" s="34">
        <v>25.1</v>
      </c>
      <c r="AY389" s="34">
        <v>33.700000000000003</v>
      </c>
      <c r="AZ389" s="34">
        <v>21.2</v>
      </c>
      <c r="BA389" s="34">
        <v>24.9</v>
      </c>
      <c r="BB389" s="34">
        <v>97.7</v>
      </c>
      <c r="BC389" s="34">
        <v>91.3</v>
      </c>
      <c r="BD389" s="34">
        <v>104.5</v>
      </c>
      <c r="BE389" s="34">
        <v>-10.199999999999999</v>
      </c>
      <c r="BF389" s="34">
        <v>51.7</v>
      </c>
      <c r="BG389" s="34">
        <v>22.8</v>
      </c>
      <c r="BH389" s="34">
        <v>131.5</v>
      </c>
      <c r="BI389" s="34">
        <v>40</v>
      </c>
      <c r="BJ389" s="34">
        <v>59.8</v>
      </c>
      <c r="BK389" s="34">
        <v>76.171874552929907</v>
      </c>
      <c r="BL389" s="34">
        <v>0.01</v>
      </c>
      <c r="BM389" s="34">
        <v>101.99760000000001</v>
      </c>
      <c r="BN389" s="34">
        <v>101.71769999999999</v>
      </c>
      <c r="BO389" s="34">
        <v>28.3</v>
      </c>
      <c r="BP389" s="34">
        <v>18.899999999999999</v>
      </c>
      <c r="BQ389" s="34">
        <v>-13.4</v>
      </c>
      <c r="BR389" s="34">
        <v>25.9</v>
      </c>
      <c r="BS389" s="34">
        <v>56</v>
      </c>
      <c r="BT389" s="34">
        <v>19.3</v>
      </c>
      <c r="BU389" s="34">
        <v>22.5</v>
      </c>
      <c r="BV389" s="34">
        <v>8.6999999999999993</v>
      </c>
      <c r="BW389" s="34">
        <v>-4.9000000000000004</v>
      </c>
      <c r="BX389" s="34">
        <v>-1.8</v>
      </c>
      <c r="BY389" s="34">
        <v>9.4</v>
      </c>
      <c r="BZ389" s="34">
        <v>113.1</v>
      </c>
      <c r="CA389" s="34">
        <v>-4.9000000000000004</v>
      </c>
      <c r="CB389" s="34">
        <v>1.6</v>
      </c>
      <c r="CC389" s="34">
        <v>2.1</v>
      </c>
      <c r="CD389" s="34">
        <v>-30.2</v>
      </c>
      <c r="CE389" s="34">
        <v>-13.5</v>
      </c>
      <c r="CF389" s="34">
        <v>62.1</v>
      </c>
      <c r="CG389" s="34">
        <v>45</v>
      </c>
      <c r="CH389" s="34">
        <v>18.600000000000001</v>
      </c>
      <c r="CI389" s="34">
        <v>-15.7</v>
      </c>
      <c r="CJ389" s="34">
        <v>-9.6</v>
      </c>
      <c r="CK389" s="34">
        <v>15.8</v>
      </c>
      <c r="CL389" s="34">
        <v>31.8</v>
      </c>
      <c r="CM389" s="34">
        <v>4252.3260479999999</v>
      </c>
      <c r="CN389" s="34">
        <v>36585.050000000003</v>
      </c>
      <c r="CO389" s="34">
        <v>4573.8154999999997</v>
      </c>
      <c r="CP389" s="34">
        <v>0.97299999999999998</v>
      </c>
      <c r="CQ389" s="34">
        <v>1.63</v>
      </c>
      <c r="CR389" s="34">
        <v>64.099999999999994</v>
      </c>
      <c r="CS389" s="64">
        <v>51.85</v>
      </c>
      <c r="CT389" s="34">
        <v>111.6</v>
      </c>
      <c r="CU389" s="34">
        <v>108.9</v>
      </c>
      <c r="CV389" s="34">
        <v>100.8</v>
      </c>
      <c r="CW389" s="34">
        <v>96.6</v>
      </c>
      <c r="CX389" s="34">
        <v>110.8</v>
      </c>
      <c r="CY389" s="34">
        <v>11.28</v>
      </c>
      <c r="CZ389" s="34">
        <v>65971.86</v>
      </c>
      <c r="DA389" s="34">
        <v>6.61</v>
      </c>
      <c r="DB389" s="34">
        <v>39.75</v>
      </c>
      <c r="DC389" s="34">
        <v>68.209999999999994</v>
      </c>
      <c r="DD389" s="34">
        <v>17.8</v>
      </c>
      <c r="DE389" s="34">
        <v>17475.525000000001</v>
      </c>
      <c r="DF389" s="34">
        <v>1949.41</v>
      </c>
      <c r="DG389" s="34">
        <v>2131.9920000000002</v>
      </c>
      <c r="DH389" s="34">
        <v>1557.201</v>
      </c>
      <c r="DI389" s="34">
        <v>7916.3249999999998</v>
      </c>
      <c r="DJ389" s="34">
        <v>99.905000000000001</v>
      </c>
      <c r="DK389" s="34">
        <v>99.855800000000002</v>
      </c>
      <c r="DL389" s="34">
        <v>99.47</v>
      </c>
      <c r="DM389" s="34">
        <v>99.3322</v>
      </c>
      <c r="DN389" s="34">
        <v>101.71769999999999</v>
      </c>
      <c r="DO389" s="34">
        <v>101.99760000000001</v>
      </c>
      <c r="DP389" s="34">
        <v>100.898</v>
      </c>
      <c r="DQ389" s="34">
        <v>100.98739999999999</v>
      </c>
      <c r="DR389" s="34">
        <v>846877</v>
      </c>
      <c r="DS389" s="73">
        <v>34328</v>
      </c>
      <c r="DT389" s="73">
        <v>102.6</v>
      </c>
      <c r="DU389" s="56">
        <v>264.63418579101563</v>
      </c>
      <c r="DV389" s="56">
        <v>478.20452880859375</v>
      </c>
      <c r="DW389">
        <v>2217</v>
      </c>
      <c r="DX389">
        <v>88725</v>
      </c>
      <c r="DY389">
        <v>100.2</v>
      </c>
      <c r="DZ389" s="33" t="s">
        <v>312</v>
      </c>
    </row>
    <row r="390" spans="1:130" x14ac:dyDescent="0.25">
      <c r="A390" s="1">
        <v>44593</v>
      </c>
      <c r="B390" s="34">
        <v>100.7</v>
      </c>
      <c r="C390" s="45">
        <v>-0.57799999999999996</v>
      </c>
      <c r="D390" s="99">
        <v>0</v>
      </c>
      <c r="E390" s="34">
        <v>-0.56000000000000005</v>
      </c>
      <c r="F390" s="34">
        <v>-0.16</v>
      </c>
      <c r="G390" s="34">
        <v>-0.01</v>
      </c>
      <c r="H390" s="34">
        <v>0.15</v>
      </c>
      <c r="I390" s="34">
        <f t="shared" si="125"/>
        <v>0.72799999999999998</v>
      </c>
      <c r="J390" s="34">
        <f t="shared" si="126"/>
        <v>0.15</v>
      </c>
      <c r="K390" s="34">
        <f t="shared" si="127"/>
        <v>0.71000000000000008</v>
      </c>
      <c r="L390" s="34">
        <f t="shared" si="128"/>
        <v>0.57799999999999996</v>
      </c>
      <c r="M390" s="34">
        <v>96.1</v>
      </c>
      <c r="N390" s="34">
        <v>15619.39</v>
      </c>
      <c r="O390" s="34">
        <v>39.04</v>
      </c>
      <c r="P390" s="64">
        <v>2907.4</v>
      </c>
      <c r="Q390" s="34">
        <f t="shared" si="92"/>
        <v>27.82200956937799</v>
      </c>
      <c r="R390" s="34">
        <v>3683.2</v>
      </c>
      <c r="S390" s="34">
        <f t="shared" si="93"/>
        <v>3524.5933014354064</v>
      </c>
      <c r="T390" s="34">
        <v>3713.1</v>
      </c>
      <c r="U390" s="34">
        <f t="shared" si="94"/>
        <v>3553.205741626794</v>
      </c>
      <c r="V390" s="118">
        <v>249883</v>
      </c>
      <c r="W390" s="118">
        <v>11474822</v>
      </c>
      <c r="X390" s="119">
        <v>14912730</v>
      </c>
      <c r="Y390" s="119">
        <v>751250</v>
      </c>
      <c r="Z390" s="34">
        <v>99.8</v>
      </c>
      <c r="AA390" s="34">
        <v>101.2</v>
      </c>
      <c r="AB390" s="34">
        <v>102.5</v>
      </c>
      <c r="AC390" s="34">
        <v>104</v>
      </c>
      <c r="AD390" s="34">
        <v>45472</v>
      </c>
      <c r="AE390" s="34">
        <v>5.0999999999999996</v>
      </c>
      <c r="AF390" s="34">
        <v>845</v>
      </c>
      <c r="AG390" s="34">
        <v>106.2</v>
      </c>
      <c r="AH390" s="34">
        <v>104.5</v>
      </c>
      <c r="AI390" s="64">
        <v>113.6</v>
      </c>
      <c r="AJ390" s="64">
        <v>106.8</v>
      </c>
      <c r="AK390" s="64">
        <v>227.150182</v>
      </c>
      <c r="AL390" s="64">
        <v>97.7</v>
      </c>
      <c r="AM390" s="34">
        <v>168.2</v>
      </c>
      <c r="AN390" s="33">
        <v>310.19</v>
      </c>
      <c r="AO390" s="33">
        <v>166.07</v>
      </c>
      <c r="AP390" s="33">
        <v>83.11</v>
      </c>
      <c r="AQ390" s="34">
        <f t="shared" si="129"/>
        <v>0.73160211267605635</v>
      </c>
      <c r="AR390" s="34">
        <v>102.7</v>
      </c>
      <c r="AS390" s="34">
        <v>99.4</v>
      </c>
      <c r="AT390" s="34">
        <v>106.1</v>
      </c>
      <c r="AU390" s="34">
        <v>103.8</v>
      </c>
      <c r="AV390" s="34">
        <v>102</v>
      </c>
      <c r="AW390" s="34">
        <v>105.7</v>
      </c>
      <c r="AX390" s="34">
        <v>26.2</v>
      </c>
      <c r="AY390" s="34">
        <v>30.2</v>
      </c>
      <c r="AZ390" s="34">
        <v>25.1</v>
      </c>
      <c r="BA390" s="34">
        <v>26</v>
      </c>
      <c r="BB390" s="34">
        <v>101.9</v>
      </c>
      <c r="BC390" s="34">
        <v>95.7</v>
      </c>
      <c r="BD390" s="34">
        <v>108.5</v>
      </c>
      <c r="BE390" s="34">
        <v>-8.1</v>
      </c>
      <c r="BF390" s="34">
        <v>54.3</v>
      </c>
      <c r="BG390" s="34">
        <v>24.1</v>
      </c>
      <c r="BH390" s="34">
        <v>127</v>
      </c>
      <c r="BI390" s="34">
        <v>39.4</v>
      </c>
      <c r="BJ390" s="34">
        <v>58.4</v>
      </c>
      <c r="BK390" s="34">
        <v>75.907262818936275</v>
      </c>
      <c r="BL390" s="34">
        <v>0.59</v>
      </c>
      <c r="BM390" s="34">
        <v>101.68049999999999</v>
      </c>
      <c r="BN390" s="34">
        <v>101.4452</v>
      </c>
      <c r="BO390" s="34">
        <v>27.9</v>
      </c>
      <c r="BP390" s="34">
        <v>19.2</v>
      </c>
      <c r="BQ390" s="34">
        <v>-13.8</v>
      </c>
      <c r="BR390" s="34">
        <v>25.3</v>
      </c>
      <c r="BS390" s="34">
        <v>57.5</v>
      </c>
      <c r="BT390" s="34">
        <v>21.4</v>
      </c>
      <c r="BU390" s="34">
        <v>22.3</v>
      </c>
      <c r="BV390" s="34">
        <v>16</v>
      </c>
      <c r="BW390" s="34">
        <v>-6.3</v>
      </c>
      <c r="BX390" s="34">
        <v>-0.3</v>
      </c>
      <c r="BY390" s="34">
        <v>12.5</v>
      </c>
      <c r="BZ390" s="34">
        <v>115.1</v>
      </c>
      <c r="CA390" s="34">
        <v>-6.3</v>
      </c>
      <c r="CB390" s="34">
        <v>-1.5</v>
      </c>
      <c r="CC390" s="34">
        <v>0.2</v>
      </c>
      <c r="CD390" s="34">
        <v>-28.4</v>
      </c>
      <c r="CE390" s="34">
        <v>-14</v>
      </c>
      <c r="CF390" s="34">
        <v>63.6</v>
      </c>
      <c r="CG390" s="34">
        <v>42.5</v>
      </c>
      <c r="CH390" s="34">
        <v>19.7</v>
      </c>
      <c r="CI390" s="34">
        <v>-18.2</v>
      </c>
      <c r="CJ390" s="34">
        <v>-9.6999999999999993</v>
      </c>
      <c r="CK390" s="34">
        <v>13.7</v>
      </c>
      <c r="CL390" s="34">
        <v>27.7</v>
      </c>
      <c r="CM390" s="34">
        <v>4084.0970000000002</v>
      </c>
      <c r="CN390" s="34">
        <v>35405.24</v>
      </c>
      <c r="CO390" s="34">
        <v>4435.9805260000003</v>
      </c>
      <c r="CP390" s="34">
        <v>1.2989999999999999</v>
      </c>
      <c r="CQ390" s="34">
        <v>1.81</v>
      </c>
      <c r="CR390" s="34">
        <v>59.4</v>
      </c>
      <c r="CS390" s="64">
        <v>51.71</v>
      </c>
      <c r="CT390" s="34">
        <v>113.6</v>
      </c>
      <c r="CU390" s="34">
        <v>112</v>
      </c>
      <c r="CV390" s="34">
        <v>101.6</v>
      </c>
      <c r="CW390" s="34">
        <v>101.9</v>
      </c>
      <c r="CX390" s="34">
        <v>109.3</v>
      </c>
      <c r="CY390" s="34">
        <v>11.15</v>
      </c>
      <c r="CZ390" s="34">
        <v>68679.627999999997</v>
      </c>
      <c r="DA390" s="34">
        <v>6.55</v>
      </c>
      <c r="DB390" s="34">
        <v>39.369999999999997</v>
      </c>
      <c r="DC390" s="34">
        <v>68.8</v>
      </c>
      <c r="DD390" s="34">
        <v>17.14</v>
      </c>
      <c r="DE390" s="34">
        <v>19894.18</v>
      </c>
      <c r="DF390" s="34">
        <v>2199.5439999999999</v>
      </c>
      <c r="DG390" s="34">
        <v>2087.4050000000002</v>
      </c>
      <c r="DH390" s="34">
        <v>1736.1030000000001</v>
      </c>
      <c r="DI390" s="34">
        <v>9056.1329999999998</v>
      </c>
      <c r="DJ390" s="34">
        <v>99.758799999999994</v>
      </c>
      <c r="DK390" s="34">
        <v>99.669799999999995</v>
      </c>
      <c r="DL390" s="34">
        <v>99.24</v>
      </c>
      <c r="DM390" s="34">
        <v>99.037700000000001</v>
      </c>
      <c r="DN390" s="34">
        <v>101.4452</v>
      </c>
      <c r="DO390" s="34">
        <v>101.68049999999999</v>
      </c>
      <c r="DP390" s="34">
        <v>100.76260000000001</v>
      </c>
      <c r="DQ390" s="34">
        <v>100.8386</v>
      </c>
      <c r="DR390" s="34">
        <v>803136</v>
      </c>
      <c r="DS390" s="73">
        <v>34393</v>
      </c>
      <c r="DT390" s="73">
        <v>104.4</v>
      </c>
      <c r="DU390" s="56">
        <v>220.46791076660156</v>
      </c>
      <c r="DV390" s="56">
        <v>394.11907958984375</v>
      </c>
      <c r="DW390">
        <v>1440</v>
      </c>
      <c r="DX390">
        <v>84875</v>
      </c>
      <c r="DY390">
        <v>99.9</v>
      </c>
      <c r="DZ390" s="33" t="s">
        <v>312</v>
      </c>
    </row>
    <row r="391" spans="1:130" s="56" customFormat="1" x14ac:dyDescent="0.25">
      <c r="A391" s="53">
        <v>44621</v>
      </c>
      <c r="B391" s="54">
        <v>96.3</v>
      </c>
      <c r="C391" s="55">
        <v>-0.57699999999999996</v>
      </c>
      <c r="D391" s="98">
        <v>0</v>
      </c>
      <c r="E391" s="54">
        <v>-0.53</v>
      </c>
      <c r="F391" s="54">
        <v>-0.09</v>
      </c>
      <c r="G391" s="54">
        <v>0.1</v>
      </c>
      <c r="H391" s="54">
        <v>0.28000000000000003</v>
      </c>
      <c r="I391" s="54">
        <f t="shared" si="125"/>
        <v>0.85699999999999998</v>
      </c>
      <c r="J391" s="54">
        <f t="shared" si="126"/>
        <v>0.28000000000000003</v>
      </c>
      <c r="K391" s="54">
        <f t="shared" si="127"/>
        <v>0.81</v>
      </c>
      <c r="L391" s="54">
        <f t="shared" si="128"/>
        <v>0.57699999999999996</v>
      </c>
      <c r="M391" s="54">
        <v>96.2</v>
      </c>
      <c r="N391" s="54">
        <v>13904.85</v>
      </c>
      <c r="O391" s="54">
        <v>28.52</v>
      </c>
      <c r="P391" s="64">
        <v>2908.8</v>
      </c>
      <c r="Q391" s="34">
        <f t="shared" si="92"/>
        <v>27.702857142857145</v>
      </c>
      <c r="R391" s="34">
        <v>3689.8</v>
      </c>
      <c r="S391" s="34">
        <f t="shared" si="93"/>
        <v>3514.0952380952385</v>
      </c>
      <c r="T391" s="34">
        <v>3720.4</v>
      </c>
      <c r="U391" s="34">
        <f t="shared" si="94"/>
        <v>3543.2380952380954</v>
      </c>
      <c r="V391" s="118">
        <v>247473</v>
      </c>
      <c r="W391" s="118">
        <v>11532853</v>
      </c>
      <c r="X391" s="119">
        <v>14976376</v>
      </c>
      <c r="Y391" s="119">
        <v>753112</v>
      </c>
      <c r="Z391" s="54">
        <v>97.2</v>
      </c>
      <c r="AA391" s="54">
        <v>96.5</v>
      </c>
      <c r="AB391" s="54">
        <v>108.5</v>
      </c>
      <c r="AC391" s="54">
        <v>94.7</v>
      </c>
      <c r="AD391" s="54">
        <v>45527</v>
      </c>
      <c r="AE391" s="54">
        <v>5</v>
      </c>
      <c r="AF391" s="54">
        <v>850</v>
      </c>
      <c r="AG391" s="54">
        <v>108.1</v>
      </c>
      <c r="AH391" s="54">
        <v>105</v>
      </c>
      <c r="AI391" s="64">
        <v>119.4</v>
      </c>
      <c r="AJ391" s="64">
        <v>110</v>
      </c>
      <c r="AK391" s="64">
        <v>238.08776599999999</v>
      </c>
      <c r="AL391" s="64">
        <v>100.3</v>
      </c>
      <c r="AM391" s="54">
        <v>184.44</v>
      </c>
      <c r="AN391" s="33">
        <v>419.51</v>
      </c>
      <c r="AO391" s="33">
        <v>181.19</v>
      </c>
      <c r="AP391" s="33">
        <v>102.04</v>
      </c>
      <c r="AQ391" s="54">
        <f t="shared" si="129"/>
        <v>0.85460636515912902</v>
      </c>
      <c r="AR391" s="54">
        <v>91.4</v>
      </c>
      <c r="AS391" s="54">
        <v>81.099999999999994</v>
      </c>
      <c r="AT391" s="54">
        <v>103</v>
      </c>
      <c r="AU391" s="54">
        <v>91.4</v>
      </c>
      <c r="AV391" s="54">
        <v>82.3</v>
      </c>
      <c r="AW391" s="54">
        <v>101.5</v>
      </c>
      <c r="AX391" s="54">
        <v>-5.7</v>
      </c>
      <c r="AY391" s="54">
        <v>14.4</v>
      </c>
      <c r="AZ391" s="54">
        <v>0.1</v>
      </c>
      <c r="BA391" s="54">
        <v>5.3</v>
      </c>
      <c r="BB391" s="54">
        <v>92.1</v>
      </c>
      <c r="BC391" s="54">
        <v>79.599999999999994</v>
      </c>
      <c r="BD391" s="54">
        <v>106.6</v>
      </c>
      <c r="BE391" s="54">
        <v>-21.4</v>
      </c>
      <c r="BF391" s="54">
        <v>-39.299999999999997</v>
      </c>
      <c r="BG391" s="54">
        <v>-8.9</v>
      </c>
      <c r="BH391" s="54">
        <v>149.6</v>
      </c>
      <c r="BI391" s="54">
        <v>14.8</v>
      </c>
      <c r="BJ391" s="34">
        <v>56.9</v>
      </c>
      <c r="BK391" s="54">
        <v>67.766019405321487</v>
      </c>
      <c r="BL391" s="54">
        <v>0.77</v>
      </c>
      <c r="BM391" s="54">
        <v>101.3091</v>
      </c>
      <c r="BN391" s="54">
        <v>101.12609999999999</v>
      </c>
      <c r="BO391" s="54">
        <v>29.2</v>
      </c>
      <c r="BP391" s="54">
        <v>18.2</v>
      </c>
      <c r="BQ391" s="54">
        <v>-13.4</v>
      </c>
      <c r="BR391" s="54">
        <v>2.9</v>
      </c>
      <c r="BS391" s="54">
        <v>66.099999999999994</v>
      </c>
      <c r="BT391" s="54">
        <v>9.6</v>
      </c>
      <c r="BU391" s="54">
        <v>15.2</v>
      </c>
      <c r="BV391" s="54">
        <v>10.9</v>
      </c>
      <c r="BW391" s="54">
        <v>-15.4</v>
      </c>
      <c r="BX391" s="54">
        <v>-10.4</v>
      </c>
      <c r="BY391" s="54">
        <v>8.3000000000000007</v>
      </c>
      <c r="BZ391" s="54">
        <v>106.7</v>
      </c>
      <c r="CA391" s="54">
        <v>-15.4</v>
      </c>
      <c r="CB391" s="54">
        <v>-0.9</v>
      </c>
      <c r="CC391" s="54">
        <v>-6.8</v>
      </c>
      <c r="CD391" s="54">
        <v>-31.7</v>
      </c>
      <c r="CE391" s="54">
        <v>-40.299999999999997</v>
      </c>
      <c r="CF391" s="54">
        <v>64.900000000000006</v>
      </c>
      <c r="CG391" s="54">
        <v>65.8</v>
      </c>
      <c r="CH391" s="54">
        <v>22.9</v>
      </c>
      <c r="CI391" s="54">
        <v>-22.4</v>
      </c>
      <c r="CJ391" s="54">
        <v>-13.7</v>
      </c>
      <c r="CK391" s="54">
        <v>14.2</v>
      </c>
      <c r="CL391" s="54">
        <v>29.8</v>
      </c>
      <c r="CM391" s="54">
        <v>3796.5993039999998</v>
      </c>
      <c r="CN391" s="54">
        <v>33294.949999999997</v>
      </c>
      <c r="CO391" s="54">
        <v>4391.2652170000001</v>
      </c>
      <c r="CP391" s="54">
        <v>1.07</v>
      </c>
      <c r="CQ391" s="54">
        <v>1.72</v>
      </c>
      <c r="CR391" s="54">
        <v>54.3</v>
      </c>
      <c r="CS391" s="64">
        <v>51.45</v>
      </c>
      <c r="CT391" s="54">
        <v>104.7</v>
      </c>
      <c r="CU391" s="54">
        <v>104.2</v>
      </c>
      <c r="CV391" s="54">
        <v>96.9</v>
      </c>
      <c r="CW391" s="54">
        <v>90.6</v>
      </c>
      <c r="CX391" s="54">
        <v>103.4</v>
      </c>
      <c r="CY391" s="54">
        <v>11.78</v>
      </c>
      <c r="CZ391" s="54">
        <v>79928.707999999999</v>
      </c>
      <c r="DA391" s="54">
        <v>6.79</v>
      </c>
      <c r="DB391" s="54">
        <v>41.18</v>
      </c>
      <c r="DC391" s="54">
        <v>70.59</v>
      </c>
      <c r="DD391" s="54">
        <v>16.02</v>
      </c>
      <c r="DE391" s="54">
        <v>22422.098000000002</v>
      </c>
      <c r="DF391" s="54">
        <v>2515.7350000000001</v>
      </c>
      <c r="DG391" s="54">
        <v>997.8</v>
      </c>
      <c r="DH391" s="54">
        <v>1915.32</v>
      </c>
      <c r="DI391" s="54">
        <v>10435.607</v>
      </c>
      <c r="DJ391" s="54">
        <v>99.600399999999993</v>
      </c>
      <c r="DK391" s="54">
        <v>99.469499999999996</v>
      </c>
      <c r="DL391" s="54">
        <v>98.99</v>
      </c>
      <c r="DM391" s="54">
        <v>98.718000000000004</v>
      </c>
      <c r="DN391" s="54">
        <v>101.12609999999999</v>
      </c>
      <c r="DO391" s="54">
        <v>101.3091</v>
      </c>
      <c r="DP391" s="54">
        <v>100.5703</v>
      </c>
      <c r="DQ391" s="54">
        <v>100.627</v>
      </c>
      <c r="DR391" s="54">
        <v>727328</v>
      </c>
      <c r="DS391" s="96">
        <v>34427</v>
      </c>
      <c r="DT391" s="96">
        <v>102</v>
      </c>
      <c r="DU391" s="56">
        <v>392.01202392578125</v>
      </c>
      <c r="DV391" s="56">
        <v>785.025634765625</v>
      </c>
      <c r="DW391" s="56">
        <v>2069</v>
      </c>
      <c r="DX391" s="56">
        <v>72075</v>
      </c>
      <c r="DY391" s="56">
        <v>99.2</v>
      </c>
      <c r="DZ391" s="60" t="s">
        <v>312</v>
      </c>
    </row>
    <row r="392" spans="1:130" x14ac:dyDescent="0.25">
      <c r="A392" s="1">
        <v>44652</v>
      </c>
      <c r="B392" s="34">
        <v>97.5</v>
      </c>
      <c r="C392" s="45">
        <v>-0.58199999999999996</v>
      </c>
      <c r="D392" s="99">
        <v>0</v>
      </c>
      <c r="E392" s="34">
        <v>-0.49</v>
      </c>
      <c r="F392" s="34">
        <v>0.44</v>
      </c>
      <c r="G392" s="34">
        <v>0.6</v>
      </c>
      <c r="H392" s="34">
        <v>0.75</v>
      </c>
      <c r="I392" s="34">
        <f t="shared" si="125"/>
        <v>1.3319999999999999</v>
      </c>
      <c r="J392" s="34">
        <f t="shared" si="126"/>
        <v>0.75</v>
      </c>
      <c r="K392" s="34">
        <f t="shared" si="127"/>
        <v>1.24</v>
      </c>
      <c r="L392" s="34">
        <f t="shared" si="128"/>
        <v>0.58199999999999996</v>
      </c>
      <c r="M392" s="34">
        <v>96</v>
      </c>
      <c r="N392" s="34">
        <v>14446.48</v>
      </c>
      <c r="O392" s="34">
        <v>33.659999999999997</v>
      </c>
      <c r="P392" s="64">
        <v>2905.1</v>
      </c>
      <c r="Q392" s="34">
        <f t="shared" si="92"/>
        <v>27.43248347497639</v>
      </c>
      <c r="R392" s="34">
        <v>3699.6</v>
      </c>
      <c r="S392" s="34">
        <f t="shared" si="93"/>
        <v>3493.4844192634555</v>
      </c>
      <c r="T392" s="34">
        <v>3727.7</v>
      </c>
      <c r="U392" s="34">
        <f t="shared" si="94"/>
        <v>3520.018885741265</v>
      </c>
      <c r="V392" s="118">
        <v>255404</v>
      </c>
      <c r="W392" s="118">
        <v>11556470</v>
      </c>
      <c r="X392" s="119">
        <v>15025940</v>
      </c>
      <c r="Y392" s="119">
        <v>772742</v>
      </c>
      <c r="Z392" s="34">
        <v>97.8</v>
      </c>
      <c r="AA392" s="34">
        <v>95.2</v>
      </c>
      <c r="AB392" s="34">
        <v>112.2</v>
      </c>
      <c r="AC392" s="34">
        <v>92.9</v>
      </c>
      <c r="AD392" s="34">
        <v>45558</v>
      </c>
      <c r="AE392" s="34">
        <v>5</v>
      </c>
      <c r="AF392" s="34">
        <v>859</v>
      </c>
      <c r="AG392" s="34">
        <v>108.6</v>
      </c>
      <c r="AH392" s="34">
        <v>105.9</v>
      </c>
      <c r="AI392" s="64">
        <v>121.1</v>
      </c>
      <c r="AJ392" s="64">
        <v>111.3</v>
      </c>
      <c r="AK392" s="64">
        <v>244.728442</v>
      </c>
      <c r="AL392" s="64">
        <v>96.8</v>
      </c>
      <c r="AM392" s="34">
        <v>179.63</v>
      </c>
      <c r="AN392" s="33">
        <v>370.32</v>
      </c>
      <c r="AO392" s="33">
        <v>178.8</v>
      </c>
      <c r="AP392" s="33">
        <v>98.3</v>
      </c>
      <c r="AQ392" s="34">
        <f t="shared" si="129"/>
        <v>0.81172584640792733</v>
      </c>
      <c r="AR392" s="34">
        <v>91.8</v>
      </c>
      <c r="AS392" s="34">
        <v>82.9</v>
      </c>
      <c r="AT392" s="34">
        <v>101.5</v>
      </c>
      <c r="AU392" s="34">
        <v>92.4</v>
      </c>
      <c r="AV392" s="34">
        <v>84.9</v>
      </c>
      <c r="AW392" s="34">
        <v>100.5</v>
      </c>
      <c r="AX392" s="34">
        <v>-2.7</v>
      </c>
      <c r="AY392" s="34">
        <v>18.7</v>
      </c>
      <c r="AZ392" s="34">
        <v>-2.2999999999999998</v>
      </c>
      <c r="BA392" s="34">
        <v>3.5</v>
      </c>
      <c r="BB392" s="34">
        <v>92.9</v>
      </c>
      <c r="BC392" s="34">
        <v>80.599999999999994</v>
      </c>
      <c r="BD392" s="34">
        <v>107</v>
      </c>
      <c r="BE392" s="34">
        <v>-30.8</v>
      </c>
      <c r="BF392" s="34">
        <v>-41</v>
      </c>
      <c r="BG392" s="34">
        <v>-16.399999999999999</v>
      </c>
      <c r="BH392" s="34">
        <v>150.69999999999999</v>
      </c>
      <c r="BI392" s="34">
        <v>11.1</v>
      </c>
      <c r="BJ392" s="34">
        <v>54.6</v>
      </c>
      <c r="BK392" s="34">
        <v>66.476742601439838</v>
      </c>
      <c r="BL392" s="34">
        <v>0.61</v>
      </c>
      <c r="BM392" s="34">
        <v>100.92489999999999</v>
      </c>
      <c r="BN392" s="34">
        <v>100.79600000000001</v>
      </c>
      <c r="BO392" s="34">
        <v>29.5</v>
      </c>
      <c r="BP392" s="34">
        <v>17.8</v>
      </c>
      <c r="BQ392" s="34">
        <v>-12.1</v>
      </c>
      <c r="BR392" s="34">
        <v>4.9000000000000004</v>
      </c>
      <c r="BS392" s="34">
        <v>71.7</v>
      </c>
      <c r="BT392" s="34">
        <v>5.9</v>
      </c>
      <c r="BU392" s="34">
        <v>15.5</v>
      </c>
      <c r="BV392" s="34">
        <v>13.6</v>
      </c>
      <c r="BW392" s="34">
        <v>-18.600000000000001</v>
      </c>
      <c r="BX392" s="34">
        <v>-10.9</v>
      </c>
      <c r="BY392" s="34">
        <v>5.2</v>
      </c>
      <c r="BZ392" s="34">
        <v>106.4</v>
      </c>
      <c r="CA392" s="34">
        <v>-18.600000000000001</v>
      </c>
      <c r="CB392" s="34">
        <v>-5.7</v>
      </c>
      <c r="CC392" s="34">
        <v>-9.8000000000000007</v>
      </c>
      <c r="CD392" s="34">
        <v>-44.7</v>
      </c>
      <c r="CE392" s="34">
        <v>-42.5</v>
      </c>
      <c r="CF392" s="34">
        <v>71.599999999999994</v>
      </c>
      <c r="CG392" s="34">
        <v>62.8</v>
      </c>
      <c r="CH392" s="34">
        <v>25.6</v>
      </c>
      <c r="CI392" s="34">
        <v>-29.8</v>
      </c>
      <c r="CJ392" s="34">
        <v>-16.3</v>
      </c>
      <c r="CK392" s="34">
        <v>13.8</v>
      </c>
      <c r="CL392" s="34">
        <v>25.9</v>
      </c>
      <c r="CM392" s="34">
        <v>3837.3430530000001</v>
      </c>
      <c r="CN392" s="34">
        <v>34818.269999999997</v>
      </c>
      <c r="CO392" s="34">
        <v>4391.2960000000003</v>
      </c>
      <c r="CP392" s="34">
        <v>1.595</v>
      </c>
      <c r="CQ392" s="34">
        <v>2.38</v>
      </c>
      <c r="CR392" s="34">
        <v>62.5</v>
      </c>
      <c r="CS392" s="64">
        <v>46.37</v>
      </c>
      <c r="CT392" s="34">
        <v>103</v>
      </c>
      <c r="CU392" s="34">
        <v>99.5</v>
      </c>
      <c r="CV392" s="34">
        <v>97.4</v>
      </c>
      <c r="CW392" s="34">
        <v>94.7</v>
      </c>
      <c r="CX392" s="34">
        <v>103.2</v>
      </c>
      <c r="CY392" s="34">
        <v>12.5</v>
      </c>
      <c r="CZ392" s="34">
        <v>68500.645000000004</v>
      </c>
      <c r="DA392" s="34">
        <v>6.96</v>
      </c>
      <c r="DB392" s="34">
        <v>41.1</v>
      </c>
      <c r="DC392" s="34">
        <v>70.260000000000005</v>
      </c>
      <c r="DD392" s="34">
        <v>17.04</v>
      </c>
      <c r="DE392" s="34">
        <v>18450.778999999999</v>
      </c>
      <c r="DF392" s="34">
        <v>1979.3230000000001</v>
      </c>
      <c r="DG392" s="34">
        <v>781.61199999999997</v>
      </c>
      <c r="DH392" s="34">
        <v>1623.136</v>
      </c>
      <c r="DI392" s="34">
        <v>8253.9920000000002</v>
      </c>
      <c r="DJ392" s="34">
        <v>99.448400000000007</v>
      </c>
      <c r="DK392" s="34">
        <v>99.280799999999999</v>
      </c>
      <c r="DL392" s="34">
        <v>98.75</v>
      </c>
      <c r="DM392" s="34">
        <v>98.408600000000007</v>
      </c>
      <c r="DN392" s="34">
        <v>100.79600000000001</v>
      </c>
      <c r="DO392" s="34">
        <v>100.92489999999999</v>
      </c>
      <c r="DP392" s="34">
        <v>100.3237</v>
      </c>
      <c r="DQ392" s="34">
        <v>100.3557</v>
      </c>
      <c r="DR392" s="34">
        <v>438515</v>
      </c>
      <c r="DS392" s="73">
        <v>34446</v>
      </c>
      <c r="DT392" s="73">
        <v>102.5</v>
      </c>
      <c r="DU392" s="56">
        <v>334.66900634765625</v>
      </c>
      <c r="DV392" s="56">
        <v>707.87445068359375</v>
      </c>
      <c r="DW392">
        <v>2357</v>
      </c>
      <c r="DX392">
        <v>94800</v>
      </c>
      <c r="DY392">
        <v>98.5</v>
      </c>
      <c r="DZ392" s="33" t="s">
        <v>312</v>
      </c>
    </row>
    <row r="393" spans="1:130" x14ac:dyDescent="0.25">
      <c r="A393" s="1">
        <v>44682</v>
      </c>
      <c r="B393" s="34">
        <v>98.9</v>
      </c>
      <c r="C393" s="45">
        <v>-0.58299999999999996</v>
      </c>
      <c r="D393" s="99">
        <v>0</v>
      </c>
      <c r="E393" s="34">
        <v>-0.44</v>
      </c>
      <c r="F393" s="34">
        <v>0.56999999999999995</v>
      </c>
      <c r="G393" s="34">
        <v>0.76</v>
      </c>
      <c r="H393" s="34">
        <v>0.95</v>
      </c>
      <c r="I393" s="34">
        <f t="shared" si="125"/>
        <v>1.5329999999999999</v>
      </c>
      <c r="J393" s="34">
        <f t="shared" si="126"/>
        <v>0.95</v>
      </c>
      <c r="K393" s="34">
        <f t="shared" si="127"/>
        <v>1.39</v>
      </c>
      <c r="L393" s="34">
        <f t="shared" si="128"/>
        <v>0.58299999999999996</v>
      </c>
      <c r="M393" s="34">
        <v>96.4</v>
      </c>
      <c r="N393" s="34">
        <v>13939.07</v>
      </c>
      <c r="O393" s="34">
        <v>23.56</v>
      </c>
      <c r="P393" s="64">
        <v>2907.1</v>
      </c>
      <c r="Q393" s="34">
        <f t="shared" si="92"/>
        <v>27.271106941838649</v>
      </c>
      <c r="R393" s="34">
        <v>3692.4</v>
      </c>
      <c r="S393" s="34">
        <f t="shared" si="93"/>
        <v>3463.7898686679177</v>
      </c>
      <c r="T393" s="34">
        <v>3721.8</v>
      </c>
      <c r="U393" s="34">
        <f t="shared" si="94"/>
        <v>3491.3696060037532</v>
      </c>
      <c r="V393" s="118">
        <v>259683</v>
      </c>
      <c r="W393" s="118">
        <v>11604215</v>
      </c>
      <c r="X393" s="119">
        <v>15074055</v>
      </c>
      <c r="Y393" s="119">
        <v>777218</v>
      </c>
      <c r="Z393" s="34">
        <v>97.6</v>
      </c>
      <c r="AA393" s="34">
        <v>94.9</v>
      </c>
      <c r="AB393" s="34">
        <v>105.7</v>
      </c>
      <c r="AC393" s="34">
        <v>95</v>
      </c>
      <c r="AD393" s="34">
        <v>45599</v>
      </c>
      <c r="AE393" s="34">
        <v>5</v>
      </c>
      <c r="AF393" s="34">
        <v>868</v>
      </c>
      <c r="AG393" s="34">
        <v>109.6</v>
      </c>
      <c r="AH393" s="34">
        <v>106.6</v>
      </c>
      <c r="AI393" s="64">
        <v>122.4</v>
      </c>
      <c r="AJ393" s="64">
        <v>111.9</v>
      </c>
      <c r="AK393" s="64">
        <v>248.43940799999999</v>
      </c>
      <c r="AL393" s="64">
        <v>98.2</v>
      </c>
      <c r="AM393" s="34">
        <v>158.66</v>
      </c>
      <c r="AN393" s="33">
        <v>382.77</v>
      </c>
      <c r="AO393" s="33">
        <v>164.76</v>
      </c>
      <c r="AP393" s="33">
        <v>105.95</v>
      </c>
      <c r="AQ393" s="34">
        <f t="shared" si="129"/>
        <v>0.86560457516339873</v>
      </c>
      <c r="AR393" s="34">
        <v>93</v>
      </c>
      <c r="AS393" s="34">
        <v>84.7</v>
      </c>
      <c r="AT393" s="34">
        <v>102.1</v>
      </c>
      <c r="AU393" s="34">
        <v>94</v>
      </c>
      <c r="AV393" s="34">
        <v>87.7</v>
      </c>
      <c r="AW393" s="34">
        <v>100.7</v>
      </c>
      <c r="AX393" s="34">
        <v>10.5</v>
      </c>
      <c r="AY393" s="34">
        <v>22.9</v>
      </c>
      <c r="AZ393" s="34">
        <v>2.7</v>
      </c>
      <c r="BA393" s="34">
        <v>7.4</v>
      </c>
      <c r="BB393" s="34">
        <v>92.9</v>
      </c>
      <c r="BC393" s="34">
        <v>80.400000000000006</v>
      </c>
      <c r="BD393" s="34">
        <v>107.3</v>
      </c>
      <c r="BE393" s="34">
        <v>-36.5</v>
      </c>
      <c r="BF393" s="34">
        <v>-34.299999999999997</v>
      </c>
      <c r="BG393" s="34">
        <v>-9.3000000000000007</v>
      </c>
      <c r="BH393" s="34">
        <v>150.5</v>
      </c>
      <c r="BI393" s="34">
        <v>0.5</v>
      </c>
      <c r="BJ393" s="34">
        <v>54.8</v>
      </c>
      <c r="BK393" s="34">
        <v>61.278958983648351</v>
      </c>
      <c r="BL393" s="34">
        <v>0.95</v>
      </c>
      <c r="BM393" s="34">
        <v>100.5454</v>
      </c>
      <c r="BN393" s="34">
        <v>100.4701</v>
      </c>
      <c r="BO393" s="34">
        <v>20.399999999999999</v>
      </c>
      <c r="BP393" s="34">
        <v>11</v>
      </c>
      <c r="BQ393" s="34">
        <v>-11.6</v>
      </c>
      <c r="BR393" s="34">
        <v>10</v>
      </c>
      <c r="BS393" s="34">
        <v>66.599999999999994</v>
      </c>
      <c r="BT393" s="34">
        <v>9.3000000000000007</v>
      </c>
      <c r="BU393" s="34">
        <v>14</v>
      </c>
      <c r="BV393" s="34">
        <v>16.100000000000001</v>
      </c>
      <c r="BW393" s="34">
        <v>-18.8</v>
      </c>
      <c r="BX393" s="34">
        <v>-12</v>
      </c>
      <c r="BY393" s="34">
        <v>6.6</v>
      </c>
      <c r="BZ393" s="34">
        <v>106.9</v>
      </c>
      <c r="CA393" s="34">
        <v>-18.8</v>
      </c>
      <c r="CB393" s="34">
        <v>-7.7</v>
      </c>
      <c r="CC393" s="34">
        <v>-7.9</v>
      </c>
      <c r="CD393" s="34">
        <v>-43.3</v>
      </c>
      <c r="CE393" s="34">
        <v>-41.7</v>
      </c>
      <c r="CF393" s="34">
        <v>73</v>
      </c>
      <c r="CG393" s="34">
        <v>55.6</v>
      </c>
      <c r="CH393" s="34">
        <v>26.7</v>
      </c>
      <c r="CI393" s="34">
        <v>-29.5</v>
      </c>
      <c r="CJ393" s="34">
        <v>-17.899999999999999</v>
      </c>
      <c r="CK393" s="34">
        <v>12.8</v>
      </c>
      <c r="CL393" s="34">
        <v>25.6</v>
      </c>
      <c r="CM393" s="34">
        <v>3691.7740910000002</v>
      </c>
      <c r="CN393" s="34">
        <v>33061.5</v>
      </c>
      <c r="CO393" s="34">
        <v>4040.36</v>
      </c>
      <c r="CP393" s="34">
        <v>1.89</v>
      </c>
      <c r="CQ393" s="34">
        <v>2.99</v>
      </c>
      <c r="CR393" s="34">
        <v>55.2</v>
      </c>
      <c r="CS393" s="64">
        <v>43.73</v>
      </c>
      <c r="CT393" s="34">
        <v>105.1</v>
      </c>
      <c r="CU393" s="34">
        <v>103.8</v>
      </c>
      <c r="CV393" s="34">
        <v>96.9</v>
      </c>
      <c r="CW393" s="34">
        <v>97.6</v>
      </c>
      <c r="CX393" s="34">
        <v>102.6</v>
      </c>
      <c r="CY393" s="34">
        <v>13.43</v>
      </c>
      <c r="CZ393" s="34">
        <v>76886.210000000006</v>
      </c>
      <c r="DA393" s="34">
        <v>7.75</v>
      </c>
      <c r="DB393" s="34">
        <v>43.24</v>
      </c>
      <c r="DC393" s="34">
        <v>74.290000000000006</v>
      </c>
      <c r="DD393" s="34">
        <v>16.920000000000002</v>
      </c>
      <c r="DE393" s="34">
        <v>20800.5</v>
      </c>
      <c r="DF393" s="34">
        <v>2212.873</v>
      </c>
      <c r="DG393" s="34">
        <v>1100.796</v>
      </c>
      <c r="DH393" s="34">
        <v>1680.229</v>
      </c>
      <c r="DI393" s="34">
        <v>9200.56</v>
      </c>
      <c r="DJ393" s="34">
        <v>99.314800000000005</v>
      </c>
      <c r="DK393" s="34">
        <v>99.116699999999994</v>
      </c>
      <c r="DL393" s="34">
        <v>98.54</v>
      </c>
      <c r="DM393" s="34">
        <v>98.145899999999997</v>
      </c>
      <c r="DN393" s="34">
        <v>100.4701</v>
      </c>
      <c r="DO393" s="34">
        <v>100.5454</v>
      </c>
      <c r="DP393" s="34">
        <v>100.0313</v>
      </c>
      <c r="DQ393" s="34">
        <v>100.0342</v>
      </c>
      <c r="DR393" s="34">
        <v>304540</v>
      </c>
      <c r="DS393" s="73">
        <v>34502</v>
      </c>
      <c r="DT393" s="73">
        <v>103.7</v>
      </c>
      <c r="DU393" s="56">
        <v>328.4752197265625</v>
      </c>
      <c r="DV393" s="56">
        <v>616.0472412109375</v>
      </c>
      <c r="DW393">
        <v>2404</v>
      </c>
      <c r="DX393">
        <v>156225</v>
      </c>
      <c r="DY393">
        <v>98</v>
      </c>
      <c r="DZ393" s="33" t="s">
        <v>312</v>
      </c>
    </row>
    <row r="394" spans="1:130" s="56" customFormat="1" x14ac:dyDescent="0.25">
      <c r="A394" s="53">
        <v>44713</v>
      </c>
      <c r="B394" s="54">
        <v>99.2</v>
      </c>
      <c r="C394" s="55">
        <v>-0.58199999999999996</v>
      </c>
      <c r="D394" s="98">
        <v>0</v>
      </c>
      <c r="E394" s="54">
        <v>-0.36</v>
      </c>
      <c r="F394" s="54">
        <v>1.1299999999999999</v>
      </c>
      <c r="G394" s="54">
        <v>1.29</v>
      </c>
      <c r="H394" s="54">
        <v>1.45</v>
      </c>
      <c r="I394" s="54">
        <f>IF(ISNUMBER(C394),IF(ISNUMBER(H394),H394-C394,""),"")</f>
        <v>2.032</v>
      </c>
      <c r="J394" s="54">
        <f>IF(ISNUMBER(D394),IF(ISNUMBER(H394),H394-D394,""),"")</f>
        <v>1.45</v>
      </c>
      <c r="K394" s="54">
        <f>IF(ISNUMBER(H394),IF(ISNUMBER(E394),H394-E394,""),"")</f>
        <v>1.81</v>
      </c>
      <c r="L394" s="54">
        <f>IF(ISNUMBER(D394),IF(ISNUMBER(C394),D394-C394,""),"")</f>
        <v>0.58199999999999996</v>
      </c>
      <c r="M394" s="54">
        <v>95.5</v>
      </c>
      <c r="N394" s="54">
        <v>14340.47</v>
      </c>
      <c r="O394" s="54">
        <v>28.88</v>
      </c>
      <c r="P394" s="64">
        <v>2935.3</v>
      </c>
      <c r="Q394" s="34">
        <f t="shared" si="92"/>
        <v>27.509840674789128</v>
      </c>
      <c r="R394" s="34">
        <v>3727.2</v>
      </c>
      <c r="S394" s="34">
        <f t="shared" si="93"/>
        <v>3493.1583880037488</v>
      </c>
      <c r="T394" s="34">
        <v>3760.6</v>
      </c>
      <c r="U394" s="34">
        <f t="shared" si="94"/>
        <v>3524.4611059044046</v>
      </c>
      <c r="V394" s="118">
        <v>268094</v>
      </c>
      <c r="W394" s="118">
        <v>11641614</v>
      </c>
      <c r="X394" s="119">
        <v>15141124</v>
      </c>
      <c r="Y394" s="119">
        <v>789237</v>
      </c>
      <c r="Z394" s="54">
        <v>97.1</v>
      </c>
      <c r="AA394" s="54">
        <v>94.2</v>
      </c>
      <c r="AB394" s="54">
        <v>110.3</v>
      </c>
      <c r="AC394" s="54">
        <v>92.8</v>
      </c>
      <c r="AD394" s="54">
        <v>45628</v>
      </c>
      <c r="AE394" s="54">
        <v>5.3</v>
      </c>
      <c r="AF394" s="54">
        <v>868</v>
      </c>
      <c r="AG394" s="54">
        <v>109.6</v>
      </c>
      <c r="AH394" s="54">
        <v>106.7</v>
      </c>
      <c r="AI394" s="64">
        <v>122.9</v>
      </c>
      <c r="AJ394" s="64">
        <v>112.8</v>
      </c>
      <c r="AK394" s="64">
        <v>250.39254800000001</v>
      </c>
      <c r="AL394" s="64">
        <v>96.3</v>
      </c>
      <c r="AM394" s="54">
        <v>143.97</v>
      </c>
      <c r="AN394" s="33">
        <v>409</v>
      </c>
      <c r="AO394" s="33">
        <v>153.07</v>
      </c>
      <c r="AP394" s="33">
        <v>111.39</v>
      </c>
      <c r="AQ394" s="54">
        <f t="shared" si="129"/>
        <v>0.90634662327095195</v>
      </c>
      <c r="AR394" s="54">
        <v>92.2</v>
      </c>
      <c r="AS394" s="54">
        <v>84</v>
      </c>
      <c r="AT394" s="54">
        <v>101.2</v>
      </c>
      <c r="AU394" s="54">
        <v>93.4</v>
      </c>
      <c r="AV394" s="54">
        <v>86.9</v>
      </c>
      <c r="AW394" s="54">
        <v>100.3</v>
      </c>
      <c r="AX394" s="54">
        <v>6</v>
      </c>
      <c r="AY394" s="54">
        <v>29.5</v>
      </c>
      <c r="AZ394" s="54">
        <v>0.2</v>
      </c>
      <c r="BA394" s="54">
        <v>4.0999999999999996</v>
      </c>
      <c r="BB394" s="54">
        <v>90.9</v>
      </c>
      <c r="BC394" s="54">
        <v>79.599999999999994</v>
      </c>
      <c r="BD394" s="54">
        <v>103.8</v>
      </c>
      <c r="BE394" s="54">
        <v>-27.6</v>
      </c>
      <c r="BF394" s="54">
        <v>-28</v>
      </c>
      <c r="BG394" s="54">
        <v>-11.7</v>
      </c>
      <c r="BH394" s="54">
        <v>151.6</v>
      </c>
      <c r="BI394" s="54">
        <v>1.7</v>
      </c>
      <c r="BJ394" s="34">
        <v>52</v>
      </c>
      <c r="BK394" s="54">
        <v>50.563417096228839</v>
      </c>
      <c r="BL394" s="54">
        <v>0.88</v>
      </c>
      <c r="BM394" s="54">
        <v>100.1651</v>
      </c>
      <c r="BN394" s="54">
        <v>100.1434</v>
      </c>
      <c r="BO394" s="54">
        <v>22.9</v>
      </c>
      <c r="BP394" s="54">
        <v>12.9</v>
      </c>
      <c r="BQ394" s="54">
        <v>-8.5</v>
      </c>
      <c r="BR394" s="54">
        <v>13.7</v>
      </c>
      <c r="BS394" s="54">
        <v>59.8</v>
      </c>
      <c r="BT394" s="54">
        <v>8.1</v>
      </c>
      <c r="BU394" s="54">
        <v>15</v>
      </c>
      <c r="BV394" s="54">
        <v>14.6</v>
      </c>
      <c r="BW394" s="54">
        <v>-20.399999999999999</v>
      </c>
      <c r="BX394" s="54">
        <v>-14.4</v>
      </c>
      <c r="BY394" s="54">
        <v>5.4</v>
      </c>
      <c r="BZ394" s="54">
        <v>105.6</v>
      </c>
      <c r="CA394" s="54">
        <v>-20.399999999999999</v>
      </c>
      <c r="CB394" s="54">
        <v>-10</v>
      </c>
      <c r="CC394" s="54">
        <v>-10.6</v>
      </c>
      <c r="CD394" s="54">
        <v>-47.3</v>
      </c>
      <c r="CE394" s="54">
        <v>-41.9</v>
      </c>
      <c r="CF394" s="54">
        <v>74.599999999999994</v>
      </c>
      <c r="CG394" s="54">
        <v>51.8</v>
      </c>
      <c r="CH394" s="54">
        <v>28</v>
      </c>
      <c r="CI394" s="54">
        <v>-32.799999999999997</v>
      </c>
      <c r="CJ394" s="54">
        <v>-19.2</v>
      </c>
      <c r="CK394" s="54">
        <v>10.4</v>
      </c>
      <c r="CL394" s="54">
        <v>22.9</v>
      </c>
      <c r="CM394" s="54">
        <v>3587.6239999999998</v>
      </c>
      <c r="CN394" s="54">
        <v>32813.230000000003</v>
      </c>
      <c r="CO394" s="54">
        <v>3898.9466670000002</v>
      </c>
      <c r="CP394" s="54">
        <v>2.1280000000000001</v>
      </c>
      <c r="CQ394" s="54">
        <v>2.94</v>
      </c>
      <c r="CR394" s="54">
        <v>47.5</v>
      </c>
      <c r="CS394" s="64">
        <v>46.83</v>
      </c>
      <c r="CT394" s="54">
        <v>103.7</v>
      </c>
      <c r="CU394" s="54">
        <v>101.8</v>
      </c>
      <c r="CV394" s="54">
        <v>95.9</v>
      </c>
      <c r="CW394" s="54">
        <v>95.3</v>
      </c>
      <c r="CX394" s="54">
        <v>100.5</v>
      </c>
      <c r="CY394" s="54">
        <v>14.31</v>
      </c>
      <c r="CZ394" s="54">
        <v>76233.576000000001</v>
      </c>
      <c r="DA394" s="54">
        <v>8.42</v>
      </c>
      <c r="DB394" s="54">
        <v>42.59</v>
      </c>
      <c r="DC394" s="54">
        <v>74.17</v>
      </c>
      <c r="DD394" s="54">
        <v>17.71</v>
      </c>
      <c r="DE394" s="54">
        <v>20979.464</v>
      </c>
      <c r="DF394" s="54">
        <v>2454.7530000000002</v>
      </c>
      <c r="DG394" s="54">
        <v>1171.0840000000001</v>
      </c>
      <c r="DH394" s="54">
        <v>1644.221</v>
      </c>
      <c r="DI394" s="54">
        <v>9081.0679999999993</v>
      </c>
      <c r="DJ394" s="54">
        <v>99.2072</v>
      </c>
      <c r="DK394" s="54">
        <v>98.984399999999994</v>
      </c>
      <c r="DL394" s="54">
        <v>98.39</v>
      </c>
      <c r="DM394" s="54">
        <v>97.958399999999997</v>
      </c>
      <c r="DN394" s="54">
        <v>100.1434</v>
      </c>
      <c r="DO394" s="54">
        <v>100.1651</v>
      </c>
      <c r="DP394" s="54">
        <v>99.737799999999993</v>
      </c>
      <c r="DQ394" s="54">
        <v>99.711200000000005</v>
      </c>
      <c r="DR394" s="54">
        <v>227720</v>
      </c>
      <c r="DS394" s="96">
        <v>34532</v>
      </c>
      <c r="DT394" s="96">
        <v>102.8</v>
      </c>
      <c r="DU394" s="56">
        <v>332.62823486328125</v>
      </c>
      <c r="DV394" s="56">
        <v>589.16424560546875</v>
      </c>
      <c r="DW394" s="56">
        <v>2633</v>
      </c>
      <c r="DX394" s="56">
        <v>140975</v>
      </c>
      <c r="DY394" s="56">
        <v>98.8</v>
      </c>
      <c r="DZ394" s="60" t="s">
        <v>312</v>
      </c>
    </row>
    <row r="395" spans="1:130" x14ac:dyDescent="0.25">
      <c r="A395" s="1">
        <v>44743</v>
      </c>
      <c r="B395" s="34">
        <v>99.1</v>
      </c>
      <c r="C395" s="45">
        <v>-0.57999999999999996</v>
      </c>
      <c r="D395" s="99">
        <v>0.5</v>
      </c>
      <c r="E395" s="34">
        <v>-0.2</v>
      </c>
      <c r="F395" s="34">
        <v>0.68</v>
      </c>
      <c r="G395" s="34">
        <v>0.88</v>
      </c>
      <c r="H395" s="34">
        <v>1.08</v>
      </c>
      <c r="I395" s="34">
        <f>IF(ISNUMBER(C395),IF(ISNUMBER(H395),H395-C395,""),"")</f>
        <v>1.6600000000000001</v>
      </c>
      <c r="J395" s="34">
        <f>IF(ISNUMBER(D395),IF(ISNUMBER(H395),H395-D395,""),"")</f>
        <v>0.58000000000000007</v>
      </c>
      <c r="K395" s="34">
        <f>IF(ISNUMBER(H395),IF(ISNUMBER(E395),H395-E395,""),"")</f>
        <v>1.28</v>
      </c>
      <c r="L395" s="34">
        <f>IF(ISNUMBER(D395),IF(ISNUMBER(C395),D395-C395,""),"")</f>
        <v>1.08</v>
      </c>
      <c r="M395" s="34">
        <v>94.6</v>
      </c>
      <c r="N395" s="34">
        <v>12813.03</v>
      </c>
      <c r="O395" s="34">
        <v>24.63</v>
      </c>
      <c r="P395" s="64">
        <v>2944.1</v>
      </c>
      <c r="Q395" s="34">
        <f t="shared" si="92"/>
        <v>27.386976744186047</v>
      </c>
      <c r="R395" s="34">
        <v>3758.1</v>
      </c>
      <c r="S395" s="34">
        <f t="shared" si="93"/>
        <v>3495.9069767441861</v>
      </c>
      <c r="T395" s="34">
        <v>3797.6</v>
      </c>
      <c r="U395" s="34">
        <f t="shared" si="94"/>
        <v>3532.6511627906975</v>
      </c>
      <c r="V395" s="118">
        <v>272493</v>
      </c>
      <c r="W395" s="118">
        <v>11689990</v>
      </c>
      <c r="X395" s="119">
        <v>15238715</v>
      </c>
      <c r="Y395" s="119">
        <v>751262</v>
      </c>
      <c r="Z395" s="34">
        <v>96.9</v>
      </c>
      <c r="AA395" s="34">
        <v>96.2</v>
      </c>
      <c r="AB395" s="34">
        <v>93.9</v>
      </c>
      <c r="AC395" s="34">
        <v>97.6</v>
      </c>
      <c r="AD395" s="34">
        <v>45616</v>
      </c>
      <c r="AE395" s="34">
        <v>5.4</v>
      </c>
      <c r="AF395" s="34">
        <v>859</v>
      </c>
      <c r="AG395" s="34">
        <v>110.1</v>
      </c>
      <c r="AH395" s="34">
        <v>107.5</v>
      </c>
      <c r="AI395" s="64">
        <v>125.2</v>
      </c>
      <c r="AJ395" s="64">
        <v>114.7</v>
      </c>
      <c r="AK395" s="64">
        <v>259.18167799999998</v>
      </c>
      <c r="AL395" s="64">
        <v>127.6</v>
      </c>
      <c r="AM395" s="34">
        <v>128.30000000000001</v>
      </c>
      <c r="AN395" s="33">
        <v>460.74</v>
      </c>
      <c r="AO395" s="33">
        <v>136.47999999999999</v>
      </c>
      <c r="AP395" s="33">
        <v>103.36</v>
      </c>
      <c r="AQ395" s="34">
        <f t="shared" si="129"/>
        <v>0.82555910543130984</v>
      </c>
      <c r="AR395" s="34">
        <v>89.5</v>
      </c>
      <c r="AS395" s="34">
        <v>80.5</v>
      </c>
      <c r="AT395" s="34">
        <v>99.6</v>
      </c>
      <c r="AU395" s="34">
        <v>90.7</v>
      </c>
      <c r="AV395" s="34">
        <v>83.3</v>
      </c>
      <c r="AW395" s="34">
        <v>98.7</v>
      </c>
      <c r="AX395" s="34">
        <v>3.6</v>
      </c>
      <c r="AY395" s="34">
        <v>23.7</v>
      </c>
      <c r="AZ395" s="34">
        <v>-1.6</v>
      </c>
      <c r="BA395" s="34">
        <v>-4.3</v>
      </c>
      <c r="BB395" s="34">
        <v>88.4</v>
      </c>
      <c r="BC395" s="34">
        <v>76.7</v>
      </c>
      <c r="BD395" s="34">
        <v>101.9</v>
      </c>
      <c r="BE395" s="34">
        <v>-45.8</v>
      </c>
      <c r="BF395" s="34">
        <v>-53.8</v>
      </c>
      <c r="BG395" s="34">
        <v>-18.2</v>
      </c>
      <c r="BH395" s="34">
        <v>155.69999999999999</v>
      </c>
      <c r="BI395" s="34">
        <v>1.5</v>
      </c>
      <c r="BJ395" s="34">
        <v>49.2</v>
      </c>
      <c r="BK395" s="34">
        <v>44.890412655658032</v>
      </c>
      <c r="BL395" s="34">
        <v>0.38</v>
      </c>
      <c r="BM395" s="34">
        <v>99.798699999999997</v>
      </c>
      <c r="BN395" s="34">
        <v>99.828500000000005</v>
      </c>
      <c r="BO395" s="34">
        <v>22.4</v>
      </c>
      <c r="BP395" s="34">
        <v>14.9</v>
      </c>
      <c r="BQ395" s="34">
        <v>-7.1</v>
      </c>
      <c r="BR395" s="34">
        <v>3.8</v>
      </c>
      <c r="BS395" s="34">
        <v>55</v>
      </c>
      <c r="BT395" s="34">
        <v>7.4</v>
      </c>
      <c r="BU395" s="34">
        <v>11.1</v>
      </c>
      <c r="BV395" s="34">
        <v>10</v>
      </c>
      <c r="BW395" s="34">
        <v>-24.6</v>
      </c>
      <c r="BX395" s="34">
        <v>-18.399999999999999</v>
      </c>
      <c r="BY395" s="34">
        <v>1</v>
      </c>
      <c r="BZ395" s="34">
        <v>100.4</v>
      </c>
      <c r="CA395" s="34">
        <v>-24.6</v>
      </c>
      <c r="CB395" s="34">
        <v>-12.2</v>
      </c>
      <c r="CC395" s="34">
        <v>-15.5</v>
      </c>
      <c r="CD395" s="34">
        <v>-52.7</v>
      </c>
      <c r="CE395" s="34">
        <v>-46.4</v>
      </c>
      <c r="CF395" s="34">
        <v>73.599999999999994</v>
      </c>
      <c r="CG395" s="34">
        <v>53</v>
      </c>
      <c r="CH395" s="34">
        <v>29.9</v>
      </c>
      <c r="CI395" s="34">
        <v>-35.700000000000003</v>
      </c>
      <c r="CJ395" s="34">
        <v>-24.5</v>
      </c>
      <c r="CK395" s="34">
        <v>12.6</v>
      </c>
      <c r="CL395" s="34">
        <v>23.3</v>
      </c>
      <c r="CM395" s="34">
        <v>3523.2912379999998</v>
      </c>
      <c r="CN395" s="34">
        <v>31097.26</v>
      </c>
      <c r="CO395" s="34">
        <v>3911.7294999999999</v>
      </c>
      <c r="CP395" s="34">
        <v>2.085</v>
      </c>
      <c r="CQ395" s="34">
        <v>2.88</v>
      </c>
      <c r="CR395" s="34">
        <v>47.3</v>
      </c>
      <c r="CS395" s="64">
        <v>43.26</v>
      </c>
      <c r="CT395" s="34">
        <v>103.3</v>
      </c>
      <c r="CU395" s="34">
        <v>96.6</v>
      </c>
      <c r="CV395" s="34">
        <v>92.9</v>
      </c>
      <c r="CW395" s="34">
        <v>91.2</v>
      </c>
      <c r="CX395" s="34">
        <v>100.1</v>
      </c>
      <c r="CY395" s="34">
        <v>12.22</v>
      </c>
      <c r="CZ395" s="34">
        <v>71659.271999999997</v>
      </c>
      <c r="DA395" s="34">
        <v>8.26</v>
      </c>
      <c r="DB395" s="34">
        <v>42</v>
      </c>
      <c r="DC395" s="34">
        <v>74.89</v>
      </c>
      <c r="DD395" s="34">
        <v>17.66</v>
      </c>
      <c r="DE395" s="34">
        <v>19846.815999999999</v>
      </c>
      <c r="DF395" s="34">
        <v>2341.152</v>
      </c>
      <c r="DG395" s="34">
        <v>1012.168</v>
      </c>
      <c r="DH395" s="34">
        <v>1578.7180000000001</v>
      </c>
      <c r="DI395" s="34">
        <v>8863.7900000000009</v>
      </c>
      <c r="DJ395" s="34">
        <v>99.130200000000002</v>
      </c>
      <c r="DK395" s="34">
        <v>98.887799999999999</v>
      </c>
      <c r="DL395" s="34">
        <v>98.32</v>
      </c>
      <c r="DM395" s="34">
        <v>97.860799999999998</v>
      </c>
      <c r="DN395" s="34">
        <v>99.828500000000005</v>
      </c>
      <c r="DO395" s="34">
        <v>99.798699999999997</v>
      </c>
      <c r="DP395" s="34">
        <v>99.487799999999993</v>
      </c>
      <c r="DQ395" s="34">
        <v>99.436199999999999</v>
      </c>
      <c r="DR395" s="34">
        <v>101904</v>
      </c>
      <c r="DS395" s="73">
        <v>34539</v>
      </c>
      <c r="DT395" s="73">
        <v>101</v>
      </c>
      <c r="DU395" s="56">
        <v>403.90579223632813</v>
      </c>
      <c r="DV395" s="56">
        <v>765.022216796875</v>
      </c>
      <c r="DW395">
        <v>2214</v>
      </c>
      <c r="DX395">
        <v>136950</v>
      </c>
      <c r="DY395">
        <v>97.8</v>
      </c>
      <c r="DZ395" s="33" t="s">
        <v>312</v>
      </c>
    </row>
    <row r="396" spans="1:130" x14ac:dyDescent="0.25">
      <c r="A396" s="1">
        <v>44774</v>
      </c>
      <c r="B396" s="34">
        <v>97.8</v>
      </c>
      <c r="C396" s="45">
        <v>-8.7999999999999995E-2</v>
      </c>
      <c r="D396" s="99">
        <v>0.5</v>
      </c>
      <c r="E396" s="34">
        <v>0.06</v>
      </c>
      <c r="F396" s="34">
        <v>0.71</v>
      </c>
      <c r="G396" s="34">
        <v>0.86</v>
      </c>
      <c r="H396" s="34">
        <v>1.03</v>
      </c>
      <c r="I396" s="34">
        <f>IF(ISNUMBER(C396),IF(ISNUMBER(H396),H396-C396,""),"")</f>
        <v>1.1180000000000001</v>
      </c>
      <c r="J396" s="34">
        <f>IF(ISNUMBER(D396),IF(ISNUMBER(H396),H396-D396,""),"")</f>
        <v>0.53</v>
      </c>
      <c r="K396" s="34">
        <f>IF(ISNUMBER(H396),IF(ISNUMBER(E396),H396-E396,""),"")</f>
        <v>0.97</v>
      </c>
      <c r="L396" s="34">
        <f>IF(ISNUMBER(D396),IF(ISNUMBER(C396),D396-C396,""),"")</f>
        <v>0.58799999999999997</v>
      </c>
      <c r="M396" s="34">
        <v>94.3</v>
      </c>
      <c r="N396" s="34">
        <v>13479.63</v>
      </c>
      <c r="O396" s="34">
        <v>29.22</v>
      </c>
      <c r="P396" s="64">
        <v>2994.2</v>
      </c>
      <c r="Q396" s="34">
        <f t="shared" si="92"/>
        <v>27.698427382053655</v>
      </c>
      <c r="R396" s="34">
        <v>3820.3</v>
      </c>
      <c r="S396" s="34">
        <f t="shared" si="93"/>
        <v>3534.0425531914898</v>
      </c>
      <c r="T396" s="34">
        <v>3859.4</v>
      </c>
      <c r="U396" s="34">
        <f t="shared" si="94"/>
        <v>3570.2127659574471</v>
      </c>
      <c r="V396" s="118">
        <v>289118</v>
      </c>
      <c r="W396" s="118">
        <v>11781516</v>
      </c>
      <c r="X396" s="119">
        <v>15378008</v>
      </c>
      <c r="Y396" s="119">
        <v>762128</v>
      </c>
      <c r="Z396" s="34">
        <v>95</v>
      </c>
      <c r="AA396" s="34">
        <v>93.5</v>
      </c>
      <c r="AB396" s="34">
        <v>97.9</v>
      </c>
      <c r="AC396" s="34">
        <v>94.7</v>
      </c>
      <c r="AD396" s="34">
        <v>45676</v>
      </c>
      <c r="AE396" s="34">
        <v>5.5</v>
      </c>
      <c r="AF396" s="34">
        <v>859</v>
      </c>
      <c r="AG396" s="34">
        <v>110.6</v>
      </c>
      <c r="AH396" s="34">
        <v>108.1</v>
      </c>
      <c r="AI396" s="64">
        <v>128.9</v>
      </c>
      <c r="AJ396" s="64">
        <v>116.8</v>
      </c>
      <c r="AK396" s="64">
        <v>273.24428599999999</v>
      </c>
      <c r="AL396" s="64">
        <v>96.7</v>
      </c>
      <c r="AM396" s="34">
        <v>131.56</v>
      </c>
      <c r="AN396" s="33">
        <v>526.17999999999995</v>
      </c>
      <c r="AO396" s="33">
        <v>138.93</v>
      </c>
      <c r="AP396" s="33">
        <v>96.39</v>
      </c>
      <c r="AQ396" s="34">
        <f t="shared" si="129"/>
        <v>0.74778898370830094</v>
      </c>
      <c r="AR396" s="34">
        <v>89.2</v>
      </c>
      <c r="AS396" s="34">
        <v>80.900000000000006</v>
      </c>
      <c r="AT396" s="34">
        <v>98.3</v>
      </c>
      <c r="AU396" s="34">
        <v>90.8</v>
      </c>
      <c r="AV396" s="34">
        <v>84.2</v>
      </c>
      <c r="AW396" s="34">
        <v>98</v>
      </c>
      <c r="AX396" s="34">
        <v>5.8</v>
      </c>
      <c r="AY396" s="34">
        <v>25.5</v>
      </c>
      <c r="AZ396" s="34">
        <v>-9.6</v>
      </c>
      <c r="BA396" s="34">
        <v>-6.3</v>
      </c>
      <c r="BB396" s="34">
        <v>85.2</v>
      </c>
      <c r="BC396" s="34">
        <v>73.599999999999994</v>
      </c>
      <c r="BD396" s="34">
        <v>98.7</v>
      </c>
      <c r="BE396" s="34">
        <v>-47.6</v>
      </c>
      <c r="BF396" s="34">
        <v>-55.3</v>
      </c>
      <c r="BG396" s="34">
        <v>-17.600000000000001</v>
      </c>
      <c r="BH396" s="34">
        <v>156.30000000000001</v>
      </c>
      <c r="BI396" s="34">
        <v>5.4</v>
      </c>
      <c r="BJ396" s="34">
        <v>49.1</v>
      </c>
      <c r="BK396" s="34">
        <v>37.273437082291437</v>
      </c>
      <c r="BL396" s="34">
        <v>0.23</v>
      </c>
      <c r="BM396" s="34">
        <v>99.491299999999995</v>
      </c>
      <c r="BN396" s="34">
        <v>99.564499999999995</v>
      </c>
      <c r="BO396" s="34">
        <v>17</v>
      </c>
      <c r="BP396" s="34">
        <v>9.6</v>
      </c>
      <c r="BQ396" s="34">
        <v>0</v>
      </c>
      <c r="BR396" s="34">
        <v>7.6</v>
      </c>
      <c r="BS396" s="34">
        <v>52.7</v>
      </c>
      <c r="BT396" s="34">
        <v>4.5999999999999996</v>
      </c>
      <c r="BU396" s="34">
        <v>8.1999999999999993</v>
      </c>
      <c r="BV396" s="34">
        <v>7.3</v>
      </c>
      <c r="BW396" s="34">
        <v>-23.5</v>
      </c>
      <c r="BX396" s="34">
        <v>-19.5</v>
      </c>
      <c r="BY396" s="34">
        <v>1.7</v>
      </c>
      <c r="BZ396" s="34">
        <v>98.5</v>
      </c>
      <c r="CA396" s="34">
        <v>-23.5</v>
      </c>
      <c r="CB396" s="34">
        <v>-10.199999999999999</v>
      </c>
      <c r="CC396" s="34">
        <v>-14.8</v>
      </c>
      <c r="CD396" s="34">
        <v>-51.3</v>
      </c>
      <c r="CE396" s="34">
        <v>-44</v>
      </c>
      <c r="CF396" s="34">
        <v>76.3</v>
      </c>
      <c r="CG396" s="34">
        <v>52.5</v>
      </c>
      <c r="CH396" s="34">
        <v>32.1</v>
      </c>
      <c r="CI396" s="34">
        <v>-35</v>
      </c>
      <c r="CJ396" s="34">
        <v>-24.9</v>
      </c>
      <c r="CK396" s="34">
        <v>15.6</v>
      </c>
      <c r="CL396" s="34">
        <v>25.3</v>
      </c>
      <c r="CM396" s="34">
        <v>3701.0549999999998</v>
      </c>
      <c r="CN396" s="34">
        <v>32798.400000000001</v>
      </c>
      <c r="CO396" s="34">
        <v>4158.5630430000001</v>
      </c>
      <c r="CP396" s="34">
        <v>1.8089999999999999</v>
      </c>
      <c r="CQ396" s="34">
        <v>2.6</v>
      </c>
      <c r="CR396" s="34">
        <v>58</v>
      </c>
      <c r="CS396" s="64">
        <v>44.73</v>
      </c>
      <c r="CT396" s="34">
        <v>101.4</v>
      </c>
      <c r="CU396" s="34">
        <v>97</v>
      </c>
      <c r="CV396" s="34">
        <v>91.1</v>
      </c>
      <c r="CW396" s="34">
        <v>88.3</v>
      </c>
      <c r="CX396" s="34">
        <v>93.6</v>
      </c>
      <c r="CY396" s="34">
        <v>13.7</v>
      </c>
      <c r="CZ396" s="34">
        <v>69744.293000000005</v>
      </c>
      <c r="DA396" s="34">
        <v>8.2200000000000006</v>
      </c>
      <c r="DB396" s="34">
        <v>43.41</v>
      </c>
      <c r="DC396" s="34">
        <v>75.41</v>
      </c>
      <c r="DD396" s="34">
        <v>17.989999999999998</v>
      </c>
      <c r="DE396" s="34">
        <v>20619.082999999999</v>
      </c>
      <c r="DF396" s="34">
        <v>2718.7139999999999</v>
      </c>
      <c r="DG396" s="34">
        <v>1147.8009999999999</v>
      </c>
      <c r="DH396" s="34">
        <v>1683.424</v>
      </c>
      <c r="DI396" s="34">
        <v>8816.9169999999995</v>
      </c>
      <c r="DJ396" s="34">
        <v>99.092100000000002</v>
      </c>
      <c r="DK396" s="34">
        <v>98.837500000000006</v>
      </c>
      <c r="DL396" s="34">
        <v>98.32</v>
      </c>
      <c r="DM396" s="34">
        <v>97.870800000000003</v>
      </c>
      <c r="DN396" s="34">
        <v>99.564499999999995</v>
      </c>
      <c r="DO396" s="34">
        <v>99.491299999999995</v>
      </c>
      <c r="DP396" s="34">
        <v>99.294399999999996</v>
      </c>
      <c r="DQ396" s="34">
        <v>99.223500000000001</v>
      </c>
      <c r="DR396" s="34">
        <v>75606</v>
      </c>
      <c r="DS396" s="73">
        <v>34584</v>
      </c>
      <c r="DT396" s="73">
        <v>100.9</v>
      </c>
      <c r="DU396" s="56">
        <v>327.9154052734375</v>
      </c>
      <c r="DV396" s="56">
        <v>742.73870849609375</v>
      </c>
      <c r="DW396">
        <v>1872</v>
      </c>
      <c r="DX396">
        <v>130975</v>
      </c>
      <c r="DY396">
        <v>98.4</v>
      </c>
      <c r="DZ396" s="33" t="s">
        <v>312</v>
      </c>
    </row>
    <row r="397" spans="1:130" s="56" customFormat="1" x14ac:dyDescent="0.25">
      <c r="A397" s="53">
        <v>44805</v>
      </c>
      <c r="B397" s="54">
        <v>99.6</v>
      </c>
      <c r="C397" s="55">
        <v>-8.4000000000000005E-2</v>
      </c>
      <c r="D397" s="98">
        <v>1.25</v>
      </c>
      <c r="E397" s="54">
        <v>0.48</v>
      </c>
      <c r="F397" s="54">
        <v>1.56</v>
      </c>
      <c r="G397" s="54">
        <v>1.68</v>
      </c>
      <c r="H397" s="54">
        <v>1.8</v>
      </c>
      <c r="I397" s="54">
        <f t="shared" ref="I397:I403" si="130">IF(ISNUMBER(C397),IF(ISNUMBER(H397),H397-C397,""),"")</f>
        <v>1.8840000000000001</v>
      </c>
      <c r="J397" s="54">
        <f t="shared" ref="J397:J403" si="131">IF(ISNUMBER(D397),IF(ISNUMBER(H397),H397-D397,""),"")</f>
        <v>0.55000000000000004</v>
      </c>
      <c r="K397" s="54">
        <f t="shared" ref="K397:K403" si="132">IF(ISNUMBER(H397),IF(ISNUMBER(E397),H397-E397,""),"")</f>
        <v>1.32</v>
      </c>
      <c r="L397" s="54">
        <f t="shared" ref="L397:L403" si="133">IF(ISNUMBER(D397),IF(ISNUMBER(C397),D397-C397,""),"")</f>
        <v>1.3340000000000001</v>
      </c>
      <c r="M397" s="54">
        <v>95.6</v>
      </c>
      <c r="N397" s="54">
        <v>12630.23</v>
      </c>
      <c r="O397" s="54">
        <v>30.48</v>
      </c>
      <c r="P397" s="64">
        <v>2942.7</v>
      </c>
      <c r="Q397" s="34">
        <f t="shared" si="92"/>
        <v>26.923147301006402</v>
      </c>
      <c r="R397" s="34">
        <v>3811.6</v>
      </c>
      <c r="S397" s="34">
        <f t="shared" si="93"/>
        <v>3487.2827081427267</v>
      </c>
      <c r="T397" s="34">
        <v>3855.5</v>
      </c>
      <c r="U397" s="34">
        <f t="shared" si="94"/>
        <v>3527.4473924977128</v>
      </c>
      <c r="V397" s="118">
        <v>291818</v>
      </c>
      <c r="W397" s="118">
        <v>11694702</v>
      </c>
      <c r="X397" s="119">
        <v>15422537</v>
      </c>
      <c r="Y397" s="119">
        <v>773566</v>
      </c>
      <c r="Z397" s="54">
        <v>95.7</v>
      </c>
      <c r="AA397" s="54">
        <v>91.3</v>
      </c>
      <c r="AB397" s="54">
        <v>105.8</v>
      </c>
      <c r="AC397" s="54">
        <v>91.2</v>
      </c>
      <c r="AD397" s="54">
        <v>45723</v>
      </c>
      <c r="AE397" s="54">
        <v>5.5</v>
      </c>
      <c r="AF397" s="54">
        <v>846</v>
      </c>
      <c r="AG397" s="54">
        <v>112.6</v>
      </c>
      <c r="AH397" s="54">
        <v>109.3</v>
      </c>
      <c r="AI397" s="64">
        <v>127.5</v>
      </c>
      <c r="AJ397" s="64">
        <v>116</v>
      </c>
      <c r="AK397" s="64">
        <v>277.93182200000001</v>
      </c>
      <c r="AL397" s="64">
        <v>96.5</v>
      </c>
      <c r="AM397" s="54">
        <v>123.83</v>
      </c>
      <c r="AN397" s="33">
        <v>458.95</v>
      </c>
      <c r="AO397" s="33">
        <v>134.13999999999999</v>
      </c>
      <c r="AP397" s="33">
        <v>91.52</v>
      </c>
      <c r="AQ397" s="54">
        <f t="shared" si="129"/>
        <v>0.71780392156862738</v>
      </c>
      <c r="AR397" s="54">
        <v>86.5</v>
      </c>
      <c r="AS397" s="54">
        <v>78.099999999999994</v>
      </c>
      <c r="AT397" s="54">
        <v>95.8</v>
      </c>
      <c r="AU397" s="54">
        <v>88.3</v>
      </c>
      <c r="AV397" s="54">
        <v>81.099999999999994</v>
      </c>
      <c r="AW397" s="54">
        <v>96</v>
      </c>
      <c r="AX397" s="54">
        <v>5.9</v>
      </c>
      <c r="AY397" s="54">
        <v>21.2</v>
      </c>
      <c r="AZ397" s="54">
        <v>-15.5</v>
      </c>
      <c r="BA397" s="54">
        <v>-13.3</v>
      </c>
      <c r="BB397" s="54">
        <v>83</v>
      </c>
      <c r="BC397" s="54">
        <v>71.5</v>
      </c>
      <c r="BD397" s="54">
        <v>96.3</v>
      </c>
      <c r="BE397" s="54">
        <v>-60.5</v>
      </c>
      <c r="BF397" s="54">
        <v>-61.9</v>
      </c>
      <c r="BG397" s="54">
        <v>-21.9</v>
      </c>
      <c r="BH397" s="54">
        <v>161</v>
      </c>
      <c r="BI397" s="54">
        <v>2.4</v>
      </c>
      <c r="BJ397" s="34">
        <v>47.8</v>
      </c>
      <c r="BK397" s="54">
        <v>5.7764066690970211</v>
      </c>
      <c r="BL397" s="54">
        <v>-0.73</v>
      </c>
      <c r="BM397" s="54">
        <v>99.275700000000001</v>
      </c>
      <c r="BN397" s="54">
        <v>99.379300000000001</v>
      </c>
      <c r="BO397" s="54">
        <v>16.399999999999999</v>
      </c>
      <c r="BP397" s="54">
        <v>7</v>
      </c>
      <c r="BQ397" s="54">
        <v>3</v>
      </c>
      <c r="BR397" s="54">
        <v>0.4</v>
      </c>
      <c r="BS397" s="54">
        <v>61.9</v>
      </c>
      <c r="BT397" s="54">
        <v>1.8</v>
      </c>
      <c r="BU397" s="54">
        <v>4.5999999999999996</v>
      </c>
      <c r="BV397" s="54">
        <v>5.9</v>
      </c>
      <c r="BW397" s="54">
        <v>-28</v>
      </c>
      <c r="BX397" s="54">
        <v>-23.5</v>
      </c>
      <c r="BY397" s="54">
        <v>-2.7</v>
      </c>
      <c r="BZ397" s="54">
        <v>94.3</v>
      </c>
      <c r="CA397" s="54">
        <v>-28</v>
      </c>
      <c r="CB397" s="54">
        <v>-14.4</v>
      </c>
      <c r="CC397" s="54">
        <v>-23</v>
      </c>
      <c r="CD397" s="54">
        <v>-57.4</v>
      </c>
      <c r="CE397" s="54">
        <v>-47.7</v>
      </c>
      <c r="CF397" s="54">
        <v>75.400000000000006</v>
      </c>
      <c r="CG397" s="54">
        <v>54.4</v>
      </c>
      <c r="CH397" s="54">
        <v>34.6</v>
      </c>
      <c r="CI397" s="54">
        <v>-41.2</v>
      </c>
      <c r="CJ397" s="54">
        <v>-27</v>
      </c>
      <c r="CK397" s="54">
        <v>10.8</v>
      </c>
      <c r="CL397" s="54">
        <v>24.2</v>
      </c>
      <c r="CM397" s="54">
        <v>3466.1881819999999</v>
      </c>
      <c r="CN397" s="54">
        <v>31656.42</v>
      </c>
      <c r="CO397" s="54">
        <v>3850.5204760000001</v>
      </c>
      <c r="CP397" s="54">
        <v>2.8809999999999998</v>
      </c>
      <c r="CQ397" s="54">
        <v>3.26</v>
      </c>
      <c r="CR397" s="54">
        <v>58</v>
      </c>
      <c r="CS397" s="64">
        <v>40.1</v>
      </c>
      <c r="CT397" s="54">
        <v>96.8</v>
      </c>
      <c r="CU397" s="54">
        <v>96.3</v>
      </c>
      <c r="CV397" s="54">
        <v>88.5</v>
      </c>
      <c r="CW397" s="54">
        <v>89.5</v>
      </c>
      <c r="CX397" s="54">
        <v>94.5</v>
      </c>
      <c r="CY397" s="54">
        <v>14.37</v>
      </c>
      <c r="CZ397" s="54">
        <v>81262.540999999997</v>
      </c>
      <c r="DA397" s="54">
        <v>8.2899999999999991</v>
      </c>
      <c r="DB397" s="54">
        <v>46.48</v>
      </c>
      <c r="DC397" s="54">
        <v>76.930000000000007</v>
      </c>
      <c r="DD397" s="54">
        <v>18.14</v>
      </c>
      <c r="DE397" s="54">
        <v>21972.433000000001</v>
      </c>
      <c r="DF397" s="54">
        <v>2993.5430000000001</v>
      </c>
      <c r="DG397" s="54">
        <v>1096.1679999999999</v>
      </c>
      <c r="DH397" s="54">
        <v>1805.32</v>
      </c>
      <c r="DI397" s="54">
        <v>9009.223</v>
      </c>
      <c r="DJ397" s="54">
        <v>99.094899999999996</v>
      </c>
      <c r="DK397" s="54">
        <v>98.837800000000001</v>
      </c>
      <c r="DL397" s="54">
        <v>98.42</v>
      </c>
      <c r="DM397" s="54">
        <v>97.988200000000006</v>
      </c>
      <c r="DN397" s="54">
        <v>99.379300000000001</v>
      </c>
      <c r="DO397" s="54">
        <v>99.275700000000001</v>
      </c>
      <c r="DP397" s="54">
        <v>99.143299999999996</v>
      </c>
      <c r="DQ397" s="54">
        <v>99.057299999999998</v>
      </c>
      <c r="DR397" s="54">
        <v>97396</v>
      </c>
      <c r="DS397" s="96">
        <v>34627</v>
      </c>
      <c r="DT397" s="96">
        <v>99.7</v>
      </c>
      <c r="DU397" s="56">
        <v>396.80377197265625</v>
      </c>
      <c r="DV397" s="56">
        <v>844.85479736328125</v>
      </c>
      <c r="DW397" s="56">
        <v>1002</v>
      </c>
      <c r="DX397" s="56">
        <v>110550</v>
      </c>
      <c r="DY397" s="56">
        <v>98.2</v>
      </c>
      <c r="DZ397" s="60" t="s">
        <v>312</v>
      </c>
    </row>
    <row r="398" spans="1:130" x14ac:dyDescent="0.25">
      <c r="A398" s="1">
        <v>44835</v>
      </c>
      <c r="B398" s="34">
        <v>98.8</v>
      </c>
      <c r="C398" s="45">
        <v>0.65600000000000003</v>
      </c>
      <c r="D398" s="99">
        <v>1.25</v>
      </c>
      <c r="E398" s="34">
        <v>0.94</v>
      </c>
      <c r="F398" s="34">
        <v>1.94</v>
      </c>
      <c r="G398" s="34">
        <v>2.0499999999999998</v>
      </c>
      <c r="H398" s="34">
        <v>2.19</v>
      </c>
      <c r="I398" s="34">
        <f t="shared" si="130"/>
        <v>1.5339999999999998</v>
      </c>
      <c r="J398" s="34">
        <f t="shared" si="131"/>
        <v>0.94</v>
      </c>
      <c r="K398" s="34">
        <f t="shared" si="132"/>
        <v>1.25</v>
      </c>
      <c r="L398" s="34">
        <f t="shared" si="133"/>
        <v>0.59399999999999997</v>
      </c>
      <c r="M398" s="34">
        <v>95.7</v>
      </c>
      <c r="N398" s="34">
        <v>12209.48</v>
      </c>
      <c r="O398" s="34">
        <v>24.92</v>
      </c>
      <c r="P398" s="64">
        <v>2917.1</v>
      </c>
      <c r="Q398" s="34">
        <f t="shared" si="92"/>
        <v>26.543221110100088</v>
      </c>
      <c r="R398" s="34">
        <v>3816.1</v>
      </c>
      <c r="S398" s="34">
        <f t="shared" si="93"/>
        <v>3472.3384895359418</v>
      </c>
      <c r="T398" s="34">
        <v>3853.3</v>
      </c>
      <c r="U398" s="34">
        <f t="shared" si="94"/>
        <v>3506.1874431301185</v>
      </c>
      <c r="V398" s="118">
        <v>289586</v>
      </c>
      <c r="W398" s="118">
        <v>11567647</v>
      </c>
      <c r="X398" s="119">
        <v>15373677</v>
      </c>
      <c r="Y398" s="119">
        <v>773756</v>
      </c>
      <c r="Z398" s="34">
        <v>93.9</v>
      </c>
      <c r="AA398" s="34">
        <v>92.2</v>
      </c>
      <c r="AB398" s="34">
        <v>98.3</v>
      </c>
      <c r="AC398" s="34">
        <v>93.8</v>
      </c>
      <c r="AD398" s="34">
        <v>45757</v>
      </c>
      <c r="AE398" s="34">
        <v>5.5</v>
      </c>
      <c r="AF398" s="34">
        <v>829</v>
      </c>
      <c r="AG398" s="34">
        <v>113.4</v>
      </c>
      <c r="AH398" s="34">
        <v>109.9</v>
      </c>
      <c r="AI398" s="64">
        <v>125.6</v>
      </c>
      <c r="AJ398" s="64">
        <v>114.3</v>
      </c>
      <c r="AK398" s="64">
        <v>272.07240200000001</v>
      </c>
      <c r="AL398" s="64">
        <v>97.1</v>
      </c>
      <c r="AM398" s="34">
        <v>120.8</v>
      </c>
      <c r="AN398" s="34">
        <v>312.08</v>
      </c>
      <c r="AO398" s="34">
        <v>131.05000000000001</v>
      </c>
      <c r="AP398" s="34">
        <v>95.24</v>
      </c>
      <c r="AQ398" s="34">
        <f t="shared" si="129"/>
        <v>0.75828025477707006</v>
      </c>
      <c r="AR398" s="34">
        <v>86</v>
      </c>
      <c r="AS398" s="34">
        <v>77.400000000000006</v>
      </c>
      <c r="AT398" s="34">
        <v>95.5</v>
      </c>
      <c r="AU398" s="34">
        <v>87.2</v>
      </c>
      <c r="AV398" s="34">
        <v>79.5</v>
      </c>
      <c r="AW398" s="34">
        <v>95.7</v>
      </c>
      <c r="AX398" s="34">
        <v>-5.2</v>
      </c>
      <c r="AY398" s="34">
        <v>22.5</v>
      </c>
      <c r="AZ398" s="34">
        <v>-18.5</v>
      </c>
      <c r="BA398" s="34">
        <v>-15.6</v>
      </c>
      <c r="BB398" s="34">
        <v>83.1</v>
      </c>
      <c r="BC398" s="34">
        <v>72</v>
      </c>
      <c r="BD398" s="34">
        <v>95.9</v>
      </c>
      <c r="BE398" s="34">
        <v>-72.2</v>
      </c>
      <c r="BF398" s="34">
        <v>-59.2</v>
      </c>
      <c r="BG398" s="34">
        <v>-22.2</v>
      </c>
      <c r="BH398" s="34">
        <v>164.8</v>
      </c>
      <c r="BI398" s="34">
        <v>3.4</v>
      </c>
      <c r="BJ398" s="34">
        <v>45.1</v>
      </c>
      <c r="BK398" s="34">
        <v>-14.269274673768791</v>
      </c>
      <c r="BL398" s="34">
        <v>-0.31</v>
      </c>
      <c r="BM398" s="34">
        <v>99.177599999999998</v>
      </c>
      <c r="BN398" s="34">
        <v>99.294899999999998</v>
      </c>
      <c r="BO398" s="34">
        <v>14.5</v>
      </c>
      <c r="BP398" s="34">
        <v>8</v>
      </c>
      <c r="BQ398" s="34">
        <v>5.8</v>
      </c>
      <c r="BR398" s="34">
        <v>1.6</v>
      </c>
      <c r="BS398" s="34">
        <v>55.8</v>
      </c>
      <c r="BT398" s="34">
        <v>1.3</v>
      </c>
      <c r="BU398" s="34">
        <v>3.4</v>
      </c>
      <c r="BV398" s="34">
        <v>1.8</v>
      </c>
      <c r="BW398" s="34">
        <v>-26.6</v>
      </c>
      <c r="BX398" s="34">
        <v>-23.5</v>
      </c>
      <c r="BY398" s="34">
        <v>-3.2</v>
      </c>
      <c r="BZ398" s="34">
        <v>92.8</v>
      </c>
      <c r="CA398" s="34">
        <v>-26.6</v>
      </c>
      <c r="CB398" s="34">
        <v>-13.2</v>
      </c>
      <c r="CC398" s="34">
        <v>-19.7</v>
      </c>
      <c r="CD398" s="34">
        <v>-57.4</v>
      </c>
      <c r="CE398" s="34">
        <v>-46</v>
      </c>
      <c r="CF398" s="34">
        <v>75</v>
      </c>
      <c r="CG398" s="34">
        <v>50.9</v>
      </c>
      <c r="CH398" s="34">
        <v>34.9</v>
      </c>
      <c r="CI398" s="34">
        <v>-39.1</v>
      </c>
      <c r="CJ398" s="34">
        <v>-27.7</v>
      </c>
      <c r="CK398" s="34">
        <v>11.7</v>
      </c>
      <c r="CL398" s="34">
        <v>20.6</v>
      </c>
      <c r="CM398" s="34">
        <v>3464.576</v>
      </c>
      <c r="CN398" s="34">
        <v>29490.89</v>
      </c>
      <c r="CO398" s="34">
        <v>3726.0509520000001</v>
      </c>
      <c r="CP398" s="34">
        <v>3.9449999999999998</v>
      </c>
      <c r="CQ398" s="34">
        <v>3.67</v>
      </c>
      <c r="CR398" s="34">
        <v>56.2</v>
      </c>
      <c r="CS398" s="64">
        <v>44.56</v>
      </c>
      <c r="CT398" s="34">
        <v>96.9</v>
      </c>
      <c r="CU398" s="34">
        <v>98.1</v>
      </c>
      <c r="CV398" s="34">
        <v>88.2</v>
      </c>
      <c r="CW398" s="34">
        <v>84.1</v>
      </c>
      <c r="CX398" s="34">
        <v>87.4</v>
      </c>
      <c r="CY398" s="34">
        <v>13.91</v>
      </c>
      <c r="CZ398" s="34">
        <v>74264.498000000007</v>
      </c>
      <c r="DA398" s="34">
        <v>8.5399999999999991</v>
      </c>
      <c r="DB398" s="34">
        <v>43.02</v>
      </c>
      <c r="DC398" s="34">
        <v>73.83</v>
      </c>
      <c r="DD398" s="34">
        <v>18.329999999999998</v>
      </c>
      <c r="DE398" s="34">
        <v>20411.185000000001</v>
      </c>
      <c r="DF398" s="34">
        <v>2605.3270000000002</v>
      </c>
      <c r="DG398" s="34">
        <v>982.76</v>
      </c>
      <c r="DH398" s="34">
        <v>1849.6420000000001</v>
      </c>
      <c r="DI398" s="34">
        <v>8514.5570000000007</v>
      </c>
      <c r="DJ398" s="34">
        <v>99.142499999999998</v>
      </c>
      <c r="DK398" s="34">
        <v>98.895700000000005</v>
      </c>
      <c r="DL398" s="34">
        <v>98.59</v>
      </c>
      <c r="DM398" s="34">
        <v>98.206999999999994</v>
      </c>
      <c r="DN398" s="34">
        <v>99.294899999999998</v>
      </c>
      <c r="DO398" s="34">
        <v>99.177599999999998</v>
      </c>
      <c r="DP398" s="34">
        <v>99.022300000000001</v>
      </c>
      <c r="DQ398" s="34">
        <v>98.924199999999999</v>
      </c>
      <c r="DR398" s="34">
        <v>124208</v>
      </c>
      <c r="DS398" s="73">
        <v>34624</v>
      </c>
      <c r="DT398" s="73">
        <v>98.2</v>
      </c>
      <c r="DU398" s="56">
        <v>418.61883544921875</v>
      </c>
      <c r="DV398" s="56">
        <v>753.229736328125</v>
      </c>
      <c r="DW398">
        <v>1788</v>
      </c>
      <c r="DX398">
        <v>136750</v>
      </c>
      <c r="DY398">
        <v>98.8</v>
      </c>
      <c r="DZ398" s="33" t="s">
        <v>312</v>
      </c>
    </row>
    <row r="399" spans="1:130" x14ac:dyDescent="0.25">
      <c r="A399" s="1">
        <v>44866</v>
      </c>
      <c r="B399" s="34">
        <v>99.4</v>
      </c>
      <c r="C399" s="45">
        <v>0.65900000000000003</v>
      </c>
      <c r="D399" s="99">
        <v>2</v>
      </c>
      <c r="E399" s="34">
        <v>1.42</v>
      </c>
      <c r="F399" s="34">
        <v>2</v>
      </c>
      <c r="G399" s="34">
        <v>2.0099999999999998</v>
      </c>
      <c r="H399" s="34">
        <v>2.0699999999999998</v>
      </c>
      <c r="I399" s="34">
        <f t="shared" si="130"/>
        <v>1.4109999999999998</v>
      </c>
      <c r="J399" s="34">
        <f t="shared" si="131"/>
        <v>6.999999999999984E-2</v>
      </c>
      <c r="K399" s="34">
        <f t="shared" si="132"/>
        <v>0.64999999999999991</v>
      </c>
      <c r="L399" s="34">
        <f t="shared" si="133"/>
        <v>1.341</v>
      </c>
      <c r="M399" s="34">
        <v>96.8</v>
      </c>
      <c r="N399" s="34">
        <v>13338.74</v>
      </c>
      <c r="O399" s="34">
        <v>21.06</v>
      </c>
      <c r="P399" s="64">
        <v>2895.7</v>
      </c>
      <c r="Q399" s="34">
        <f t="shared" si="92"/>
        <v>26.181735985533454</v>
      </c>
      <c r="R399" s="34">
        <v>3799.5</v>
      </c>
      <c r="S399" s="34">
        <f t="shared" si="93"/>
        <v>3435.3526220614831</v>
      </c>
      <c r="T399" s="34">
        <v>3842.6</v>
      </c>
      <c r="U399" s="34">
        <f t="shared" si="94"/>
        <v>3474.3218806509944</v>
      </c>
      <c r="V399" s="118">
        <v>292586</v>
      </c>
      <c r="W399" s="118">
        <v>11439544</v>
      </c>
      <c r="X399" s="119">
        <v>15312496</v>
      </c>
      <c r="Y399" s="119">
        <v>818503</v>
      </c>
      <c r="Z399" s="34">
        <v>94.5</v>
      </c>
      <c r="AA399" s="34">
        <v>88.9</v>
      </c>
      <c r="AB399" s="34">
        <v>99.4</v>
      </c>
      <c r="AC399" s="34">
        <v>88.3</v>
      </c>
      <c r="AD399" s="34">
        <v>45773</v>
      </c>
      <c r="AE399" s="34">
        <v>5.5</v>
      </c>
      <c r="AF399" s="34">
        <v>821</v>
      </c>
      <c r="AG399" s="34">
        <v>114</v>
      </c>
      <c r="AH399" s="34">
        <v>110.6</v>
      </c>
      <c r="AI399" s="64">
        <v>121.7</v>
      </c>
      <c r="AJ399" s="64">
        <v>114.2</v>
      </c>
      <c r="AK399" s="64">
        <v>263.6739</v>
      </c>
      <c r="AL399" s="64">
        <v>148.30000000000001</v>
      </c>
      <c r="AM399" s="34">
        <v>123.24</v>
      </c>
      <c r="AN399" s="34">
        <v>333.31</v>
      </c>
      <c r="AO399" s="34">
        <v>132.13</v>
      </c>
      <c r="AP399" s="34">
        <v>89.2</v>
      </c>
      <c r="AQ399" s="34">
        <f t="shared" si="129"/>
        <v>0.73294987674609702</v>
      </c>
      <c r="AR399" s="34">
        <v>87.6</v>
      </c>
      <c r="AS399" s="34">
        <v>80.400000000000006</v>
      </c>
      <c r="AT399" s="34">
        <v>95.4</v>
      </c>
      <c r="AU399" s="34">
        <v>88.9</v>
      </c>
      <c r="AV399" s="34">
        <v>83.6</v>
      </c>
      <c r="AW399" s="34">
        <v>94.4</v>
      </c>
      <c r="AX399" s="34">
        <v>3.5</v>
      </c>
      <c r="AY399" s="34">
        <v>32.1</v>
      </c>
      <c r="AZ399" s="34">
        <v>-15.4</v>
      </c>
      <c r="BA399" s="34">
        <v>-6.7</v>
      </c>
      <c r="BB399" s="34">
        <v>84.2</v>
      </c>
      <c r="BC399" s="34">
        <v>73.599999999999994</v>
      </c>
      <c r="BD399" s="34">
        <v>96.4</v>
      </c>
      <c r="BE399" s="34">
        <v>-64.5</v>
      </c>
      <c r="BF399" s="34">
        <v>-36.700000000000003</v>
      </c>
      <c r="BG399" s="34">
        <v>-17.899999999999999</v>
      </c>
      <c r="BH399" s="34">
        <v>165.1</v>
      </c>
      <c r="BI399" s="34">
        <v>3.8</v>
      </c>
      <c r="BJ399" s="34">
        <v>46.2</v>
      </c>
      <c r="BK399" s="34">
        <v>-32.419203255892171</v>
      </c>
      <c r="BL399" s="34">
        <v>-0.62</v>
      </c>
      <c r="BM399" s="34">
        <v>99.203000000000003</v>
      </c>
      <c r="BN399" s="34">
        <v>99.316800000000001</v>
      </c>
      <c r="BO399" s="34">
        <v>12.1</v>
      </c>
      <c r="BP399" s="34">
        <v>6.1</v>
      </c>
      <c r="BQ399" s="34">
        <v>6.5</v>
      </c>
      <c r="BR399" s="34">
        <v>5.3</v>
      </c>
      <c r="BS399" s="34">
        <v>52.1</v>
      </c>
      <c r="BT399" s="34">
        <v>3.4</v>
      </c>
      <c r="BU399" s="34">
        <v>3.6</v>
      </c>
      <c r="BV399" s="34">
        <v>2.5</v>
      </c>
      <c r="BW399" s="34">
        <v>-24.3</v>
      </c>
      <c r="BX399" s="34">
        <v>-23.5</v>
      </c>
      <c r="BY399" s="34">
        <v>-2.1</v>
      </c>
      <c r="BZ399" s="34">
        <v>94.1</v>
      </c>
      <c r="CA399" s="34">
        <v>-24.3</v>
      </c>
      <c r="CB399" s="34">
        <v>-13</v>
      </c>
      <c r="CC399" s="34">
        <v>-16.899999999999999</v>
      </c>
      <c r="CD399" s="34">
        <v>-53.1</v>
      </c>
      <c r="CE399" s="34">
        <v>-42.3</v>
      </c>
      <c r="CF399" s="34">
        <v>75.8</v>
      </c>
      <c r="CG399" s="34">
        <v>42.7</v>
      </c>
      <c r="CH399" s="34">
        <v>31.8</v>
      </c>
      <c r="CI399" s="34">
        <v>-38.799999999999997</v>
      </c>
      <c r="CJ399" s="34">
        <v>-25</v>
      </c>
      <c r="CK399" s="34">
        <v>11.9</v>
      </c>
      <c r="CL399" s="34">
        <v>23.6</v>
      </c>
      <c r="CM399" s="34">
        <v>3839.9561819999999</v>
      </c>
      <c r="CN399" s="34">
        <v>32653.200000000001</v>
      </c>
      <c r="CO399" s="34">
        <v>3917.4885709999999</v>
      </c>
      <c r="CP399" s="34">
        <v>3.4550000000000001</v>
      </c>
      <c r="CQ399" s="34">
        <v>4.07</v>
      </c>
      <c r="CR399" s="34">
        <v>55.5</v>
      </c>
      <c r="CS399" s="64">
        <v>40.31</v>
      </c>
      <c r="CT399" s="34">
        <v>95</v>
      </c>
      <c r="CU399" s="34">
        <v>96.3</v>
      </c>
      <c r="CV399" s="34">
        <v>88.3</v>
      </c>
      <c r="CW399" s="34">
        <v>83.3</v>
      </c>
      <c r="CX399" s="34">
        <v>85.9</v>
      </c>
      <c r="CY399" s="34">
        <v>13.54</v>
      </c>
      <c r="CZ399" s="34">
        <v>78915.561000000002</v>
      </c>
      <c r="DA399" s="34">
        <v>8.5</v>
      </c>
      <c r="DB399" s="34">
        <v>41.86</v>
      </c>
      <c r="DC399" s="34">
        <v>74.88</v>
      </c>
      <c r="DD399" s="34">
        <v>19.05</v>
      </c>
      <c r="DE399" s="34">
        <v>22131.227999999999</v>
      </c>
      <c r="DF399" s="34">
        <v>2849.6959999999999</v>
      </c>
      <c r="DG399" s="34">
        <v>1219.3489999999999</v>
      </c>
      <c r="DH399" s="34">
        <v>1766.221</v>
      </c>
      <c r="DI399" s="34">
        <v>9327.0329999999994</v>
      </c>
      <c r="DJ399" s="34">
        <v>99.237399999999994</v>
      </c>
      <c r="DK399" s="34">
        <v>99.013099999999994</v>
      </c>
      <c r="DL399" s="34">
        <v>98.85</v>
      </c>
      <c r="DM399" s="34">
        <v>98.5334</v>
      </c>
      <c r="DN399" s="34">
        <v>99.316800000000001</v>
      </c>
      <c r="DO399" s="34">
        <v>99.203000000000003</v>
      </c>
      <c r="DP399" s="34">
        <v>98.924999999999997</v>
      </c>
      <c r="DQ399" s="34">
        <v>98.8172</v>
      </c>
      <c r="DR399" s="34">
        <v>146637</v>
      </c>
      <c r="DS399" s="73">
        <v>34637</v>
      </c>
      <c r="DT399" s="73">
        <v>99.8</v>
      </c>
      <c r="DU399" s="56">
        <v>357.08670043945313</v>
      </c>
      <c r="DV399" s="56">
        <v>767.656982421875</v>
      </c>
      <c r="DW399">
        <v>1377</v>
      </c>
      <c r="DX399">
        <v>102225</v>
      </c>
      <c r="DY399">
        <v>98.7</v>
      </c>
      <c r="DZ399" s="33" t="s">
        <v>312</v>
      </c>
    </row>
    <row r="400" spans="1:130" s="56" customFormat="1" x14ac:dyDescent="0.25">
      <c r="A400" s="1">
        <v>44896</v>
      </c>
      <c r="B400" s="34">
        <v>96.5</v>
      </c>
      <c r="C400" s="55">
        <v>1.4</v>
      </c>
      <c r="D400" s="98">
        <v>2.5</v>
      </c>
      <c r="E400" s="54">
        <v>1.77</v>
      </c>
      <c r="F400" s="54">
        <v>2.09</v>
      </c>
      <c r="G400" s="54">
        <v>2.06</v>
      </c>
      <c r="H400" s="54">
        <v>2.09</v>
      </c>
      <c r="I400" s="54">
        <f t="shared" si="130"/>
        <v>0.69</v>
      </c>
      <c r="J400" s="54">
        <f t="shared" si="131"/>
        <v>-0.41000000000000014</v>
      </c>
      <c r="K400" s="54">
        <f t="shared" si="132"/>
        <v>0.31999999999999984</v>
      </c>
      <c r="L400" s="54">
        <f t="shared" si="133"/>
        <v>1.1000000000000001</v>
      </c>
      <c r="M400" s="54">
        <v>96</v>
      </c>
      <c r="N400" s="54">
        <v>14490.3</v>
      </c>
      <c r="O400" s="54">
        <v>21</v>
      </c>
      <c r="P400" s="64">
        <v>2871.5</v>
      </c>
      <c r="Q400" s="34">
        <f t="shared" si="92"/>
        <v>25.799640610961365</v>
      </c>
      <c r="R400" s="34">
        <v>3790.7</v>
      </c>
      <c r="S400" s="34">
        <f t="shared" si="93"/>
        <v>3405.8400718778075</v>
      </c>
      <c r="T400" s="34">
        <v>3832</v>
      </c>
      <c r="U400" s="34">
        <f t="shared" si="94"/>
        <v>3442.9469901168013</v>
      </c>
      <c r="V400" s="118">
        <v>285776</v>
      </c>
      <c r="W400" s="118">
        <v>11304904</v>
      </c>
      <c r="X400" s="119">
        <v>15238364</v>
      </c>
      <c r="Y400" s="119">
        <v>821209</v>
      </c>
      <c r="Z400" s="54">
        <v>88.2</v>
      </c>
      <c r="AA400" s="54">
        <v>90.6</v>
      </c>
      <c r="AB400" s="54">
        <v>95.9</v>
      </c>
      <c r="AC400" s="54">
        <v>87.5</v>
      </c>
      <c r="AD400" s="54">
        <v>45799</v>
      </c>
      <c r="AE400" s="54">
        <v>5.5</v>
      </c>
      <c r="AF400" s="54">
        <v>802</v>
      </c>
      <c r="AG400" s="54">
        <v>113.4</v>
      </c>
      <c r="AH400" s="54">
        <v>111.3</v>
      </c>
      <c r="AI400" s="64">
        <v>120.3</v>
      </c>
      <c r="AJ400" s="64">
        <v>114.2</v>
      </c>
      <c r="AK400" s="64">
        <v>262.11138799999998</v>
      </c>
      <c r="AL400" s="64">
        <v>99.2</v>
      </c>
      <c r="AM400" s="54">
        <v>129.35</v>
      </c>
      <c r="AN400" s="54">
        <v>345.69</v>
      </c>
      <c r="AO400" s="54">
        <v>135.86000000000001</v>
      </c>
      <c r="AP400" s="54">
        <v>76.98</v>
      </c>
      <c r="AQ400" s="54">
        <f t="shared" si="129"/>
        <v>0.63990024937655865</v>
      </c>
      <c r="AR400" s="54">
        <v>90.3</v>
      </c>
      <c r="AS400" s="54">
        <v>84.1</v>
      </c>
      <c r="AT400" s="54">
        <v>96.9</v>
      </c>
      <c r="AU400" s="54">
        <v>91.6</v>
      </c>
      <c r="AV400" s="54">
        <v>87.3</v>
      </c>
      <c r="AW400" s="54">
        <v>96</v>
      </c>
      <c r="AX400" s="54">
        <v>6.7</v>
      </c>
      <c r="AY400" s="54">
        <v>20.5</v>
      </c>
      <c r="AZ400" s="54">
        <v>-6.9</v>
      </c>
      <c r="BA400" s="54">
        <v>1.8</v>
      </c>
      <c r="BB400" s="54">
        <v>87.7</v>
      </c>
      <c r="BC400" s="54">
        <v>77.599999999999994</v>
      </c>
      <c r="BD400" s="54">
        <v>99.1</v>
      </c>
      <c r="BE400" s="54">
        <v>-61.4</v>
      </c>
      <c r="BF400" s="54">
        <v>-23.3</v>
      </c>
      <c r="BG400" s="54">
        <v>-10.3</v>
      </c>
      <c r="BH400" s="54">
        <v>157.9</v>
      </c>
      <c r="BI400" s="54">
        <v>26.4</v>
      </c>
      <c r="BJ400" s="34">
        <v>47.1</v>
      </c>
      <c r="BK400" s="54">
        <v>-32.0930924651474</v>
      </c>
      <c r="BL400" s="54">
        <v>-0.23</v>
      </c>
      <c r="BM400" s="54">
        <v>99.316500000000005</v>
      </c>
      <c r="BN400" s="54">
        <v>99.414199999999994</v>
      </c>
      <c r="BO400" s="54">
        <v>11.4</v>
      </c>
      <c r="BP400" s="54">
        <v>3.2</v>
      </c>
      <c r="BQ400" s="54">
        <v>7.6</v>
      </c>
      <c r="BR400" s="54">
        <v>5.7</v>
      </c>
      <c r="BS400" s="54">
        <v>42</v>
      </c>
      <c r="BT400" s="54">
        <v>3.2</v>
      </c>
      <c r="BU400" s="54">
        <v>3.2</v>
      </c>
      <c r="BV400" s="54">
        <v>6.3</v>
      </c>
      <c r="BW400" s="54">
        <v>-22</v>
      </c>
      <c r="BX400" s="54">
        <v>-16.7</v>
      </c>
      <c r="BY400" s="54">
        <v>-3.1</v>
      </c>
      <c r="BZ400" s="54">
        <v>96.1</v>
      </c>
      <c r="CA400" s="54">
        <v>-22</v>
      </c>
      <c r="CB400" s="54">
        <v>-14.5</v>
      </c>
      <c r="CC400" s="54">
        <v>-13.6</v>
      </c>
      <c r="CD400" s="54">
        <v>-49.3</v>
      </c>
      <c r="CE400" s="54">
        <v>-36</v>
      </c>
      <c r="CF400" s="54">
        <v>76.3</v>
      </c>
      <c r="CG400" s="54">
        <v>35.200000000000003</v>
      </c>
      <c r="CH400" s="54">
        <v>27.2</v>
      </c>
      <c r="CI400" s="54">
        <v>-34.700000000000003</v>
      </c>
      <c r="CJ400" s="54">
        <v>-24.1</v>
      </c>
      <c r="CK400" s="54">
        <v>11.9</v>
      </c>
      <c r="CL400" s="54">
        <v>23.6</v>
      </c>
      <c r="CM400" s="54">
        <v>3884.6727139999998</v>
      </c>
      <c r="CN400" s="54">
        <v>34395.01</v>
      </c>
      <c r="CO400" s="54">
        <v>3912.380952</v>
      </c>
      <c r="CP400" s="54">
        <v>3.1019999999999999</v>
      </c>
      <c r="CQ400" s="54">
        <v>3.53</v>
      </c>
      <c r="CR400" s="54">
        <v>60</v>
      </c>
      <c r="CS400" s="64">
        <v>40.75</v>
      </c>
      <c r="CT400" s="54">
        <v>94.8</v>
      </c>
      <c r="CU400" s="54">
        <v>98.2</v>
      </c>
      <c r="CV400" s="54">
        <v>89.7</v>
      </c>
      <c r="CW400" s="54">
        <v>84.4</v>
      </c>
      <c r="CX400" s="54">
        <v>90.1</v>
      </c>
      <c r="CY400" s="54">
        <v>12.77</v>
      </c>
      <c r="CZ400" s="54">
        <v>66899.691999999995</v>
      </c>
      <c r="DA400" s="54">
        <v>7.86</v>
      </c>
      <c r="DB400" s="54">
        <v>40.93</v>
      </c>
      <c r="DC400" s="54">
        <v>72.53</v>
      </c>
      <c r="DD400" s="54">
        <v>17.72</v>
      </c>
      <c r="DE400" s="54">
        <v>21286.198</v>
      </c>
      <c r="DF400" s="54">
        <v>2828.2069999999999</v>
      </c>
      <c r="DG400" s="54">
        <v>816.447</v>
      </c>
      <c r="DH400" s="54">
        <v>1671.635</v>
      </c>
      <c r="DI400" s="54">
        <v>8286.4110000000001</v>
      </c>
      <c r="DJ400" s="54">
        <v>99.390100000000004</v>
      </c>
      <c r="DK400" s="54">
        <v>99.208500000000001</v>
      </c>
      <c r="DL400" s="54">
        <v>99.18</v>
      </c>
      <c r="DM400" s="54">
        <v>98.959299999999999</v>
      </c>
      <c r="DN400" s="54">
        <v>99.414199999999994</v>
      </c>
      <c r="DO400" s="34">
        <v>99.316500000000005</v>
      </c>
      <c r="DP400" s="34">
        <v>98.855400000000003</v>
      </c>
      <c r="DQ400" s="54">
        <v>98.740600000000001</v>
      </c>
      <c r="DR400" s="54">
        <v>145794</v>
      </c>
      <c r="DS400" s="96">
        <v>34670</v>
      </c>
      <c r="DT400" s="96">
        <v>99.5</v>
      </c>
      <c r="DU400" s="56">
        <v>279.6470947265625</v>
      </c>
      <c r="DV400" s="56">
        <v>584.18548583984375</v>
      </c>
      <c r="DW400" s="56">
        <v>1338</v>
      </c>
      <c r="DX400" s="56">
        <v>87450</v>
      </c>
      <c r="DY400" s="56">
        <v>95.7</v>
      </c>
      <c r="DZ400" s="60" t="s">
        <v>312</v>
      </c>
    </row>
    <row r="401" spans="1:130" x14ac:dyDescent="0.25">
      <c r="A401" s="1">
        <v>44927</v>
      </c>
      <c r="B401" s="34">
        <v>98.8</v>
      </c>
      <c r="C401" s="45">
        <v>1.9059999999999999</v>
      </c>
      <c r="D401" s="99">
        <v>2.5</v>
      </c>
      <c r="E401" s="34">
        <v>2.08</v>
      </c>
      <c r="F401" s="34">
        <v>2.27</v>
      </c>
      <c r="G401" s="34">
        <v>2.1800000000000002</v>
      </c>
      <c r="H401" s="34">
        <v>2.19</v>
      </c>
      <c r="I401" s="34">
        <f t="shared" si="130"/>
        <v>0.28400000000000003</v>
      </c>
      <c r="J401" s="34">
        <f t="shared" si="131"/>
        <v>-0.31000000000000005</v>
      </c>
      <c r="K401" s="34">
        <f t="shared" si="132"/>
        <v>0.10999999999999988</v>
      </c>
      <c r="L401" s="34">
        <f t="shared" si="133"/>
        <v>0.59400000000000008</v>
      </c>
      <c r="M401" s="34">
        <v>97.3</v>
      </c>
      <c r="N401" s="34">
        <v>14069.26</v>
      </c>
      <c r="O401" s="34">
        <v>18.510000000000002</v>
      </c>
      <c r="P401" s="64">
        <v>2854.5</v>
      </c>
      <c r="Q401" s="34">
        <f t="shared" ref="Q401:Q410" si="134">IF(ISNUMBER(P401),IF(ISNUMBER(AH401),P401/AH401,"NA"),"")</f>
        <v>25.532200357781754</v>
      </c>
      <c r="R401" s="34">
        <v>3792.8</v>
      </c>
      <c r="S401" s="34">
        <f t="shared" ref="S401:S410" si="135">IF(ISNUMBER(R401),IF(ISNUMBER(AH401),R401/AH401*100,""),"")</f>
        <v>3392.4865831842581</v>
      </c>
      <c r="T401" s="34">
        <v>3838.8</v>
      </c>
      <c r="U401" s="34">
        <f t="shared" ref="U401:U410" si="136">IF(ISNUMBER(T401),IF(ISNUMBER(AH401),T401/AH401*100,""),"")</f>
        <v>3433.6314847942758</v>
      </c>
      <c r="V401" s="118">
        <v>286011</v>
      </c>
      <c r="W401" s="118">
        <v>11264981</v>
      </c>
      <c r="X401" s="119">
        <v>15269455</v>
      </c>
      <c r="Y401" s="119">
        <v>808623</v>
      </c>
      <c r="Z401" s="34">
        <v>93.8</v>
      </c>
      <c r="AA401" s="34">
        <v>89.6</v>
      </c>
      <c r="AB401" s="34">
        <v>93.9</v>
      </c>
      <c r="AC401" s="34">
        <v>90.4</v>
      </c>
      <c r="AD401" s="34">
        <v>45846</v>
      </c>
      <c r="AE401" s="34">
        <v>5.5</v>
      </c>
      <c r="AF401" s="34">
        <v>801</v>
      </c>
      <c r="AG401" s="34">
        <v>114.8</v>
      </c>
      <c r="AH401" s="34">
        <v>111.8</v>
      </c>
      <c r="AI401" s="34">
        <v>118.8</v>
      </c>
      <c r="AJ401" s="34">
        <v>114</v>
      </c>
      <c r="AK401" s="34">
        <v>260.74419</v>
      </c>
      <c r="AL401" s="34">
        <v>102.5</v>
      </c>
      <c r="AM401" s="34">
        <v>135.44</v>
      </c>
      <c r="AN401" s="34">
        <v>270.58999999999997</v>
      </c>
      <c r="AO401" s="34">
        <v>140.47999999999999</v>
      </c>
      <c r="AP401" s="34">
        <v>78.05</v>
      </c>
      <c r="AQ401" s="34">
        <f t="shared" si="129"/>
        <v>0.65698653198653201</v>
      </c>
      <c r="AR401" s="34">
        <v>92</v>
      </c>
      <c r="AS401" s="34">
        <v>86.8</v>
      </c>
      <c r="AT401" s="34">
        <v>97.6</v>
      </c>
      <c r="AU401" s="34">
        <v>93.5</v>
      </c>
      <c r="AV401" s="34">
        <v>89.6</v>
      </c>
      <c r="AW401" s="34">
        <v>97.5</v>
      </c>
      <c r="AX401" s="34">
        <v>13.9</v>
      </c>
      <c r="AY401" s="34">
        <v>25.8</v>
      </c>
      <c r="AZ401" s="34">
        <v>-6.9</v>
      </c>
      <c r="BA401" s="34">
        <v>2.7</v>
      </c>
      <c r="BB401" s="34">
        <v>89.6</v>
      </c>
      <c r="BC401" s="34">
        <v>82</v>
      </c>
      <c r="BD401" s="34">
        <v>98</v>
      </c>
      <c r="BE401" s="34">
        <v>-58.6</v>
      </c>
      <c r="BF401" s="34">
        <v>16.899999999999999</v>
      </c>
      <c r="BG401" s="34">
        <v>-0.6</v>
      </c>
      <c r="BH401" s="34">
        <v>153.80000000000001</v>
      </c>
      <c r="BI401" s="34">
        <v>35.799999999999997</v>
      </c>
      <c r="BJ401" s="34">
        <v>47.3</v>
      </c>
      <c r="BK401" s="54">
        <v>-33.373076159923343</v>
      </c>
      <c r="BL401" s="34">
        <v>0.06</v>
      </c>
      <c r="BM401" s="34">
        <v>99.443700000000007</v>
      </c>
      <c r="BN401" s="34">
        <v>99.523600000000002</v>
      </c>
      <c r="BO401" s="34">
        <v>7.8</v>
      </c>
      <c r="BP401" s="34">
        <v>0</v>
      </c>
      <c r="BQ401" s="34">
        <v>7.6</v>
      </c>
      <c r="BR401" s="34">
        <v>12.1</v>
      </c>
      <c r="BS401" s="34">
        <v>36</v>
      </c>
      <c r="BT401" s="34">
        <v>5.9</v>
      </c>
      <c r="BU401" s="34">
        <v>4.0999999999999996</v>
      </c>
      <c r="BV401" s="34">
        <v>8.4</v>
      </c>
      <c r="BW401" s="34">
        <v>-19.899999999999999</v>
      </c>
      <c r="BX401" s="34">
        <v>-15.4</v>
      </c>
      <c r="BY401" s="34">
        <v>-1.9</v>
      </c>
      <c r="BZ401" s="34">
        <v>98.3</v>
      </c>
      <c r="CA401" s="34">
        <v>-19.899999999999999</v>
      </c>
      <c r="CB401" s="34">
        <v>-14.6</v>
      </c>
      <c r="CC401" s="34">
        <v>-9.6</v>
      </c>
      <c r="CD401" s="34">
        <v>-48.1</v>
      </c>
      <c r="CE401" s="34">
        <v>-32.4</v>
      </c>
      <c r="CF401" s="34">
        <v>73.400000000000006</v>
      </c>
      <c r="CG401" s="34">
        <v>27.6</v>
      </c>
      <c r="CH401" s="34">
        <v>23.7</v>
      </c>
      <c r="CI401" s="34">
        <v>-38.799999999999997</v>
      </c>
      <c r="CJ401" s="34">
        <v>-23.3</v>
      </c>
      <c r="CK401" s="34">
        <v>14.3</v>
      </c>
      <c r="CL401" s="34">
        <v>23.1</v>
      </c>
      <c r="CM401" s="34">
        <v>4092.674</v>
      </c>
      <c r="CN401" s="34">
        <v>33147.25</v>
      </c>
      <c r="CO401" s="34">
        <v>3960.6565000000001</v>
      </c>
      <c r="CP401" s="34">
        <v>3.669</v>
      </c>
      <c r="CQ401" s="34">
        <v>3.88</v>
      </c>
      <c r="CR401" s="34">
        <v>62.6</v>
      </c>
      <c r="CS401" s="64">
        <v>41.68</v>
      </c>
      <c r="CT401" s="34">
        <v>98.7</v>
      </c>
      <c r="CU401" s="34">
        <v>101.4</v>
      </c>
      <c r="CV401" s="34">
        <v>88.2</v>
      </c>
      <c r="CW401" s="34">
        <v>89.2</v>
      </c>
      <c r="CX401" s="34">
        <v>91.2</v>
      </c>
      <c r="CY401" s="34">
        <v>13.17</v>
      </c>
      <c r="CZ401" s="34">
        <v>73941.497000000003</v>
      </c>
      <c r="DA401" s="34">
        <v>8.39</v>
      </c>
      <c r="DB401" s="34">
        <v>40.619999999999997</v>
      </c>
      <c r="DC401" s="34">
        <v>74.28</v>
      </c>
      <c r="DD401" s="34">
        <v>17.63</v>
      </c>
      <c r="DE401" s="34">
        <v>18086.562000000002</v>
      </c>
      <c r="DF401" s="34">
        <v>2407.3490000000002</v>
      </c>
      <c r="DG401" s="34">
        <v>894.37300000000005</v>
      </c>
      <c r="DH401" s="34">
        <v>1649.8579999999999</v>
      </c>
      <c r="DI401" s="34">
        <v>7291.6940000000004</v>
      </c>
      <c r="DJ401" s="34">
        <v>99.5685</v>
      </c>
      <c r="DK401" s="34">
        <v>99.4328</v>
      </c>
      <c r="DL401" s="34">
        <v>99.56</v>
      </c>
      <c r="DM401" s="34">
        <v>99.445599999999999</v>
      </c>
      <c r="DN401" s="34">
        <v>99.523600000000002</v>
      </c>
      <c r="DO401" s="34">
        <v>99.443700000000007</v>
      </c>
      <c r="DP401" s="34">
        <v>98.807000000000002</v>
      </c>
      <c r="DQ401" s="34">
        <v>98.687399999999997</v>
      </c>
      <c r="DR401" s="34">
        <v>144546</v>
      </c>
      <c r="DS401" s="73">
        <v>34699</v>
      </c>
      <c r="DT401" s="73">
        <v>100.2</v>
      </c>
      <c r="DU401" s="56">
        <v>281.77822875976563</v>
      </c>
      <c r="DV401" s="56">
        <v>520.12567138671875</v>
      </c>
      <c r="DW401">
        <v>1515</v>
      </c>
      <c r="DX401">
        <v>88550</v>
      </c>
      <c r="DY401">
        <v>95.7</v>
      </c>
      <c r="DZ401" s="33" t="s">
        <v>312</v>
      </c>
    </row>
    <row r="402" spans="1:130" x14ac:dyDescent="0.25">
      <c r="A402" s="1">
        <v>44958</v>
      </c>
      <c r="B402" s="34">
        <v>101</v>
      </c>
      <c r="C402" s="45">
        <v>1.901</v>
      </c>
      <c r="D402" s="99">
        <v>3</v>
      </c>
      <c r="E402" s="34">
        <v>2.35</v>
      </c>
      <c r="F402" s="34">
        <v>2.4700000000000002</v>
      </c>
      <c r="G402" s="34">
        <v>2.36</v>
      </c>
      <c r="H402" s="34">
        <v>2.37</v>
      </c>
      <c r="I402" s="34">
        <f t="shared" si="130"/>
        <v>0.46900000000000008</v>
      </c>
      <c r="J402" s="34">
        <f t="shared" si="131"/>
        <v>-0.62999999999999989</v>
      </c>
      <c r="K402" s="34">
        <f t="shared" si="132"/>
        <v>2.0000000000000018E-2</v>
      </c>
      <c r="L402" s="34">
        <f t="shared" si="133"/>
        <v>1.099</v>
      </c>
      <c r="M402" s="34">
        <v>97.5</v>
      </c>
      <c r="N402" s="34">
        <v>15180.74</v>
      </c>
      <c r="O402" s="34">
        <v>19.329999999999998</v>
      </c>
      <c r="P402" s="64">
        <v>2824.7</v>
      </c>
      <c r="Q402" s="34">
        <f t="shared" si="134"/>
        <v>25.108444444444444</v>
      </c>
      <c r="R402" s="34">
        <v>3788</v>
      </c>
      <c r="S402" s="34">
        <f t="shared" si="135"/>
        <v>3367.1111111111109</v>
      </c>
      <c r="T402" s="34">
        <v>3842.3</v>
      </c>
      <c r="U402" s="34">
        <f t="shared" si="136"/>
        <v>3415.3777777777777</v>
      </c>
      <c r="V402" s="118">
        <v>280948</v>
      </c>
      <c r="W402" s="118">
        <v>11139275</v>
      </c>
      <c r="X402" s="119">
        <v>15222568</v>
      </c>
      <c r="Y402" s="119">
        <v>841966</v>
      </c>
      <c r="Z402" s="34">
        <v>94</v>
      </c>
      <c r="AA402" s="34">
        <v>93.3</v>
      </c>
      <c r="AB402" s="34">
        <v>95.3</v>
      </c>
      <c r="AC402" s="34">
        <v>96.5</v>
      </c>
      <c r="AD402" s="34">
        <v>45885</v>
      </c>
      <c r="AE402" s="34">
        <v>5.5</v>
      </c>
      <c r="AF402" s="34">
        <v>797</v>
      </c>
      <c r="AG402" s="34">
        <v>115.4</v>
      </c>
      <c r="AH402" s="34">
        <v>112.5</v>
      </c>
      <c r="AI402" s="34">
        <v>117.1</v>
      </c>
      <c r="AJ402" s="34">
        <v>113.8</v>
      </c>
      <c r="AK402" s="34">
        <v>258.79104999999998</v>
      </c>
      <c r="AL402" s="34">
        <v>104.1</v>
      </c>
      <c r="AM402" s="34">
        <v>135.69999999999999</v>
      </c>
      <c r="AN402" s="34">
        <v>235.81</v>
      </c>
      <c r="AO402" s="34">
        <v>141.97</v>
      </c>
      <c r="AP402" s="34">
        <v>78.13</v>
      </c>
      <c r="AQ402" s="34">
        <f t="shared" si="129"/>
        <v>0.66720751494449193</v>
      </c>
      <c r="AR402" s="34">
        <v>93</v>
      </c>
      <c r="AS402" s="34">
        <v>89</v>
      </c>
      <c r="AT402" s="34">
        <v>97.3</v>
      </c>
      <c r="AU402" s="34">
        <v>93.9</v>
      </c>
      <c r="AV402" s="34">
        <v>92</v>
      </c>
      <c r="AW402" s="34">
        <v>95.9</v>
      </c>
      <c r="AX402" s="34">
        <v>6.6</v>
      </c>
      <c r="AY402" s="34">
        <v>21.7</v>
      </c>
      <c r="AZ402" s="34">
        <v>-1.5</v>
      </c>
      <c r="BA402" s="34">
        <v>-1.4</v>
      </c>
      <c r="BB402" s="34">
        <v>91.2</v>
      </c>
      <c r="BC402" s="34">
        <v>84.5</v>
      </c>
      <c r="BD402" s="34">
        <v>98.4</v>
      </c>
      <c r="BE402" s="34">
        <v>-45.1</v>
      </c>
      <c r="BF402" s="34">
        <v>28.1</v>
      </c>
      <c r="BG402" s="34">
        <v>6</v>
      </c>
      <c r="BH402" s="34">
        <v>153.19999999999999</v>
      </c>
      <c r="BI402" s="34">
        <v>43.5</v>
      </c>
      <c r="BJ402" s="34">
        <v>46.3</v>
      </c>
      <c r="BK402" s="34">
        <v>-31.940353125650191</v>
      </c>
      <c r="BL402" s="34">
        <v>-0.05</v>
      </c>
      <c r="BM402" s="34">
        <v>99.523499999999999</v>
      </c>
      <c r="BN402" s="34">
        <v>99.592100000000002</v>
      </c>
      <c r="BO402" s="34">
        <v>6.2</v>
      </c>
      <c r="BP402" s="34">
        <v>0.6</v>
      </c>
      <c r="BQ402" s="34">
        <v>7.9</v>
      </c>
      <c r="BR402" s="34">
        <v>8</v>
      </c>
      <c r="BS402" s="34">
        <v>25</v>
      </c>
      <c r="BT402" s="34">
        <v>2.6</v>
      </c>
      <c r="BU402" s="34">
        <v>2.1</v>
      </c>
      <c r="BV402" s="34">
        <v>8.9</v>
      </c>
      <c r="BW402" s="34">
        <v>-16.8</v>
      </c>
      <c r="BX402" s="34">
        <v>-14.5</v>
      </c>
      <c r="BY402" s="34">
        <v>-4.2</v>
      </c>
      <c r="BZ402" s="34">
        <v>98.7</v>
      </c>
      <c r="CA402" s="34">
        <v>-16.8</v>
      </c>
      <c r="CB402" s="34">
        <v>-11</v>
      </c>
      <c r="CC402" s="34">
        <v>-7</v>
      </c>
      <c r="CD402" s="34">
        <v>-42.3</v>
      </c>
      <c r="CE402" s="34">
        <v>-28.4</v>
      </c>
      <c r="CF402" s="34">
        <v>73.7</v>
      </c>
      <c r="CG402" s="34">
        <v>24</v>
      </c>
      <c r="CH402" s="34">
        <v>22.5</v>
      </c>
      <c r="CI402" s="34">
        <v>-35.299999999999997</v>
      </c>
      <c r="CJ402" s="34">
        <v>-20.7</v>
      </c>
      <c r="CK402" s="34">
        <v>17.5</v>
      </c>
      <c r="CL402" s="34">
        <v>26.2</v>
      </c>
      <c r="CM402" s="34">
        <v>4238.1341499999999</v>
      </c>
      <c r="CN402" s="34">
        <v>34092.959999999999</v>
      </c>
      <c r="CO402" s="34">
        <v>4079.684737</v>
      </c>
      <c r="CP402" s="34">
        <v>3.3079999999999998</v>
      </c>
      <c r="CQ402" s="34">
        <v>3.39</v>
      </c>
      <c r="CR402" s="34">
        <v>64.5</v>
      </c>
      <c r="CS402" s="64">
        <v>46.23</v>
      </c>
      <c r="CT402" s="34">
        <v>97.6</v>
      </c>
      <c r="CU402" s="34">
        <v>99.3</v>
      </c>
      <c r="CV402" s="34">
        <v>88.1</v>
      </c>
      <c r="CW402" s="34">
        <v>92.3</v>
      </c>
      <c r="CX402" s="34">
        <v>95.5</v>
      </c>
      <c r="CY402" s="34">
        <v>13.52</v>
      </c>
      <c r="CZ402" s="34">
        <v>72351.823000000004</v>
      </c>
      <c r="DA402" s="34">
        <v>8.0500000000000007</v>
      </c>
      <c r="DB402" s="34">
        <v>40.409999999999997</v>
      </c>
      <c r="DC402" s="34">
        <v>73.25</v>
      </c>
      <c r="DD402" s="34">
        <v>17.739999999999998</v>
      </c>
      <c r="DE402" s="34">
        <v>20088.356</v>
      </c>
      <c r="DF402" s="34">
        <v>2639.8870000000002</v>
      </c>
      <c r="DG402" s="34">
        <v>832.79300000000001</v>
      </c>
      <c r="DH402" s="34">
        <v>1747.7919999999999</v>
      </c>
      <c r="DI402" s="34">
        <v>7953.01</v>
      </c>
      <c r="DJ402" s="34">
        <v>99.765199999999993</v>
      </c>
      <c r="DK402" s="34">
        <v>99.683800000000005</v>
      </c>
      <c r="DL402" s="34">
        <v>99.95</v>
      </c>
      <c r="DM402" s="34">
        <v>99.942499999999995</v>
      </c>
      <c r="DN402" s="34">
        <v>99.592100000000002</v>
      </c>
      <c r="DO402" s="34">
        <v>99.523499999999999</v>
      </c>
      <c r="DP402" s="34">
        <v>98.763300000000001</v>
      </c>
      <c r="DQ402" s="34">
        <v>98.639300000000006</v>
      </c>
      <c r="DR402" s="34">
        <v>157139</v>
      </c>
      <c r="DS402" s="73">
        <v>34742</v>
      </c>
      <c r="DT402" s="73">
        <v>99.5</v>
      </c>
      <c r="DU402" s="56">
        <v>272.40225219726563</v>
      </c>
      <c r="DV402" s="56">
        <v>472.1092529296875</v>
      </c>
      <c r="DW402">
        <v>668</v>
      </c>
      <c r="DX402">
        <v>72450</v>
      </c>
      <c r="DY402">
        <v>97.3</v>
      </c>
      <c r="DZ402" s="33" t="s">
        <v>312</v>
      </c>
    </row>
    <row r="403" spans="1:130" s="56" customFormat="1" x14ac:dyDescent="0.25">
      <c r="A403" s="1">
        <v>44986</v>
      </c>
      <c r="B403" s="54">
        <v>98.5</v>
      </c>
      <c r="C403" s="55">
        <v>2.3980000000000001</v>
      </c>
      <c r="D403" s="98">
        <v>3.5</v>
      </c>
      <c r="E403" s="54">
        <v>2.63</v>
      </c>
      <c r="F403" s="54">
        <v>2.5</v>
      </c>
      <c r="G403" s="54">
        <v>2.38</v>
      </c>
      <c r="H403" s="54">
        <v>2.38</v>
      </c>
      <c r="I403" s="54">
        <f t="shared" si="130"/>
        <v>-1.8000000000000238E-2</v>
      </c>
      <c r="J403" s="54">
        <f t="shared" si="131"/>
        <v>-1.1200000000000001</v>
      </c>
      <c r="K403" s="54">
        <f t="shared" si="132"/>
        <v>-0.25</v>
      </c>
      <c r="L403" s="54">
        <f t="shared" si="133"/>
        <v>1.1019999999999999</v>
      </c>
      <c r="M403" s="54">
        <v>98</v>
      </c>
      <c r="N403" s="54">
        <v>15305.02</v>
      </c>
      <c r="O403" s="54">
        <v>18.98</v>
      </c>
      <c r="P403" s="64">
        <v>2785.3</v>
      </c>
      <c r="Q403" s="34">
        <f t="shared" si="134"/>
        <v>24.605123674911663</v>
      </c>
      <c r="R403" s="34">
        <v>3766.7</v>
      </c>
      <c r="S403" s="34">
        <f t="shared" si="135"/>
        <v>3327.4734982332157</v>
      </c>
      <c r="T403" s="34">
        <v>3830</v>
      </c>
      <c r="U403" s="34">
        <f t="shared" si="136"/>
        <v>3383.3922261484099</v>
      </c>
      <c r="V403" s="118">
        <v>279500</v>
      </c>
      <c r="W403" s="118">
        <v>11008819</v>
      </c>
      <c r="X403" s="119">
        <v>15179110</v>
      </c>
      <c r="Y403" s="119">
        <v>861846</v>
      </c>
      <c r="Z403" s="54">
        <v>92.2</v>
      </c>
      <c r="AA403" s="54">
        <v>85.6</v>
      </c>
      <c r="AB403" s="54">
        <v>92.5</v>
      </c>
      <c r="AC403" s="54">
        <v>85.5</v>
      </c>
      <c r="AD403" s="54">
        <v>45917</v>
      </c>
      <c r="AE403" s="54">
        <v>5.6</v>
      </c>
      <c r="AF403" s="54">
        <v>787</v>
      </c>
      <c r="AG403" s="54">
        <v>116.1</v>
      </c>
      <c r="AH403" s="54">
        <v>113.2</v>
      </c>
      <c r="AI403" s="54">
        <v>115.8</v>
      </c>
      <c r="AJ403" s="54">
        <v>113.7</v>
      </c>
      <c r="AK403" s="54">
        <v>256.05665399999998</v>
      </c>
      <c r="AL403" s="54">
        <v>98.7</v>
      </c>
      <c r="AM403" s="54">
        <v>132.28</v>
      </c>
      <c r="AN403" s="54">
        <v>213.97</v>
      </c>
      <c r="AO403" s="54">
        <v>137.91</v>
      </c>
      <c r="AP403" s="54">
        <v>74.010000000000005</v>
      </c>
      <c r="AQ403" s="54">
        <f t="shared" si="129"/>
        <v>0.63911917098445603</v>
      </c>
      <c r="AR403" s="54">
        <v>94.1</v>
      </c>
      <c r="AS403" s="54">
        <v>89.9</v>
      </c>
      <c r="AT403" s="54">
        <v>98.5</v>
      </c>
      <c r="AU403" s="54">
        <v>95.8</v>
      </c>
      <c r="AV403" s="54">
        <v>93.5</v>
      </c>
      <c r="AW403" s="54">
        <v>98</v>
      </c>
      <c r="AX403" s="54">
        <v>13.1</v>
      </c>
      <c r="AY403" s="54">
        <v>17.899999999999999</v>
      </c>
      <c r="AZ403" s="54">
        <v>-1.1000000000000001</v>
      </c>
      <c r="BA403" s="54">
        <v>-0.8</v>
      </c>
      <c r="BB403" s="54">
        <v>91.6</v>
      </c>
      <c r="BC403" s="54">
        <v>84.4</v>
      </c>
      <c r="BD403" s="54">
        <v>99.3</v>
      </c>
      <c r="BE403" s="54">
        <v>-46.5</v>
      </c>
      <c r="BF403" s="54">
        <v>13</v>
      </c>
      <c r="BG403" s="54">
        <v>3.7</v>
      </c>
      <c r="BH403" s="54">
        <v>150.19999999999999</v>
      </c>
      <c r="BI403" s="54">
        <v>33</v>
      </c>
      <c r="BJ403" s="34">
        <v>44.7</v>
      </c>
      <c r="BK403" s="54">
        <v>-40.875130744244622</v>
      </c>
      <c r="BL403" s="54">
        <v>-0.14000000000000001</v>
      </c>
      <c r="BM403" s="54">
        <v>99.519300000000001</v>
      </c>
      <c r="BN403" s="54">
        <v>99.588499999999996</v>
      </c>
      <c r="BO403" s="54">
        <v>3.4</v>
      </c>
      <c r="BP403" s="54">
        <v>-1.2</v>
      </c>
      <c r="BQ403" s="54">
        <v>7.4</v>
      </c>
      <c r="BR403" s="54">
        <v>3</v>
      </c>
      <c r="BS403" s="54">
        <v>17.899999999999999</v>
      </c>
      <c r="BT403" s="54">
        <v>1.5</v>
      </c>
      <c r="BU403" s="54">
        <v>-0.3</v>
      </c>
      <c r="BV403" s="54">
        <v>11.3</v>
      </c>
      <c r="BW403" s="54">
        <v>-17.8</v>
      </c>
      <c r="BX403" s="54">
        <v>-15</v>
      </c>
      <c r="BY403" s="54">
        <v>-5</v>
      </c>
      <c r="BZ403" s="54">
        <v>98.2</v>
      </c>
      <c r="CA403" s="54">
        <v>-17.8</v>
      </c>
      <c r="CB403" s="54">
        <v>-13.9</v>
      </c>
      <c r="CC403" s="54">
        <v>-7</v>
      </c>
      <c r="CD403" s="54">
        <v>-42.2</v>
      </c>
      <c r="CE403" s="54">
        <v>-28.8</v>
      </c>
      <c r="CF403" s="54">
        <v>73.900000000000006</v>
      </c>
      <c r="CG403" s="54">
        <v>27.3</v>
      </c>
      <c r="CH403" s="54">
        <v>22.6</v>
      </c>
      <c r="CI403" s="54">
        <v>-34.9</v>
      </c>
      <c r="CJ403" s="54">
        <v>-21.5</v>
      </c>
      <c r="CK403" s="54">
        <v>15.6</v>
      </c>
      <c r="CL403" s="54">
        <v>22.8</v>
      </c>
      <c r="CM403" s="54">
        <v>4201.7349569999997</v>
      </c>
      <c r="CN403" s="54">
        <v>32661.84</v>
      </c>
      <c r="CO403" s="54">
        <v>3968.5591300000001</v>
      </c>
      <c r="CP403" s="54">
        <v>3.7250000000000001</v>
      </c>
      <c r="CQ403" s="54">
        <v>4.01</v>
      </c>
      <c r="CR403" s="54">
        <v>59.2</v>
      </c>
      <c r="CS403" s="64">
        <v>45.04</v>
      </c>
      <c r="CT403" s="54">
        <v>97.7</v>
      </c>
      <c r="CU403" s="54">
        <v>99.3</v>
      </c>
      <c r="CV403" s="54">
        <v>89.2</v>
      </c>
      <c r="CW403" s="54">
        <v>92.8</v>
      </c>
      <c r="CX403" s="54">
        <v>98</v>
      </c>
      <c r="CY403" s="54">
        <v>12.47</v>
      </c>
      <c r="CZ403" s="54">
        <v>82384.320000000007</v>
      </c>
      <c r="DA403" s="54">
        <v>7.89</v>
      </c>
      <c r="DB403" s="54">
        <v>41.62</v>
      </c>
      <c r="DC403" s="54">
        <v>72.72</v>
      </c>
      <c r="DD403" s="54">
        <v>18.86</v>
      </c>
      <c r="DE403" s="54">
        <v>22789.255000000001</v>
      </c>
      <c r="DF403" s="54">
        <v>3121</v>
      </c>
      <c r="DG403" s="54">
        <v>1048.1880000000001</v>
      </c>
      <c r="DH403" s="54">
        <v>1942.117</v>
      </c>
      <c r="DI403" s="54">
        <v>9020.0840000000007</v>
      </c>
      <c r="DJ403" s="54">
        <v>99.960599999999999</v>
      </c>
      <c r="DK403" s="54">
        <v>99.935599999999994</v>
      </c>
      <c r="DL403" s="54">
        <v>100.32</v>
      </c>
      <c r="DM403" s="54">
        <v>100.4057</v>
      </c>
      <c r="DN403" s="54">
        <v>99.588499999999996</v>
      </c>
      <c r="DO403" s="54">
        <v>99.519300000000001</v>
      </c>
      <c r="DP403" s="54">
        <v>98.732200000000006</v>
      </c>
      <c r="DQ403" s="54">
        <v>98.605099999999993</v>
      </c>
      <c r="DR403" s="54">
        <v>158501</v>
      </c>
      <c r="DS403" s="96">
        <v>34769</v>
      </c>
      <c r="DT403" s="96">
        <v>99.8</v>
      </c>
      <c r="DU403" s="56">
        <v>324.77328491210938</v>
      </c>
      <c r="DV403" s="56">
        <v>572.47357177734375</v>
      </c>
      <c r="DW403" s="56">
        <v>1099</v>
      </c>
      <c r="DX403" s="56">
        <v>64225</v>
      </c>
      <c r="DY403" s="56">
        <v>95.3</v>
      </c>
      <c r="DZ403" s="60" t="s">
        <v>312</v>
      </c>
    </row>
    <row r="404" spans="1:130" x14ac:dyDescent="0.25">
      <c r="A404" s="1">
        <v>45017</v>
      </c>
      <c r="B404" s="34">
        <v>98</v>
      </c>
      <c r="C404" s="45">
        <v>2.8980000000000001</v>
      </c>
      <c r="D404" s="99">
        <v>3.5</v>
      </c>
      <c r="E404" s="34">
        <v>2.91</v>
      </c>
      <c r="F404" s="34">
        <v>2.4300000000000002</v>
      </c>
      <c r="G404" s="34">
        <v>2.34</v>
      </c>
      <c r="H404" s="34">
        <v>2.36</v>
      </c>
      <c r="I404" s="34">
        <f t="shared" ref="I404:I405" si="137">IF(ISNUMBER(C404),IF(ISNUMBER(H404),H404-C404,""),"")</f>
        <v>-0.53800000000000026</v>
      </c>
      <c r="J404" s="34">
        <f t="shared" ref="J404:J405" si="138">IF(ISNUMBER(D404),IF(ISNUMBER(H404),H404-D404,""),"")</f>
        <v>-1.1400000000000001</v>
      </c>
      <c r="K404" s="34">
        <f t="shared" ref="K404:K405" si="139">IF(ISNUMBER(H404),IF(ISNUMBER(E404),H404-E404,""),"")</f>
        <v>-0.55000000000000027</v>
      </c>
      <c r="L404" s="34">
        <f t="shared" ref="L404:L405" si="140">IF(ISNUMBER(D404),IF(ISNUMBER(C404),D404-C404,""),"")</f>
        <v>0.60199999999999987</v>
      </c>
      <c r="M404" s="34">
        <v>98.4</v>
      </c>
      <c r="N404" s="34">
        <v>15580.92</v>
      </c>
      <c r="O404" s="34">
        <v>17.37</v>
      </c>
      <c r="P404" s="64">
        <v>2769.6</v>
      </c>
      <c r="Q404" s="34">
        <f t="shared" si="134"/>
        <v>24.423280423280421</v>
      </c>
      <c r="R404" s="34">
        <v>3771.1</v>
      </c>
      <c r="S404" s="34">
        <f t="shared" si="135"/>
        <v>3325.4850088183416</v>
      </c>
      <c r="T404" s="34">
        <v>3837.1</v>
      </c>
      <c r="U404" s="34">
        <f t="shared" si="136"/>
        <v>3383.6860670194001</v>
      </c>
      <c r="V404" s="118">
        <v>283153</v>
      </c>
      <c r="W404" s="118">
        <v>10886479</v>
      </c>
      <c r="X404" s="119">
        <v>15120645</v>
      </c>
      <c r="Y404" s="119">
        <v>859793</v>
      </c>
      <c r="Z404" s="34">
        <v>91.5</v>
      </c>
      <c r="AA404" s="34">
        <v>84.7</v>
      </c>
      <c r="AB404" s="34">
        <v>95.2</v>
      </c>
      <c r="AC404" s="34">
        <v>83.5</v>
      </c>
      <c r="AD404" s="34">
        <v>45925</v>
      </c>
      <c r="AE404" s="34">
        <v>5.6</v>
      </c>
      <c r="AF404" s="34">
        <v>778</v>
      </c>
      <c r="AG404" s="34">
        <v>116.4</v>
      </c>
      <c r="AH404" s="34">
        <v>113.4</v>
      </c>
      <c r="AI404" s="34">
        <v>114.3</v>
      </c>
      <c r="AJ404" s="34">
        <v>113.1</v>
      </c>
      <c r="AK404" s="34">
        <v>257.42385200000001</v>
      </c>
      <c r="AL404" s="34">
        <v>99.1</v>
      </c>
      <c r="AM404" s="34">
        <v>130.19999999999999</v>
      </c>
      <c r="AN404" s="34">
        <v>221.16</v>
      </c>
      <c r="AO404" s="34">
        <v>137.68</v>
      </c>
      <c r="AP404" s="34">
        <v>76.2</v>
      </c>
      <c r="AQ404" s="34">
        <f t="shared" si="129"/>
        <v>0.66666666666666674</v>
      </c>
      <c r="AR404" s="34">
        <v>94.3</v>
      </c>
      <c r="AS404" s="34">
        <v>91.8</v>
      </c>
      <c r="AT404" s="34">
        <v>96.8</v>
      </c>
      <c r="AU404" s="34">
        <v>95.6</v>
      </c>
      <c r="AV404" s="34">
        <v>94.7</v>
      </c>
      <c r="AW404" s="34">
        <v>96.4</v>
      </c>
      <c r="AX404" s="34">
        <v>9.6</v>
      </c>
      <c r="AY404" s="34">
        <v>17.2</v>
      </c>
      <c r="AZ404" s="34">
        <v>-5.3</v>
      </c>
      <c r="BA404" s="34">
        <v>-1.5</v>
      </c>
      <c r="BB404" s="34">
        <v>90.3</v>
      </c>
      <c r="BC404" s="34">
        <v>84.5</v>
      </c>
      <c r="BD404" s="34">
        <v>96.5</v>
      </c>
      <c r="BE404" s="34">
        <v>-32.5</v>
      </c>
      <c r="BF404" s="34">
        <v>4.0999999999999996</v>
      </c>
      <c r="BG404" s="34">
        <v>14.3</v>
      </c>
      <c r="BH404" s="34">
        <v>152.5</v>
      </c>
      <c r="BI404" s="34">
        <v>16</v>
      </c>
      <c r="BJ404" s="34">
        <v>44.5</v>
      </c>
      <c r="BK404" s="54">
        <v>-61.331878186839646</v>
      </c>
      <c r="BL404" s="34">
        <v>-0.15</v>
      </c>
      <c r="BM404" s="34">
        <v>99.421899999999994</v>
      </c>
      <c r="BN404" s="34">
        <v>99.504800000000003</v>
      </c>
      <c r="BO404" s="34">
        <v>0.5</v>
      </c>
      <c r="BP404" s="34">
        <v>-3.8</v>
      </c>
      <c r="BQ404" s="34">
        <v>7.2</v>
      </c>
      <c r="BR404" s="34">
        <v>2.4</v>
      </c>
      <c r="BS404" s="34">
        <v>12.6</v>
      </c>
      <c r="BT404" s="34">
        <v>-0.6</v>
      </c>
      <c r="BU404" s="34">
        <v>-1.4</v>
      </c>
      <c r="BV404" s="34">
        <v>10.4</v>
      </c>
      <c r="BW404" s="34">
        <v>-14.4</v>
      </c>
      <c r="BX404" s="34">
        <v>-12.7</v>
      </c>
      <c r="BY404" s="34">
        <v>-6.1</v>
      </c>
      <c r="BZ404" s="34">
        <v>98.9</v>
      </c>
      <c r="CA404" s="34">
        <v>-14.4</v>
      </c>
      <c r="CB404" s="34">
        <v>-11.4</v>
      </c>
      <c r="CC404" s="34">
        <v>-3.6</v>
      </c>
      <c r="CD404" s="34">
        <v>-37.700000000000003</v>
      </c>
      <c r="CE404" s="34">
        <v>-25.1</v>
      </c>
      <c r="CF404" s="34">
        <v>71.8</v>
      </c>
      <c r="CG404" s="34">
        <v>23.8</v>
      </c>
      <c r="CH404" s="34">
        <v>24</v>
      </c>
      <c r="CI404" s="34">
        <v>-30.6</v>
      </c>
      <c r="CJ404" s="34">
        <v>-17.600000000000001</v>
      </c>
      <c r="CK404" s="34">
        <v>15.9</v>
      </c>
      <c r="CL404" s="34">
        <v>24.6</v>
      </c>
      <c r="CM404" s="34">
        <v>4358.2668890000004</v>
      </c>
      <c r="CN404" s="34">
        <v>33601.15</v>
      </c>
      <c r="CO404" s="34">
        <v>4121.4673679999996</v>
      </c>
      <c r="CP404" s="34">
        <v>3.43</v>
      </c>
      <c r="CQ404" s="34">
        <v>3.43</v>
      </c>
      <c r="CR404" s="34">
        <v>60.6</v>
      </c>
      <c r="CS404" s="64">
        <v>44.04</v>
      </c>
      <c r="CT404" s="34">
        <v>93.6</v>
      </c>
      <c r="CU404" s="34">
        <v>103.3</v>
      </c>
      <c r="CV404" s="34">
        <v>91.2</v>
      </c>
      <c r="CW404" s="34">
        <v>90.2</v>
      </c>
      <c r="CX404" s="34">
        <v>95</v>
      </c>
      <c r="CY404" s="34">
        <v>13.02</v>
      </c>
      <c r="CZ404" s="34">
        <v>66244.520999999993</v>
      </c>
      <c r="DA404" s="34">
        <v>8.07</v>
      </c>
      <c r="DB404" s="34">
        <v>37.9</v>
      </c>
      <c r="DC404" s="34">
        <v>69.88</v>
      </c>
      <c r="DD404" s="34">
        <v>16.95</v>
      </c>
      <c r="DE404" s="34">
        <v>18590.631000000001</v>
      </c>
      <c r="DF404" s="34">
        <v>2329.0430000000001</v>
      </c>
      <c r="DG404" s="34">
        <v>725.06200000000001</v>
      </c>
      <c r="DH404" s="34">
        <v>1536.9580000000001</v>
      </c>
      <c r="DI404" s="34">
        <v>7740.9759999999997</v>
      </c>
      <c r="DJ404" s="34">
        <v>100.13509999999999</v>
      </c>
      <c r="DK404" s="34">
        <v>100.1602</v>
      </c>
      <c r="DL404" s="34">
        <v>100.64</v>
      </c>
      <c r="DM404" s="34">
        <v>100.8112</v>
      </c>
      <c r="DN404" s="34">
        <v>99.504800000000003</v>
      </c>
      <c r="DO404" s="34">
        <v>99.421899999999994</v>
      </c>
      <c r="DP404" s="34">
        <v>98.733900000000006</v>
      </c>
      <c r="DQ404" s="34">
        <v>98.606899999999996</v>
      </c>
      <c r="DR404" s="34">
        <v>139083</v>
      </c>
      <c r="DS404" s="73">
        <v>34761</v>
      </c>
      <c r="DT404" s="73">
        <v>99.9</v>
      </c>
      <c r="DU404" s="56">
        <v>244.23158264160156</v>
      </c>
      <c r="DV404" s="56">
        <v>403.13360595703125</v>
      </c>
      <c r="DW404">
        <v>1412</v>
      </c>
      <c r="DX404">
        <v>66100</v>
      </c>
      <c r="DY404">
        <v>95.4</v>
      </c>
      <c r="DZ404" s="33" t="s">
        <v>312</v>
      </c>
    </row>
    <row r="405" spans="1:130" x14ac:dyDescent="0.25">
      <c r="A405" s="1">
        <v>45047</v>
      </c>
      <c r="B405" s="34">
        <v>99.4</v>
      </c>
      <c r="C405" s="45">
        <v>2.8940000000000001</v>
      </c>
      <c r="D405" s="99">
        <v>3.75</v>
      </c>
      <c r="E405" s="34">
        <v>3.15</v>
      </c>
      <c r="F405" s="34">
        <v>2.35</v>
      </c>
      <c r="G405" s="34">
        <v>2.2799999999999998</v>
      </c>
      <c r="H405" s="34">
        <v>2.34</v>
      </c>
      <c r="I405" s="34">
        <f t="shared" si="137"/>
        <v>-0.55400000000000027</v>
      </c>
      <c r="J405" s="34">
        <f t="shared" si="138"/>
        <v>-1.4100000000000001</v>
      </c>
      <c r="K405" s="34">
        <f t="shared" si="139"/>
        <v>-0.81</v>
      </c>
      <c r="L405" s="34">
        <f t="shared" si="140"/>
        <v>0.85599999999999987</v>
      </c>
      <c r="M405" s="34">
        <v>97.9</v>
      </c>
      <c r="N405" s="34">
        <v>15922.38</v>
      </c>
      <c r="O405" s="34">
        <v>17.64</v>
      </c>
      <c r="P405" s="64">
        <v>2745.3</v>
      </c>
      <c r="Q405" s="34">
        <f t="shared" si="134"/>
        <v>24.187665198237887</v>
      </c>
      <c r="R405" s="34">
        <v>3755.9</v>
      </c>
      <c r="S405" s="34">
        <f t="shared" si="135"/>
        <v>3309.1629955947133</v>
      </c>
      <c r="T405" s="34">
        <v>3826.8</v>
      </c>
      <c r="U405" s="34">
        <f t="shared" si="136"/>
        <v>3371.6299559471368</v>
      </c>
      <c r="V405" s="118">
        <v>282231</v>
      </c>
      <c r="W405" s="118">
        <v>10807611</v>
      </c>
      <c r="X405" s="119">
        <v>15105815</v>
      </c>
      <c r="Y405" s="119">
        <v>894865</v>
      </c>
      <c r="Z405" s="34">
        <v>91.7</v>
      </c>
      <c r="AA405" s="34">
        <v>89.9</v>
      </c>
      <c r="AB405" s="34">
        <v>92.1</v>
      </c>
      <c r="AC405" s="34">
        <v>93.7</v>
      </c>
      <c r="AD405" s="34">
        <v>45940</v>
      </c>
      <c r="AE405" s="34">
        <v>5.6</v>
      </c>
      <c r="AF405" s="34">
        <v>768</v>
      </c>
      <c r="AG405" s="34">
        <v>116.3</v>
      </c>
      <c r="AH405" s="34">
        <v>113.5</v>
      </c>
      <c r="AI405" s="34">
        <v>112.9</v>
      </c>
      <c r="AJ405" s="34">
        <v>112.8</v>
      </c>
      <c r="AK405" s="34">
        <v>254.68945600000001</v>
      </c>
      <c r="AL405" s="34">
        <v>99.8</v>
      </c>
      <c r="AM405" s="34">
        <v>122.98</v>
      </c>
      <c r="AN405" s="34">
        <v>191.45</v>
      </c>
      <c r="AO405" s="34">
        <v>130.91</v>
      </c>
      <c r="AP405" s="34">
        <v>69.790000000000006</v>
      </c>
      <c r="AQ405" s="34">
        <f t="shared" si="129"/>
        <v>0.61815766164747565</v>
      </c>
      <c r="AR405" s="34">
        <v>90.6</v>
      </c>
      <c r="AS405" s="34">
        <v>86.1</v>
      </c>
      <c r="AT405" s="34">
        <v>95.3</v>
      </c>
      <c r="AU405" s="34">
        <v>92.4</v>
      </c>
      <c r="AV405" s="34">
        <v>89</v>
      </c>
      <c r="AW405" s="34">
        <v>95.8</v>
      </c>
      <c r="AX405" s="34">
        <v>4.8</v>
      </c>
      <c r="AY405" s="34">
        <v>19</v>
      </c>
      <c r="AZ405" s="34">
        <v>-12.6</v>
      </c>
      <c r="BA405" s="34">
        <v>-15.8</v>
      </c>
      <c r="BB405" s="34">
        <v>85</v>
      </c>
      <c r="BC405" s="34">
        <v>78.400000000000006</v>
      </c>
      <c r="BD405" s="34">
        <v>92.2</v>
      </c>
      <c r="BE405" s="34">
        <v>-34.799999999999997</v>
      </c>
      <c r="BF405" s="34">
        <v>-10.7</v>
      </c>
      <c r="BG405" s="34">
        <v>12.3</v>
      </c>
      <c r="BH405" s="34">
        <v>157.19999999999999</v>
      </c>
      <c r="BI405" s="34">
        <v>7.5</v>
      </c>
      <c r="BJ405" s="34">
        <v>43.2</v>
      </c>
      <c r="BK405" s="54">
        <v>-54.960242611640041</v>
      </c>
      <c r="BL405" s="34">
        <v>-0.42</v>
      </c>
      <c r="BM405" s="34">
        <v>99.238200000000006</v>
      </c>
      <c r="BN405" s="34">
        <v>99.346999999999994</v>
      </c>
      <c r="BO405" s="34">
        <v>-4.4000000000000004</v>
      </c>
      <c r="BP405" s="34">
        <v>-9</v>
      </c>
      <c r="BQ405" s="34">
        <v>12.4</v>
      </c>
      <c r="BR405" s="34">
        <v>0</v>
      </c>
      <c r="BS405" s="34">
        <v>7.6</v>
      </c>
      <c r="BT405" s="34">
        <v>-2.9</v>
      </c>
      <c r="BU405" s="34">
        <v>-5.6</v>
      </c>
      <c r="BV405" s="34">
        <v>6.8</v>
      </c>
      <c r="BW405" s="34">
        <v>-14</v>
      </c>
      <c r="BX405" s="34">
        <v>-18.7</v>
      </c>
      <c r="BY405" s="34">
        <v>-7.3</v>
      </c>
      <c r="BZ405" s="34">
        <v>95.6</v>
      </c>
      <c r="CA405" s="34">
        <v>-14</v>
      </c>
      <c r="CB405" s="34">
        <v>-9.8000000000000007</v>
      </c>
      <c r="CC405" s="34">
        <v>-3.1</v>
      </c>
      <c r="CD405" s="34">
        <v>-37.299999999999997</v>
      </c>
      <c r="CE405" s="34">
        <v>-25.6</v>
      </c>
      <c r="CF405" s="34">
        <v>69.900000000000006</v>
      </c>
      <c r="CG405" s="34">
        <v>22.8</v>
      </c>
      <c r="CH405" s="34">
        <v>25.6</v>
      </c>
      <c r="CI405" s="34">
        <v>-31.6</v>
      </c>
      <c r="CJ405" s="34">
        <v>-17.7</v>
      </c>
      <c r="CK405" s="34">
        <v>17.3</v>
      </c>
      <c r="CL405" s="34">
        <v>25.2</v>
      </c>
      <c r="CM405" s="34">
        <v>4319.3204349999996</v>
      </c>
      <c r="CN405" s="34">
        <v>34051.699999999997</v>
      </c>
      <c r="CO405" s="34">
        <v>4146.1731820000005</v>
      </c>
      <c r="CP405" s="34">
        <v>3.7189999999999999</v>
      </c>
      <c r="CQ405" s="34">
        <v>3.59</v>
      </c>
      <c r="CR405" s="34">
        <v>55.1</v>
      </c>
      <c r="CS405" s="64">
        <v>46.38</v>
      </c>
      <c r="CT405" s="34">
        <v>96.5</v>
      </c>
      <c r="CU405" s="34">
        <v>100.5</v>
      </c>
      <c r="CV405" s="34">
        <v>93.3</v>
      </c>
      <c r="CW405" s="34">
        <v>87.6</v>
      </c>
      <c r="CX405" s="34">
        <v>97.2</v>
      </c>
      <c r="CY405" s="34">
        <v>12.99</v>
      </c>
      <c r="CZ405" s="34">
        <v>72958.676000000007</v>
      </c>
      <c r="DA405" s="34">
        <v>7.55</v>
      </c>
      <c r="DB405" s="34">
        <v>42.03</v>
      </c>
      <c r="DC405" s="34">
        <v>72.41</v>
      </c>
      <c r="DD405" s="34">
        <v>17.84</v>
      </c>
      <c r="DE405" s="34">
        <v>20433.02</v>
      </c>
      <c r="DF405" s="34">
        <v>2388.6329999999998</v>
      </c>
      <c r="DG405" s="34">
        <v>705.46199999999999</v>
      </c>
      <c r="DH405" s="34">
        <v>1660.0329999999999</v>
      </c>
      <c r="DI405" s="34">
        <v>8724.7960000000003</v>
      </c>
      <c r="DJ405" s="34">
        <v>100.3027</v>
      </c>
      <c r="DK405" s="34">
        <v>100.3807</v>
      </c>
      <c r="DL405" s="34">
        <v>100.91</v>
      </c>
      <c r="DM405" s="34">
        <v>101.16500000000001</v>
      </c>
      <c r="DN405" s="34">
        <v>99.346999999999994</v>
      </c>
      <c r="DO405" s="34">
        <v>99.238200000000006</v>
      </c>
      <c r="DP405" s="34">
        <v>98.773200000000003</v>
      </c>
      <c r="DQ405" s="34">
        <v>98.650199999999998</v>
      </c>
      <c r="DR405" s="34">
        <v>142008</v>
      </c>
      <c r="DS405" s="73">
        <v>34784</v>
      </c>
      <c r="DT405" s="73">
        <v>98</v>
      </c>
      <c r="DU405" s="56">
        <v>265.50802612304688</v>
      </c>
      <c r="DV405" s="56">
        <v>439.08303833007813</v>
      </c>
      <c r="DW405">
        <v>1576</v>
      </c>
      <c r="DX405">
        <v>66350</v>
      </c>
      <c r="DY405">
        <v>96.8</v>
      </c>
      <c r="DZ405" s="33" t="s">
        <v>312</v>
      </c>
    </row>
    <row r="406" spans="1:130" s="56" customFormat="1" x14ac:dyDescent="0.25">
      <c r="A406" s="1">
        <v>45078</v>
      </c>
      <c r="B406" s="54">
        <v>97</v>
      </c>
      <c r="C406" s="55">
        <v>3.1469999999999998</v>
      </c>
      <c r="D406" s="98">
        <v>4</v>
      </c>
      <c r="E406" s="54">
        <v>3.36</v>
      </c>
      <c r="F406" s="54">
        <v>2.54</v>
      </c>
      <c r="G406" s="54">
        <v>2.38</v>
      </c>
      <c r="H406" s="54">
        <v>2.38</v>
      </c>
      <c r="I406" s="54">
        <f t="shared" ref="I406" si="141">IF(ISNUMBER(C406),IF(ISNUMBER(H406),H406-C406,""),"")</f>
        <v>-0.7669999999999999</v>
      </c>
      <c r="J406" s="54">
        <f t="shared" ref="J406" si="142">IF(ISNUMBER(D406),IF(ISNUMBER(H406),H406-D406,""),"")</f>
        <v>-1.62</v>
      </c>
      <c r="K406" s="54">
        <f t="shared" ref="K406" si="143">IF(ISNUMBER(H406),IF(ISNUMBER(E406),H406-E406,""),"")</f>
        <v>-0.98</v>
      </c>
      <c r="L406" s="54">
        <f t="shared" ref="L406" si="144">IF(ISNUMBER(D406),IF(ISNUMBER(C406),D406-C406,""),"")</f>
        <v>0.8530000000000002</v>
      </c>
      <c r="M406" s="54">
        <v>98</v>
      </c>
      <c r="N406" s="54">
        <v>15853.66</v>
      </c>
      <c r="O406" s="54">
        <v>13.74</v>
      </c>
      <c r="P406" s="64">
        <v>2722.8</v>
      </c>
      <c r="Q406" s="34">
        <f t="shared" si="134"/>
        <v>23.905179982440739</v>
      </c>
      <c r="R406" s="34">
        <v>3761.5</v>
      </c>
      <c r="S406" s="34">
        <f t="shared" si="135"/>
        <v>3302.4582967515366</v>
      </c>
      <c r="T406" s="34">
        <v>3835.2</v>
      </c>
      <c r="U406" s="34">
        <f t="shared" si="136"/>
        <v>3367.1641791044772</v>
      </c>
      <c r="V406" s="118">
        <v>278039</v>
      </c>
      <c r="W406" s="118">
        <v>10704881</v>
      </c>
      <c r="X406" s="119">
        <v>15087051</v>
      </c>
      <c r="Y406" s="119">
        <v>893890</v>
      </c>
      <c r="Z406" s="54">
        <v>91.1</v>
      </c>
      <c r="AA406" s="54">
        <v>96</v>
      </c>
      <c r="AB406" s="54">
        <v>99.2</v>
      </c>
      <c r="AC406" s="54">
        <v>102.8</v>
      </c>
      <c r="AD406" s="54">
        <v>45955</v>
      </c>
      <c r="AE406" s="54">
        <v>5.6</v>
      </c>
      <c r="AF406" s="54">
        <v>762</v>
      </c>
      <c r="AG406" s="54">
        <v>116.6</v>
      </c>
      <c r="AH406" s="54">
        <v>113.9</v>
      </c>
      <c r="AI406" s="54">
        <v>112.3</v>
      </c>
      <c r="AJ406" s="54">
        <v>112.7</v>
      </c>
      <c r="AK406" s="54">
        <v>253.517572</v>
      </c>
      <c r="AL406" s="54">
        <v>103.7</v>
      </c>
      <c r="AM406" s="54">
        <v>121.72</v>
      </c>
      <c r="AN406" s="54">
        <v>188.72</v>
      </c>
      <c r="AO406" s="54">
        <v>130.53</v>
      </c>
      <c r="AP406" s="54">
        <v>69.16</v>
      </c>
      <c r="AQ406" s="54">
        <f t="shared" si="129"/>
        <v>0.61585040071237751</v>
      </c>
      <c r="AR406" s="54">
        <v>87.9</v>
      </c>
      <c r="AS406" s="54">
        <v>82.4</v>
      </c>
      <c r="AT406" s="54">
        <v>93.9</v>
      </c>
      <c r="AU406" s="54">
        <v>88.8</v>
      </c>
      <c r="AV406" s="54">
        <v>83.9</v>
      </c>
      <c r="AW406" s="54">
        <v>94</v>
      </c>
      <c r="AX406" s="54">
        <v>-5.6</v>
      </c>
      <c r="AY406" s="54">
        <v>6.5</v>
      </c>
      <c r="AZ406" s="54">
        <v>-17.3</v>
      </c>
      <c r="BA406" s="54">
        <v>-18.100000000000001</v>
      </c>
      <c r="BB406" s="54">
        <v>84.2</v>
      </c>
      <c r="BC406" s="54">
        <v>78.599999999999994</v>
      </c>
      <c r="BD406" s="54">
        <v>90.1</v>
      </c>
      <c r="BE406" s="54">
        <v>-56.5</v>
      </c>
      <c r="BF406" s="54">
        <v>-8.5</v>
      </c>
      <c r="BG406" s="54">
        <v>3.7</v>
      </c>
      <c r="BH406" s="54">
        <v>160.9</v>
      </c>
      <c r="BI406" s="54">
        <v>1.6</v>
      </c>
      <c r="BJ406" s="34">
        <v>40.6</v>
      </c>
      <c r="BK406" s="54">
        <v>-66.615596046524104</v>
      </c>
      <c r="BL406" s="54">
        <v>-0.66</v>
      </c>
      <c r="BM406" s="54">
        <v>99.029200000000003</v>
      </c>
      <c r="BN406" s="54">
        <v>99.167500000000004</v>
      </c>
      <c r="BO406" s="54">
        <v>-10</v>
      </c>
      <c r="BP406" s="54">
        <v>-10.7</v>
      </c>
      <c r="BQ406" s="54">
        <v>13.5</v>
      </c>
      <c r="BR406" s="54">
        <v>-2.9</v>
      </c>
      <c r="BS406" s="54">
        <v>6</v>
      </c>
      <c r="BT406" s="54">
        <v>-4.4000000000000004</v>
      </c>
      <c r="BU406" s="54">
        <v>-8.8000000000000007</v>
      </c>
      <c r="BV406" s="54">
        <v>5.9</v>
      </c>
      <c r="BW406" s="54">
        <v>-14.2</v>
      </c>
      <c r="BX406" s="54">
        <v>-17.100000000000001</v>
      </c>
      <c r="BY406" s="54">
        <v>-12.9</v>
      </c>
      <c r="BZ406" s="54">
        <v>94</v>
      </c>
      <c r="CA406" s="54">
        <v>-14.2</v>
      </c>
      <c r="CB406" s="54">
        <v>-11.1</v>
      </c>
      <c r="CC406" s="54">
        <v>-3</v>
      </c>
      <c r="CD406" s="54">
        <v>-39.700000000000003</v>
      </c>
      <c r="CE406" s="54">
        <v>-26</v>
      </c>
      <c r="CF406" s="54">
        <v>69</v>
      </c>
      <c r="CG406" s="54">
        <v>17.899999999999999</v>
      </c>
      <c r="CH406" s="54">
        <v>26.5</v>
      </c>
      <c r="CI406" s="54">
        <v>-29.9</v>
      </c>
      <c r="CJ406" s="54">
        <v>-16.8</v>
      </c>
      <c r="CK406" s="54">
        <v>14.3</v>
      </c>
      <c r="CL406" s="54">
        <v>23.2</v>
      </c>
      <c r="CM406" s="54">
        <v>4324.4394089999996</v>
      </c>
      <c r="CN406" s="54">
        <v>33061.57</v>
      </c>
      <c r="CO406" s="54">
        <v>4345.3728570000003</v>
      </c>
      <c r="CP406" s="54">
        <v>4.1239999999999997</v>
      </c>
      <c r="CQ406" s="54">
        <v>3.61</v>
      </c>
      <c r="CR406" s="54">
        <v>61.1</v>
      </c>
      <c r="CS406" s="64">
        <v>50.85</v>
      </c>
      <c r="CT406" s="54">
        <v>97.8</v>
      </c>
      <c r="CU406" s="54">
        <v>99.6</v>
      </c>
      <c r="CV406" s="54">
        <v>93.7</v>
      </c>
      <c r="CW406" s="54">
        <v>82.3</v>
      </c>
      <c r="CX406" s="54">
        <v>91.6</v>
      </c>
      <c r="CY406" s="54">
        <v>13.26</v>
      </c>
      <c r="CZ406" s="54">
        <v>76639.053</v>
      </c>
      <c r="DA406" s="54">
        <v>7.38</v>
      </c>
      <c r="DB406" s="54">
        <v>39.99</v>
      </c>
      <c r="DC406" s="54">
        <v>72.55</v>
      </c>
      <c r="DD406" s="54">
        <v>17.61</v>
      </c>
      <c r="DE406" s="54">
        <v>21703.624</v>
      </c>
      <c r="DF406" s="54">
        <v>2684.2170000000001</v>
      </c>
      <c r="DG406" s="54">
        <v>743.17100000000005</v>
      </c>
      <c r="DH406" s="54">
        <v>1801.8420000000001</v>
      </c>
      <c r="DI406" s="54">
        <v>8826.9509999999991</v>
      </c>
      <c r="DJ406" s="54">
        <v>100.44450000000001</v>
      </c>
      <c r="DK406" s="54">
        <v>100.5625</v>
      </c>
      <c r="DL406" s="54">
        <v>101.16</v>
      </c>
      <c r="DM406" s="54">
        <v>101.47920000000001</v>
      </c>
      <c r="DN406" s="54">
        <v>99.167500000000004</v>
      </c>
      <c r="DO406" s="54">
        <v>99.029200000000003</v>
      </c>
      <c r="DP406" s="54">
        <v>98.847800000000007</v>
      </c>
      <c r="DQ406" s="54">
        <v>98.732200000000006</v>
      </c>
      <c r="DR406" s="54">
        <v>155571</v>
      </c>
      <c r="DS406" s="96">
        <v>34795</v>
      </c>
      <c r="DT406" s="96">
        <v>98.1</v>
      </c>
      <c r="DU406" s="56">
        <v>247.21464538574219</v>
      </c>
      <c r="DV406" s="56">
        <v>481.657470703125</v>
      </c>
      <c r="DW406" s="56">
        <v>937</v>
      </c>
      <c r="DX406" s="56">
        <v>98675</v>
      </c>
      <c r="DY406" s="56">
        <v>95.6</v>
      </c>
      <c r="DZ406" s="60" t="s">
        <v>312</v>
      </c>
    </row>
    <row r="407" spans="1:130" x14ac:dyDescent="0.25">
      <c r="A407" s="1">
        <v>45108</v>
      </c>
      <c r="B407" s="34">
        <v>96.7</v>
      </c>
      <c r="C407" s="45">
        <v>3.399</v>
      </c>
      <c r="D407" s="99">
        <v>4</v>
      </c>
      <c r="E407" s="34">
        <v>3.53</v>
      </c>
      <c r="F407" s="34">
        <v>2.68</v>
      </c>
      <c r="G407" s="34">
        <v>2.4900000000000002</v>
      </c>
      <c r="H407" s="34">
        <v>2.46</v>
      </c>
      <c r="I407" s="34">
        <f t="shared" ref="I407:I408" si="145">IF(ISNUMBER(C407),IF(ISNUMBER(H407),H407-C407,""),"")</f>
        <v>-0.93900000000000006</v>
      </c>
      <c r="J407" s="34">
        <f t="shared" ref="J407:J408" si="146">IF(ISNUMBER(D407),IF(ISNUMBER(H407),H407-D407,""),"")</f>
        <v>-1.54</v>
      </c>
      <c r="K407" s="34">
        <f t="shared" ref="K407:K408" si="147">IF(ISNUMBER(H407),IF(ISNUMBER(E407),H407-E407,""),"")</f>
        <v>-1.0699999999999998</v>
      </c>
      <c r="L407" s="34">
        <f t="shared" ref="L407:L408" si="148">IF(ISNUMBER(D407),IF(ISNUMBER(C407),D407-C407,""),"")</f>
        <v>0.60099999999999998</v>
      </c>
      <c r="M407" s="34">
        <v>98.2</v>
      </c>
      <c r="N407" s="34">
        <v>16081.04</v>
      </c>
      <c r="O407" s="34">
        <v>16.8</v>
      </c>
      <c r="P407" s="64">
        <v>2701.8</v>
      </c>
      <c r="Q407" s="34">
        <f t="shared" si="134"/>
        <v>23.679228746713413</v>
      </c>
      <c r="R407" s="34">
        <v>3758.2</v>
      </c>
      <c r="S407" s="34">
        <f t="shared" si="135"/>
        <v>3293.7773882559159</v>
      </c>
      <c r="T407" s="34">
        <v>3832.1</v>
      </c>
      <c r="U407" s="34">
        <f t="shared" si="136"/>
        <v>3358.5451358457499</v>
      </c>
      <c r="V407" s="118">
        <v>279083</v>
      </c>
      <c r="W407" s="118">
        <v>10628838</v>
      </c>
      <c r="X407" s="119">
        <v>15063933</v>
      </c>
      <c r="Y407" s="119">
        <v>896907</v>
      </c>
      <c r="Z407" s="34">
        <v>90.6</v>
      </c>
      <c r="AA407" s="34">
        <v>85</v>
      </c>
      <c r="AB407" s="34">
        <v>92.9</v>
      </c>
      <c r="AC407" s="34">
        <v>86.9</v>
      </c>
      <c r="AD407" s="34">
        <v>45959</v>
      </c>
      <c r="AE407" s="34">
        <v>5.7</v>
      </c>
      <c r="AF407" s="34">
        <v>756</v>
      </c>
      <c r="AG407" s="34">
        <v>116.8</v>
      </c>
      <c r="AH407" s="34">
        <v>114.1</v>
      </c>
      <c r="AI407" s="34">
        <v>111.7</v>
      </c>
      <c r="AJ407" s="34">
        <v>112.3</v>
      </c>
      <c r="AK407" s="34">
        <v>251.75974600000001</v>
      </c>
      <c r="AL407" s="34">
        <v>133.80000000000001</v>
      </c>
      <c r="AM407" s="34">
        <v>121.6</v>
      </c>
      <c r="AN407" s="34">
        <v>194.96</v>
      </c>
      <c r="AO407" s="34">
        <v>130.77000000000001</v>
      </c>
      <c r="AP407" s="34">
        <v>72.239999999999995</v>
      </c>
      <c r="AQ407" s="34">
        <f t="shared" si="129"/>
        <v>0.64673231871083248</v>
      </c>
      <c r="AR407" s="34">
        <v>86.7</v>
      </c>
      <c r="AS407" s="34">
        <v>82</v>
      </c>
      <c r="AT407" s="34">
        <v>91.7</v>
      </c>
      <c r="AU407" s="34">
        <v>87.1</v>
      </c>
      <c r="AV407" s="34">
        <v>83.3</v>
      </c>
      <c r="AW407" s="34">
        <v>91.2</v>
      </c>
      <c r="AX407" s="34">
        <v>-7.6</v>
      </c>
      <c r="AY407" s="34">
        <v>6.6</v>
      </c>
      <c r="AZ407" s="34">
        <v>-22.4</v>
      </c>
      <c r="BA407" s="34">
        <v>-24.2</v>
      </c>
      <c r="BB407" s="34">
        <v>82.4</v>
      </c>
      <c r="BC407" s="34">
        <v>77.2</v>
      </c>
      <c r="BD407" s="34">
        <v>88</v>
      </c>
      <c r="BE407" s="34">
        <v>-59.5</v>
      </c>
      <c r="BF407" s="34">
        <v>-14.7</v>
      </c>
      <c r="BG407" s="34">
        <v>3.7</v>
      </c>
      <c r="BH407" s="34">
        <v>164.5</v>
      </c>
      <c r="BI407" s="34">
        <v>2.1</v>
      </c>
      <c r="BJ407" s="34">
        <v>38.799999999999997</v>
      </c>
      <c r="BK407" s="54">
        <v>-70.747466196446766</v>
      </c>
      <c r="BL407" s="34">
        <v>-0.56000000000000005</v>
      </c>
      <c r="BM407" s="34">
        <v>98.853499999999997</v>
      </c>
      <c r="BN407" s="34">
        <v>99.016499999999994</v>
      </c>
      <c r="BO407" s="34">
        <v>-15.9</v>
      </c>
      <c r="BP407" s="34">
        <v>-18.399999999999999</v>
      </c>
      <c r="BQ407" s="34">
        <v>16.8</v>
      </c>
      <c r="BR407" s="34">
        <v>-8.1999999999999993</v>
      </c>
      <c r="BS407" s="34">
        <v>3.2</v>
      </c>
      <c r="BT407" s="34">
        <v>-8.3000000000000007</v>
      </c>
      <c r="BU407" s="34">
        <v>-13.6</v>
      </c>
      <c r="BV407" s="34">
        <v>5.7</v>
      </c>
      <c r="BW407" s="34">
        <v>-14</v>
      </c>
      <c r="BX407" s="34">
        <v>-17.600000000000001</v>
      </c>
      <c r="BY407" s="34">
        <v>-15.6</v>
      </c>
      <c r="BZ407" s="34">
        <v>91.9</v>
      </c>
      <c r="CA407" s="34">
        <v>-14</v>
      </c>
      <c r="CB407" s="34">
        <v>-8.6999999999999993</v>
      </c>
      <c r="CC407" s="34">
        <v>-2.7</v>
      </c>
      <c r="CD407" s="34">
        <v>-40.1</v>
      </c>
      <c r="CE407" s="34">
        <v>-26.1</v>
      </c>
      <c r="CF407" s="34">
        <v>67.7</v>
      </c>
      <c r="CG407" s="34">
        <v>19.5</v>
      </c>
      <c r="CH407" s="34">
        <v>26.9</v>
      </c>
      <c r="CI407" s="34">
        <v>-29.4</v>
      </c>
      <c r="CJ407" s="34">
        <v>-18.3</v>
      </c>
      <c r="CK407" s="34">
        <v>18.3</v>
      </c>
      <c r="CL407" s="34">
        <v>25.5</v>
      </c>
      <c r="CM407" s="34">
        <v>4364.5068099999999</v>
      </c>
      <c r="CN407" s="34">
        <v>34418.480000000003</v>
      </c>
      <c r="CO407" s="34">
        <v>4508.0754999999999</v>
      </c>
      <c r="CP407" s="34">
        <v>4.4429999999999996</v>
      </c>
      <c r="CQ407" s="34">
        <v>3.86</v>
      </c>
      <c r="CR407" s="34">
        <v>68.3</v>
      </c>
      <c r="CS407" s="64">
        <v>46.7</v>
      </c>
      <c r="CT407" s="34">
        <v>95.3</v>
      </c>
      <c r="CU407" s="34">
        <v>100.9</v>
      </c>
      <c r="CV407" s="34">
        <v>94.3</v>
      </c>
      <c r="CW407" s="34">
        <v>85.3</v>
      </c>
      <c r="CX407" s="34">
        <v>94.1</v>
      </c>
      <c r="CY407" s="34">
        <v>13.44</v>
      </c>
      <c r="CZ407" s="34">
        <v>68377.547000000006</v>
      </c>
      <c r="DA407" s="34">
        <v>7.69</v>
      </c>
      <c r="DB407" s="34">
        <v>40.619999999999997</v>
      </c>
      <c r="DC407" s="34">
        <v>71.39</v>
      </c>
      <c r="DD407" s="34">
        <v>17.84</v>
      </c>
      <c r="DE407" s="34">
        <v>19656.469000000001</v>
      </c>
      <c r="DF407" s="34">
        <v>2525.1129999999998</v>
      </c>
      <c r="DG407" s="34">
        <v>696.36900000000003</v>
      </c>
      <c r="DH407" s="34">
        <v>1756.0409999999999</v>
      </c>
      <c r="DI407" s="34">
        <v>8270.357</v>
      </c>
      <c r="DJ407" s="34">
        <v>100.5667</v>
      </c>
      <c r="DK407" s="34">
        <v>100.7199</v>
      </c>
      <c r="DL407" s="34">
        <v>101.37</v>
      </c>
      <c r="DM407" s="34">
        <v>101.7424</v>
      </c>
      <c r="DN407" s="34">
        <v>99.016499999999994</v>
      </c>
      <c r="DO407" s="34">
        <v>98.853499999999997</v>
      </c>
      <c r="DP407" s="34">
        <v>98.928299999999993</v>
      </c>
      <c r="DQ407" s="34">
        <v>98.820800000000006</v>
      </c>
      <c r="DR407" s="34">
        <v>106811</v>
      </c>
      <c r="DS407" s="73">
        <v>34802</v>
      </c>
      <c r="DT407" s="73">
        <v>96.9</v>
      </c>
      <c r="DU407" s="56">
        <v>263.57205200195313</v>
      </c>
      <c r="DV407" s="56">
        <v>520.2620849609375</v>
      </c>
      <c r="DW407">
        <v>1068</v>
      </c>
      <c r="DX407">
        <v>66775</v>
      </c>
      <c r="DY407">
        <v>95.8</v>
      </c>
      <c r="DZ407" s="33" t="s">
        <v>312</v>
      </c>
    </row>
    <row r="408" spans="1:130" x14ac:dyDescent="0.25">
      <c r="A408" s="1">
        <v>45139</v>
      </c>
      <c r="B408" s="34">
        <v>95.8</v>
      </c>
      <c r="C408" s="45">
        <v>3.4039999999999999</v>
      </c>
      <c r="D408" s="99">
        <v>4.25</v>
      </c>
      <c r="E408" s="34">
        <v>3.66</v>
      </c>
      <c r="F408" s="34">
        <v>2.62</v>
      </c>
      <c r="G408" s="34">
        <v>2.5099999999999998</v>
      </c>
      <c r="H408" s="34">
        <v>2.5499999999999998</v>
      </c>
      <c r="I408" s="34">
        <f t="shared" si="145"/>
        <v>-0.85400000000000009</v>
      </c>
      <c r="J408" s="34">
        <f t="shared" si="146"/>
        <v>-1.7000000000000002</v>
      </c>
      <c r="K408" s="34">
        <f t="shared" si="147"/>
        <v>-1.1100000000000003</v>
      </c>
      <c r="L408" s="34">
        <f t="shared" si="148"/>
        <v>0.84600000000000009</v>
      </c>
      <c r="M408" s="34">
        <v>98.2</v>
      </c>
      <c r="N408" s="34">
        <v>16240.4</v>
      </c>
      <c r="O408" s="34">
        <v>14.49</v>
      </c>
      <c r="P408" s="64">
        <v>2673.2</v>
      </c>
      <c r="Q408" s="34">
        <f t="shared" si="134"/>
        <v>23.346724890829694</v>
      </c>
      <c r="R408" s="34">
        <v>3748.9</v>
      </c>
      <c r="S408" s="34">
        <f t="shared" si="135"/>
        <v>3274.1484716157202</v>
      </c>
      <c r="T408" s="34">
        <v>3831.2</v>
      </c>
      <c r="U408" s="34">
        <f t="shared" si="136"/>
        <v>3346.0262008733621</v>
      </c>
      <c r="V408" s="118">
        <v>272416</v>
      </c>
      <c r="W408" s="118">
        <v>10551973</v>
      </c>
      <c r="X408" s="119">
        <v>15039095</v>
      </c>
      <c r="Y408" s="119">
        <v>911337</v>
      </c>
      <c r="Z408" s="34">
        <v>90.5</v>
      </c>
      <c r="AA408" s="34">
        <v>87.4</v>
      </c>
      <c r="AB408" s="34">
        <v>100.1</v>
      </c>
      <c r="AC408" s="34">
        <v>87.6</v>
      </c>
      <c r="AD408" s="34">
        <v>45951</v>
      </c>
      <c r="AE408" s="34">
        <v>5.7</v>
      </c>
      <c r="AF408" s="34">
        <v>749</v>
      </c>
      <c r="AG408" s="34">
        <v>117.4</v>
      </c>
      <c r="AH408" s="34">
        <v>114.5</v>
      </c>
      <c r="AI408" s="34">
        <v>112.3</v>
      </c>
      <c r="AJ408" s="34">
        <v>112.5</v>
      </c>
      <c r="AK408" s="34">
        <v>252.345688</v>
      </c>
      <c r="AL408" s="34">
        <v>100.9</v>
      </c>
      <c r="AM408" s="34">
        <v>118.65</v>
      </c>
      <c r="AN408" s="34">
        <v>210.54</v>
      </c>
      <c r="AO408" s="34">
        <v>126.16</v>
      </c>
      <c r="AP408" s="34">
        <v>78.069999999999993</v>
      </c>
      <c r="AQ408" s="34">
        <f t="shared" si="129"/>
        <v>0.69519145146927863</v>
      </c>
      <c r="AR408" s="34">
        <v>85.6</v>
      </c>
      <c r="AS408" s="34">
        <v>81.900000000000006</v>
      </c>
      <c r="AT408" s="34">
        <v>89.5</v>
      </c>
      <c r="AU408" s="34">
        <v>86.1</v>
      </c>
      <c r="AV408" s="34">
        <v>83.8</v>
      </c>
      <c r="AW408" s="34">
        <v>88.6</v>
      </c>
      <c r="AX408" s="34">
        <v>-16.5</v>
      </c>
      <c r="AY408" s="34">
        <v>3</v>
      </c>
      <c r="AZ408" s="34">
        <v>-22.5</v>
      </c>
      <c r="BA408" s="34">
        <v>-18.2</v>
      </c>
      <c r="BB408" s="34">
        <v>81.8</v>
      </c>
      <c r="BC408" s="34">
        <v>76.599999999999994</v>
      </c>
      <c r="BD408" s="34">
        <v>87.4</v>
      </c>
      <c r="BE408" s="34">
        <v>-71.3</v>
      </c>
      <c r="BF408" s="34">
        <v>-12.3</v>
      </c>
      <c r="BG408" s="34">
        <v>-6.2</v>
      </c>
      <c r="BH408" s="34">
        <v>168.6</v>
      </c>
      <c r="BI408" s="34">
        <v>12.9</v>
      </c>
      <c r="BJ408" s="34">
        <v>39.1</v>
      </c>
      <c r="BK408" s="54">
        <v>-67.750607158788</v>
      </c>
      <c r="BL408" s="34">
        <v>-0.34</v>
      </c>
      <c r="BM408" s="34">
        <v>98.744200000000006</v>
      </c>
      <c r="BN408" s="34">
        <v>98.922600000000003</v>
      </c>
      <c r="BO408" s="34">
        <v>-22.1</v>
      </c>
      <c r="BP408" s="34">
        <v>-23.3</v>
      </c>
      <c r="BQ408" s="34">
        <v>18</v>
      </c>
      <c r="BR408" s="34">
        <v>-6.8</v>
      </c>
      <c r="BS408" s="34">
        <v>3.4</v>
      </c>
      <c r="BT408" s="34">
        <v>-8</v>
      </c>
      <c r="BU408" s="34">
        <v>-15.7</v>
      </c>
      <c r="BV408" s="34">
        <v>2.5</v>
      </c>
      <c r="BW408" s="34">
        <v>-14.8</v>
      </c>
      <c r="BX408" s="34">
        <v>-20</v>
      </c>
      <c r="BY408" s="34">
        <v>-17.100000000000001</v>
      </c>
      <c r="BZ408" s="34">
        <v>89.9</v>
      </c>
      <c r="CA408" s="34">
        <v>-14.8</v>
      </c>
      <c r="CB408" s="34">
        <v>-8.3000000000000007</v>
      </c>
      <c r="CC408" s="34">
        <v>-3.8</v>
      </c>
      <c r="CD408" s="34">
        <v>-43.1</v>
      </c>
      <c r="CE408" s="34">
        <v>-28.7</v>
      </c>
      <c r="CF408" s="34">
        <v>66.099999999999994</v>
      </c>
      <c r="CG408" s="34">
        <v>23.4</v>
      </c>
      <c r="CH408" s="34">
        <v>26.2</v>
      </c>
      <c r="CI408" s="34">
        <v>-32.4</v>
      </c>
      <c r="CJ408" s="34">
        <v>-18.399999999999999</v>
      </c>
      <c r="CK408" s="34">
        <v>16</v>
      </c>
      <c r="CL408" s="34">
        <v>24.8</v>
      </c>
      <c r="CM408" s="34">
        <v>4296.8437389999999</v>
      </c>
      <c r="CN408" s="34">
        <v>35630.68</v>
      </c>
      <c r="CO408" s="34">
        <v>4457.3586960000002</v>
      </c>
      <c r="CP408" s="34">
        <v>4.4009999999999998</v>
      </c>
      <c r="CQ408" s="34">
        <v>4.05</v>
      </c>
      <c r="CR408" s="34">
        <v>65.400000000000006</v>
      </c>
      <c r="CS408" s="64">
        <v>50.15</v>
      </c>
      <c r="CT408" s="34">
        <v>93.8</v>
      </c>
      <c r="CU408" s="34">
        <v>102</v>
      </c>
      <c r="CV408" s="34">
        <v>95.3</v>
      </c>
      <c r="CW408" s="34">
        <v>91.7</v>
      </c>
      <c r="CX408" s="34">
        <v>96.4</v>
      </c>
      <c r="CY408" s="34">
        <v>13.48</v>
      </c>
      <c r="CZ408" s="34">
        <v>66163.085000000006</v>
      </c>
      <c r="DA408" s="34">
        <v>7.81</v>
      </c>
      <c r="DB408" s="34">
        <v>37.75</v>
      </c>
      <c r="DC408" s="34">
        <v>71.540000000000006</v>
      </c>
      <c r="DD408" s="34">
        <v>17.309999999999999</v>
      </c>
      <c r="DE408" s="34">
        <v>19496.581999999999</v>
      </c>
      <c r="DF408" s="34">
        <v>2612.614</v>
      </c>
      <c r="DG408" s="34">
        <v>739.09500000000003</v>
      </c>
      <c r="DH408" s="34">
        <v>1569.4780000000001</v>
      </c>
      <c r="DI408" s="34">
        <v>8220.4580000000005</v>
      </c>
      <c r="DJ408" s="34">
        <v>100.6524</v>
      </c>
      <c r="DK408" s="34">
        <v>100.82980000000001</v>
      </c>
      <c r="DL408" s="34">
        <v>101.51</v>
      </c>
      <c r="DM408" s="34">
        <v>101.92310000000001</v>
      </c>
      <c r="DN408" s="34">
        <v>98.922600000000003</v>
      </c>
      <c r="DO408" s="34">
        <v>98.744200000000006</v>
      </c>
      <c r="DP408" s="34">
        <v>98.992900000000006</v>
      </c>
      <c r="DQ408" s="34">
        <v>98.891900000000007</v>
      </c>
      <c r="DR408" s="34">
        <v>107437</v>
      </c>
      <c r="DS408" s="73">
        <v>34823</v>
      </c>
      <c r="DT408" s="73">
        <v>96.9</v>
      </c>
      <c r="DU408" s="56">
        <v>287.96255493164063</v>
      </c>
      <c r="DV408" s="56">
        <v>661.26092529296875</v>
      </c>
      <c r="DW408">
        <v>1150</v>
      </c>
      <c r="DX408">
        <v>75275</v>
      </c>
      <c r="DY408">
        <v>95.2</v>
      </c>
      <c r="DZ408" s="33" t="s">
        <v>312</v>
      </c>
    </row>
    <row r="409" spans="1:130" s="56" customFormat="1" x14ac:dyDescent="0.25">
      <c r="A409" s="1">
        <v>45170</v>
      </c>
      <c r="B409" s="54">
        <v>95.4</v>
      </c>
      <c r="C409" s="55">
        <v>3.6520000000000001</v>
      </c>
      <c r="D409" s="98">
        <v>4.5</v>
      </c>
      <c r="E409" s="54">
        <v>3.78</v>
      </c>
      <c r="F409" s="54">
        <v>2.73</v>
      </c>
      <c r="G409" s="54">
        <v>2.61</v>
      </c>
      <c r="H409" s="54">
        <v>2.66</v>
      </c>
      <c r="I409" s="54">
        <f t="shared" ref="I409:I410" si="149">IF(ISNUMBER(C409),IF(ISNUMBER(H409),H409-C409,""),"")</f>
        <v>-0.99199999999999999</v>
      </c>
      <c r="J409" s="54">
        <f t="shared" ref="J409:J410" si="150">IF(ISNUMBER(D409),IF(ISNUMBER(H409),H409-D409,""),"")</f>
        <v>-1.8399999999999999</v>
      </c>
      <c r="K409" s="54">
        <f t="shared" ref="K409:K410" si="151">IF(ISNUMBER(H409),IF(ISNUMBER(E409),H409-E409,""),"")</f>
        <v>-1.1199999999999997</v>
      </c>
      <c r="L409" s="54">
        <f t="shared" ref="L409:L410" si="152">IF(ISNUMBER(D409),IF(ISNUMBER(C409),D409-C409,""),"")</f>
        <v>0.84799999999999986</v>
      </c>
      <c r="M409" s="54">
        <v>97.8</v>
      </c>
      <c r="N409" s="54">
        <v>15840.34</v>
      </c>
      <c r="O409" s="54">
        <v>17.95</v>
      </c>
      <c r="P409" s="64">
        <v>2664.4</v>
      </c>
      <c r="Q409" s="34">
        <f t="shared" si="134"/>
        <v>23.229293809938973</v>
      </c>
      <c r="R409" s="34">
        <v>3754.7</v>
      </c>
      <c r="S409" s="34">
        <f t="shared" si="135"/>
        <v>3273.4960767218831</v>
      </c>
      <c r="T409" s="34">
        <v>3836.9</v>
      </c>
      <c r="U409" s="34">
        <f t="shared" si="136"/>
        <v>3345.161290322581</v>
      </c>
      <c r="V409" s="118">
        <v>272626</v>
      </c>
      <c r="W409" s="118">
        <v>10514209</v>
      </c>
      <c r="X409" s="119">
        <v>15063141</v>
      </c>
      <c r="Y409" s="119">
        <v>923774</v>
      </c>
      <c r="Z409" s="54">
        <v>90</v>
      </c>
      <c r="AA409" s="54">
        <v>86.7</v>
      </c>
      <c r="AB409" s="54">
        <v>91.3</v>
      </c>
      <c r="AC409" s="54">
        <v>87.3</v>
      </c>
      <c r="AD409" s="54">
        <v>45946</v>
      </c>
      <c r="AE409" s="54">
        <v>5.7</v>
      </c>
      <c r="AF409" s="54">
        <v>739</v>
      </c>
      <c r="AG409" s="54">
        <v>117.7</v>
      </c>
      <c r="AH409" s="54">
        <v>114.7</v>
      </c>
      <c r="AI409" s="54">
        <v>113.4</v>
      </c>
      <c r="AJ409" s="54">
        <v>112.9</v>
      </c>
      <c r="AK409" s="54">
        <v>252.54100199999999</v>
      </c>
      <c r="AL409" s="54">
        <v>101.2</v>
      </c>
      <c r="AM409" s="54">
        <v>121.09</v>
      </c>
      <c r="AN409" s="54">
        <v>226.86</v>
      </c>
      <c r="AO409" s="54">
        <v>126.92</v>
      </c>
      <c r="AP409" s="54">
        <v>86.82</v>
      </c>
      <c r="AQ409" s="54">
        <f t="shared" si="129"/>
        <v>0.76560846560846552</v>
      </c>
      <c r="AR409" s="54">
        <v>86</v>
      </c>
      <c r="AS409" s="54">
        <v>83.2</v>
      </c>
      <c r="AT409" s="54">
        <v>88.9</v>
      </c>
      <c r="AU409" s="54">
        <v>86.5</v>
      </c>
      <c r="AV409" s="54">
        <v>84.2</v>
      </c>
      <c r="AW409" s="54">
        <v>88.8</v>
      </c>
      <c r="AX409" s="54">
        <v>-10.1</v>
      </c>
      <c r="AY409" s="54">
        <v>7.7</v>
      </c>
      <c r="AZ409" s="54">
        <v>-25.3</v>
      </c>
      <c r="BA409" s="54">
        <v>-19.100000000000001</v>
      </c>
      <c r="BB409" s="54">
        <v>82.4</v>
      </c>
      <c r="BC409" s="54">
        <v>78.8</v>
      </c>
      <c r="BD409" s="54">
        <v>86</v>
      </c>
      <c r="BE409" s="54">
        <v>-79.400000000000006</v>
      </c>
      <c r="BF409" s="54">
        <v>-11.4</v>
      </c>
      <c r="BG409" s="54">
        <v>-3.4</v>
      </c>
      <c r="BH409" s="54">
        <v>169.4</v>
      </c>
      <c r="BI409" s="54">
        <v>2.5</v>
      </c>
      <c r="BJ409" s="34">
        <v>39.6</v>
      </c>
      <c r="BK409" s="54">
        <v>-59.043994712810033</v>
      </c>
      <c r="BL409" s="54">
        <v>-0.18</v>
      </c>
      <c r="BM409" s="54">
        <v>98.715199999999996</v>
      </c>
      <c r="BN409" s="54">
        <v>98.897599999999997</v>
      </c>
      <c r="BO409" s="54">
        <v>-18.8</v>
      </c>
      <c r="BP409" s="54">
        <v>-20.5</v>
      </c>
      <c r="BQ409" s="54">
        <v>17.600000000000001</v>
      </c>
      <c r="BR409" s="54">
        <v>-4.8</v>
      </c>
      <c r="BS409" s="54">
        <v>5.5</v>
      </c>
      <c r="BT409" s="54">
        <v>-10.4</v>
      </c>
      <c r="BU409" s="54">
        <v>-13.7</v>
      </c>
      <c r="BV409" s="54">
        <v>2.2999999999999998</v>
      </c>
      <c r="BW409" s="54">
        <v>-15.3</v>
      </c>
      <c r="BX409" s="54">
        <v>-19.7</v>
      </c>
      <c r="BY409" s="54">
        <v>-18.2</v>
      </c>
      <c r="BZ409" s="54">
        <v>90.3</v>
      </c>
      <c r="CA409" s="54">
        <v>-15.3</v>
      </c>
      <c r="CB409" s="54">
        <v>-9.3000000000000007</v>
      </c>
      <c r="CC409" s="54">
        <v>-3.4</v>
      </c>
      <c r="CD409" s="54">
        <v>-45.2</v>
      </c>
      <c r="CE409" s="54">
        <v>-28.7</v>
      </c>
      <c r="CF409" s="54">
        <v>66.599999999999994</v>
      </c>
      <c r="CG409" s="54">
        <v>24.4</v>
      </c>
      <c r="CH409" s="54">
        <v>25.4</v>
      </c>
      <c r="CI409" s="54">
        <v>-31</v>
      </c>
      <c r="CJ409" s="54">
        <v>-20</v>
      </c>
      <c r="CK409" s="54">
        <v>18.5</v>
      </c>
      <c r="CL409" s="54">
        <v>24.7</v>
      </c>
      <c r="CM409" s="54">
        <v>4227.2277620000004</v>
      </c>
      <c r="CN409" s="54">
        <v>34837.71</v>
      </c>
      <c r="CO409" s="54">
        <v>4409.0950000000003</v>
      </c>
      <c r="CP409" s="54">
        <v>4.4279999999999999</v>
      </c>
      <c r="CQ409" s="54">
        <v>4.18</v>
      </c>
      <c r="CR409" s="54">
        <v>65.7</v>
      </c>
      <c r="CS409" s="64">
        <v>49.47</v>
      </c>
      <c r="CT409" s="54">
        <v>96.7</v>
      </c>
      <c r="CU409" s="54">
        <v>98.4</v>
      </c>
      <c r="CV409" s="54">
        <v>95.4</v>
      </c>
      <c r="CW409" s="54">
        <v>86.2</v>
      </c>
      <c r="CX409" s="54">
        <v>93.8</v>
      </c>
      <c r="CY409" s="54">
        <v>12.87</v>
      </c>
      <c r="CZ409" s="54">
        <v>71930.517999999996</v>
      </c>
      <c r="DA409" s="54">
        <v>7.64</v>
      </c>
      <c r="DB409" s="54">
        <v>38.96</v>
      </c>
      <c r="DC409" s="54">
        <v>69.97</v>
      </c>
      <c r="DD409" s="54">
        <v>17.079999999999998</v>
      </c>
      <c r="DE409" s="54">
        <v>19244.955999999998</v>
      </c>
      <c r="DF409" s="54">
        <v>2850.4250000000002</v>
      </c>
      <c r="DG409" s="54">
        <v>615.072</v>
      </c>
      <c r="DH409" s="54">
        <v>1633.04</v>
      </c>
      <c r="DI409" s="54">
        <v>7576.4170000000004</v>
      </c>
      <c r="DJ409" s="54">
        <v>100.68899999999999</v>
      </c>
      <c r="DK409" s="54">
        <v>100.8755</v>
      </c>
      <c r="DL409" s="54">
        <v>101.57</v>
      </c>
      <c r="DM409" s="54">
        <v>101.9967</v>
      </c>
      <c r="DN409" s="54">
        <v>98.897599999999997</v>
      </c>
      <c r="DO409" s="54">
        <v>98.715199999999996</v>
      </c>
      <c r="DP409" s="54">
        <v>99.040300000000002</v>
      </c>
      <c r="DQ409" s="54">
        <v>98.944000000000003</v>
      </c>
      <c r="DR409" s="54">
        <v>152317</v>
      </c>
      <c r="DS409" s="96">
        <v>34821</v>
      </c>
      <c r="DT409" s="96">
        <v>95.9</v>
      </c>
      <c r="DU409" s="56">
        <v>319.51199340820313</v>
      </c>
      <c r="DV409" s="56">
        <v>737.681884765625</v>
      </c>
      <c r="DW409" s="56">
        <v>1065</v>
      </c>
      <c r="DX409" s="56">
        <v>107425</v>
      </c>
      <c r="DY409" s="56">
        <v>95.6</v>
      </c>
      <c r="DZ409" s="60" t="s">
        <v>312</v>
      </c>
    </row>
    <row r="410" spans="1:130" x14ac:dyDescent="0.25">
      <c r="A410" s="1">
        <v>45200</v>
      </c>
      <c r="B410" s="34">
        <v>95</v>
      </c>
      <c r="C410" s="45">
        <v>3.899</v>
      </c>
      <c r="D410" s="99">
        <v>4.5</v>
      </c>
      <c r="E410" s="34">
        <v>3.88</v>
      </c>
      <c r="F410" s="34">
        <v>2.76</v>
      </c>
      <c r="G410" s="34">
        <v>2.72</v>
      </c>
      <c r="H410" s="34">
        <v>2.82</v>
      </c>
      <c r="I410" s="34">
        <f t="shared" si="149"/>
        <v>-1.0790000000000002</v>
      </c>
      <c r="J410" s="34">
        <f t="shared" si="150"/>
        <v>-1.6800000000000002</v>
      </c>
      <c r="K410" s="34">
        <f t="shared" si="151"/>
        <v>-1.06</v>
      </c>
      <c r="L410" s="34">
        <f t="shared" si="152"/>
        <v>0.60099999999999998</v>
      </c>
      <c r="M410" s="34">
        <v>97.5</v>
      </c>
      <c r="N410" s="34">
        <v>15247.21</v>
      </c>
      <c r="O410" s="34">
        <v>18.05</v>
      </c>
      <c r="P410" s="64">
        <v>2640.2</v>
      </c>
      <c r="Q410" s="34">
        <f t="shared" si="134"/>
        <v>22.978241949521319</v>
      </c>
      <c r="R410" s="34">
        <v>3752.7</v>
      </c>
      <c r="S410" s="34">
        <f t="shared" si="135"/>
        <v>3266.0574412532633</v>
      </c>
      <c r="T410" s="34">
        <v>3838.7</v>
      </c>
      <c r="U410" s="34">
        <f t="shared" si="136"/>
        <v>3340.9051348999128</v>
      </c>
      <c r="V410" s="118">
        <v>269973</v>
      </c>
      <c r="W410" s="118">
        <v>10417745</v>
      </c>
      <c r="X410" s="119">
        <v>15039765</v>
      </c>
      <c r="Y410" s="119">
        <v>945720</v>
      </c>
      <c r="Z410" s="34">
        <v>88.9</v>
      </c>
      <c r="AA410" s="34">
        <v>84.2</v>
      </c>
      <c r="AB410" s="34">
        <v>94.1</v>
      </c>
      <c r="AC410" s="34">
        <v>83.6</v>
      </c>
      <c r="AD410" s="34">
        <v>45949</v>
      </c>
      <c r="AE410" s="34">
        <v>5.8</v>
      </c>
      <c r="AF410" s="34">
        <v>736</v>
      </c>
      <c r="AG410" s="34">
        <v>117.6</v>
      </c>
      <c r="AH410" s="34">
        <v>114.9</v>
      </c>
      <c r="AI410" s="34">
        <v>113.6</v>
      </c>
      <c r="AJ410" s="34">
        <v>112.9</v>
      </c>
      <c r="AK410" s="34">
        <v>252.150374</v>
      </c>
      <c r="AL410" s="34">
        <v>101.7</v>
      </c>
      <c r="AM410" s="34">
        <v>118.07</v>
      </c>
      <c r="AN410" s="34">
        <v>229.47</v>
      </c>
      <c r="AO410" s="34">
        <v>124.33</v>
      </c>
      <c r="AP410" s="34">
        <v>84.24</v>
      </c>
      <c r="AQ410" s="34">
        <f t="shared" si="129"/>
        <v>0.7415492957746479</v>
      </c>
      <c r="AR410" s="34">
        <v>85.5</v>
      </c>
      <c r="AS410" s="34">
        <v>83.3</v>
      </c>
      <c r="AT410" s="34">
        <v>87.7</v>
      </c>
      <c r="AU410" s="34">
        <v>86.3</v>
      </c>
      <c r="AV410" s="34">
        <v>85</v>
      </c>
      <c r="AW410" s="34">
        <v>87.6</v>
      </c>
      <c r="AX410" s="34">
        <v>-15.7</v>
      </c>
      <c r="AY410" s="34">
        <v>-6.5</v>
      </c>
      <c r="AZ410" s="34">
        <v>-22.6</v>
      </c>
      <c r="BA410" s="34">
        <v>-15.2</v>
      </c>
      <c r="BB410" s="34">
        <v>80.8</v>
      </c>
      <c r="BC410" s="34">
        <v>76.8</v>
      </c>
      <c r="BD410" s="34">
        <v>85</v>
      </c>
      <c r="BE410" s="34">
        <v>-79.900000000000006</v>
      </c>
      <c r="BF410" s="34">
        <v>-1.1000000000000001</v>
      </c>
      <c r="BG410" s="34">
        <v>-2.4</v>
      </c>
      <c r="BH410" s="34">
        <v>171.9</v>
      </c>
      <c r="BI410" s="34">
        <v>2.8</v>
      </c>
      <c r="BJ410" s="34">
        <v>40.799999999999997</v>
      </c>
      <c r="BK410" s="54">
        <v>-55.321642500193597</v>
      </c>
      <c r="BL410" s="34">
        <v>-0.67</v>
      </c>
      <c r="BM410" s="34">
        <v>98.748599999999996</v>
      </c>
      <c r="BN410" s="34">
        <v>98.926299999999998</v>
      </c>
      <c r="BO410" s="34">
        <v>-21.9</v>
      </c>
      <c r="BP410" s="34">
        <v>-23.6</v>
      </c>
      <c r="BQ410" s="34">
        <v>16</v>
      </c>
      <c r="BR410" s="34">
        <v>-6.9</v>
      </c>
      <c r="BS410" s="34">
        <v>6.4</v>
      </c>
      <c r="BT410" s="34">
        <v>-14.3</v>
      </c>
      <c r="BU410" s="34">
        <v>-15</v>
      </c>
      <c r="BV410" s="34">
        <v>4.3</v>
      </c>
      <c r="BW410" s="34">
        <v>-15.2</v>
      </c>
      <c r="BX410" s="34">
        <v>-21.6</v>
      </c>
      <c r="BY410" s="34">
        <v>-18</v>
      </c>
      <c r="BZ410" s="34">
        <v>90.7</v>
      </c>
      <c r="CA410" s="34">
        <v>-15.2</v>
      </c>
      <c r="CB410" s="34">
        <v>-9.1999999999999993</v>
      </c>
      <c r="CC410" s="34">
        <v>-4.7</v>
      </c>
      <c r="CD410" s="34">
        <v>-44.1</v>
      </c>
      <c r="CE410" s="34">
        <v>-28.1</v>
      </c>
      <c r="CF410" s="34">
        <v>64.2</v>
      </c>
      <c r="CG410" s="34">
        <v>20.5</v>
      </c>
      <c r="CH410" s="34">
        <v>24.9</v>
      </c>
      <c r="CI410" s="34">
        <v>-32.200000000000003</v>
      </c>
      <c r="CJ410" s="34">
        <v>-18.8</v>
      </c>
      <c r="CK410" s="34">
        <v>16.3</v>
      </c>
      <c r="CL410" s="34">
        <v>24.4</v>
      </c>
      <c r="CM410" s="34">
        <v>4103.9530000000004</v>
      </c>
      <c r="CN410" s="34">
        <v>33433.35</v>
      </c>
      <c r="CO410" s="34">
        <v>4269.400909</v>
      </c>
      <c r="CP410" s="34">
        <v>4.5679999999999996</v>
      </c>
      <c r="CQ410" s="34">
        <v>4.6900000000000004</v>
      </c>
      <c r="CR410" s="34">
        <v>59.3</v>
      </c>
      <c r="CS410" s="64">
        <v>49.91</v>
      </c>
      <c r="CT410" s="34">
        <v>94.3</v>
      </c>
      <c r="CU410" s="34">
        <v>100.3</v>
      </c>
      <c r="CV410" s="34">
        <v>96.9</v>
      </c>
      <c r="CW410" s="34">
        <v>90.6</v>
      </c>
      <c r="CX410" s="34">
        <v>92.3</v>
      </c>
      <c r="CY410" s="34">
        <v>13.71</v>
      </c>
      <c r="CZ410" s="34">
        <v>72362.264999999999</v>
      </c>
      <c r="DA410" s="34">
        <v>7.9</v>
      </c>
      <c r="DB410" s="34">
        <v>38</v>
      </c>
      <c r="DC410" s="34">
        <v>70.05</v>
      </c>
      <c r="DD410" s="34">
        <v>17.68</v>
      </c>
      <c r="DE410" s="34">
        <v>19627.242999999999</v>
      </c>
      <c r="DF410" s="34">
        <v>2780.3980000000001</v>
      </c>
      <c r="DG410" s="34">
        <v>610.96100000000001</v>
      </c>
      <c r="DH410" s="34">
        <v>1743.373</v>
      </c>
      <c r="DI410" s="34">
        <v>7906.6369999999997</v>
      </c>
      <c r="DJ410" s="34">
        <v>100.6807</v>
      </c>
      <c r="DK410" s="34">
        <v>100.86450000000001</v>
      </c>
      <c r="DL410" s="34">
        <v>101.54</v>
      </c>
      <c r="DM410" s="34">
        <v>101.96420000000001</v>
      </c>
      <c r="DN410" s="34">
        <v>98.926299999999998</v>
      </c>
      <c r="DO410" s="34">
        <v>98.748599999999996</v>
      </c>
      <c r="DP410" s="34">
        <v>99.080100000000002</v>
      </c>
      <c r="DQ410" s="34">
        <v>98.987799999999993</v>
      </c>
      <c r="DR410" s="34">
        <v>177039</v>
      </c>
      <c r="DS410" s="73">
        <v>34849</v>
      </c>
      <c r="DT410" s="73">
        <v>96.3</v>
      </c>
      <c r="DU410" s="56">
        <v>314.21688842773438</v>
      </c>
      <c r="DV410" s="56">
        <v>669.56512451171875</v>
      </c>
      <c r="DW410">
        <v>1737</v>
      </c>
      <c r="DX410">
        <v>168600</v>
      </c>
      <c r="DY410">
        <v>94.1</v>
      </c>
      <c r="DZ410" s="33" t="s">
        <v>312</v>
      </c>
    </row>
    <row r="411" spans="1:130" x14ac:dyDescent="0.25">
      <c r="A411" s="1">
        <v>45231</v>
      </c>
      <c r="B411" s="34">
        <v>94.8</v>
      </c>
      <c r="C411" s="45">
        <v>3.9</v>
      </c>
      <c r="D411" s="99">
        <v>4.5</v>
      </c>
      <c r="E411" s="34">
        <v>3.94</v>
      </c>
      <c r="F411" s="34">
        <v>2.58</v>
      </c>
      <c r="G411" s="34">
        <v>2.5099999999999998</v>
      </c>
      <c r="H411" s="34">
        <v>2.6</v>
      </c>
      <c r="I411" s="34">
        <f t="shared" ref="I411:I424" si="153">IF(ISNUMBER(C411),IF(ISNUMBER(H411),H411-C411,""),"")</f>
        <v>-1.2999999999999998</v>
      </c>
      <c r="J411" s="34">
        <f t="shared" ref="J411:J424" si="154">IF(ISNUMBER(D411),IF(ISNUMBER(H411),H411-D411,""),"")</f>
        <v>-1.9</v>
      </c>
      <c r="K411" s="34">
        <f t="shared" ref="K411:K424" si="155">IF(ISNUMBER(H411),IF(ISNUMBER(E411),H411-E411,""),"")</f>
        <v>-1.3399999999999999</v>
      </c>
      <c r="L411" s="34">
        <f t="shared" ref="L411:L424" si="156">IF(ISNUMBER(D411),IF(ISNUMBER(C411),D411-C411,""),"")</f>
        <v>0.60000000000000009</v>
      </c>
      <c r="M411" s="34">
        <v>97.9</v>
      </c>
      <c r="N411" s="34">
        <v>14923.27</v>
      </c>
      <c r="O411" s="34">
        <v>13.12</v>
      </c>
      <c r="P411" s="64">
        <v>2620.8000000000002</v>
      </c>
      <c r="Q411" s="34">
        <f t="shared" ref="Q411:Q424" si="157">IF(ISNUMBER(P411),IF(ISNUMBER(AH411),P411/AH411,"NA"),"")</f>
        <v>22.75</v>
      </c>
      <c r="R411" s="34">
        <v>3746.4</v>
      </c>
      <c r="S411" s="34">
        <f t="shared" ref="S411:S424" si="158">IF(ISNUMBER(R411),IF(ISNUMBER(AH411),R411/AH411*100,""),"")</f>
        <v>3252.0833333333335</v>
      </c>
      <c r="T411" s="34">
        <v>3832.6</v>
      </c>
      <c r="U411" s="34">
        <f t="shared" ref="U411:U424" si="159">IF(ISNUMBER(T411),IF(ISNUMBER(AH411),T411/AH411*100,""),"")</f>
        <v>3326.9097222222222</v>
      </c>
      <c r="V411" s="118">
        <v>270554</v>
      </c>
      <c r="W411" s="118">
        <v>10362276</v>
      </c>
      <c r="X411" s="119">
        <v>15036583</v>
      </c>
      <c r="Y411" s="119">
        <v>958892</v>
      </c>
      <c r="Z411" s="34">
        <v>88.6</v>
      </c>
      <c r="AA411" s="34">
        <v>85.4</v>
      </c>
      <c r="AB411" s="34">
        <v>97.9</v>
      </c>
      <c r="AC411" s="34">
        <v>86</v>
      </c>
      <c r="AD411" s="34">
        <v>45972</v>
      </c>
      <c r="AE411" s="34">
        <v>5.8</v>
      </c>
      <c r="AF411" s="34">
        <v>732</v>
      </c>
      <c r="AG411" s="34">
        <v>117.6</v>
      </c>
      <c r="AH411" s="34">
        <v>115.2</v>
      </c>
      <c r="AI411" s="34">
        <v>113</v>
      </c>
      <c r="AJ411" s="34">
        <v>112.7</v>
      </c>
      <c r="AK411" s="34">
        <v>250.587862</v>
      </c>
      <c r="AL411" s="34">
        <v>153.30000000000001</v>
      </c>
      <c r="AM411" s="34">
        <v>120.56</v>
      </c>
      <c r="AN411" s="34">
        <v>216.88</v>
      </c>
      <c r="AO411" s="34">
        <v>127.63</v>
      </c>
      <c r="AP411" s="34">
        <v>76</v>
      </c>
      <c r="AQ411" s="34">
        <f t="shared" ref="AQ411:AQ425" si="160">IF(ISNUMBER(AP411),IF(ISNUMBER($AI411),AP411/$AI411,""),"")</f>
        <v>0.67256637168141598</v>
      </c>
      <c r="AR411" s="34">
        <v>86.6</v>
      </c>
      <c r="AS411" s="34">
        <v>84.4</v>
      </c>
      <c r="AT411" s="34">
        <v>88.9</v>
      </c>
      <c r="AU411" s="34">
        <v>87.4</v>
      </c>
      <c r="AV411" s="34">
        <v>86.6</v>
      </c>
      <c r="AW411" s="34">
        <v>88.2</v>
      </c>
      <c r="AX411" s="34">
        <v>-12.4</v>
      </c>
      <c r="AY411" s="34">
        <v>-12.5</v>
      </c>
      <c r="AZ411" s="34">
        <v>-19.2</v>
      </c>
      <c r="BA411" s="34">
        <v>-13.5</v>
      </c>
      <c r="BB411" s="34">
        <v>84</v>
      </c>
      <c r="BC411" s="34">
        <v>80.400000000000006</v>
      </c>
      <c r="BD411" s="34">
        <v>87.7</v>
      </c>
      <c r="BE411" s="34">
        <v>-79.8</v>
      </c>
      <c r="BF411" s="34">
        <v>9.8000000000000007</v>
      </c>
      <c r="BG411" s="34">
        <v>-2.2999999999999998</v>
      </c>
      <c r="BH411" s="34">
        <v>169.9</v>
      </c>
      <c r="BI411" s="34">
        <v>16.100000000000001</v>
      </c>
      <c r="BJ411" s="34">
        <v>42.6</v>
      </c>
      <c r="BK411" s="54">
        <v>-47</v>
      </c>
      <c r="BL411" s="34">
        <v>-0.79</v>
      </c>
      <c r="BM411" s="34">
        <v>98.823800000000006</v>
      </c>
      <c r="BN411" s="34">
        <v>98.991</v>
      </c>
      <c r="BO411" s="34">
        <v>-22.8</v>
      </c>
      <c r="BP411" s="34">
        <v>-24.7</v>
      </c>
      <c r="BQ411" s="34">
        <v>16.2</v>
      </c>
      <c r="BR411" s="34">
        <v>-7.4</v>
      </c>
      <c r="BS411" s="34">
        <v>2.5</v>
      </c>
      <c r="BT411" s="34">
        <v>-10.7</v>
      </c>
      <c r="BU411" s="34">
        <v>-15.5</v>
      </c>
      <c r="BV411" s="34">
        <v>5</v>
      </c>
      <c r="BW411" s="34">
        <v>-16.3</v>
      </c>
      <c r="BX411" s="34">
        <v>-19</v>
      </c>
      <c r="BY411" s="34">
        <v>-17.7</v>
      </c>
      <c r="BZ411" s="34">
        <v>90.4</v>
      </c>
      <c r="CA411" s="34">
        <v>-16.3</v>
      </c>
      <c r="CB411" s="34">
        <v>-11.4</v>
      </c>
      <c r="CC411" s="34">
        <v>-5.4</v>
      </c>
      <c r="CD411" s="34">
        <v>-44.1</v>
      </c>
      <c r="CE411" s="34">
        <v>-28.5</v>
      </c>
      <c r="CF411" s="34">
        <v>59.3</v>
      </c>
      <c r="CG411" s="34">
        <v>18.3</v>
      </c>
      <c r="CH411" s="34">
        <v>25.1</v>
      </c>
      <c r="CI411" s="34">
        <v>-29.6</v>
      </c>
      <c r="CJ411" s="34">
        <v>-19.8</v>
      </c>
      <c r="CK411" s="34">
        <v>18.100000000000001</v>
      </c>
      <c r="CL411" s="34">
        <v>25.5</v>
      </c>
      <c r="CM411" s="34">
        <v>4275.0408180000004</v>
      </c>
      <c r="CN411" s="34">
        <v>33274.58</v>
      </c>
      <c r="CO411" s="34">
        <v>4460.0633330000001</v>
      </c>
      <c r="CP411" s="34">
        <v>4.5830000000000002</v>
      </c>
      <c r="CQ411" s="34">
        <v>4.7699999999999996</v>
      </c>
      <c r="CR411" s="34">
        <v>56.8</v>
      </c>
      <c r="CS411" s="64">
        <v>45.8</v>
      </c>
      <c r="CT411" s="34">
        <v>96.2</v>
      </c>
      <c r="CU411" s="34">
        <v>98.5</v>
      </c>
      <c r="CV411" s="34">
        <v>98.4</v>
      </c>
      <c r="CW411" s="34">
        <v>89.5</v>
      </c>
      <c r="CX411" s="34">
        <v>95.9</v>
      </c>
      <c r="CY411" s="34">
        <v>13.33</v>
      </c>
      <c r="CZ411" s="34">
        <v>75882.582999999999</v>
      </c>
      <c r="DA411" s="34">
        <v>8.0500000000000007</v>
      </c>
      <c r="DB411" s="34">
        <v>39.049999999999997</v>
      </c>
      <c r="DC411" s="34">
        <v>72</v>
      </c>
      <c r="DD411" s="34">
        <v>18.260000000000002</v>
      </c>
      <c r="DE411" s="34">
        <v>20647.545999999998</v>
      </c>
      <c r="DF411" s="34">
        <v>3032.4549999999999</v>
      </c>
      <c r="DG411" s="34">
        <v>753.26300000000003</v>
      </c>
      <c r="DH411" s="34">
        <v>1670.623</v>
      </c>
      <c r="DI411" s="34">
        <v>8569.5159999999996</v>
      </c>
      <c r="DJ411" s="34">
        <v>100.6344</v>
      </c>
      <c r="DK411" s="34">
        <v>100.80549999999999</v>
      </c>
      <c r="DL411" s="34">
        <v>101.44</v>
      </c>
      <c r="DM411" s="34">
        <v>101.8374</v>
      </c>
      <c r="DN411" s="34">
        <v>98.991</v>
      </c>
      <c r="DO411" s="34">
        <v>98.823800000000006</v>
      </c>
      <c r="DP411" s="34">
        <v>99.138599999999997</v>
      </c>
      <c r="DQ411" s="34">
        <v>99.052099999999996</v>
      </c>
      <c r="DR411" s="34">
        <v>174450</v>
      </c>
      <c r="DS411" s="73">
        <v>34870</v>
      </c>
      <c r="DT411" s="73">
        <v>96</v>
      </c>
      <c r="DU411" s="56">
        <v>315.771240234375</v>
      </c>
      <c r="DV411" s="56">
        <v>626.13702392578125</v>
      </c>
      <c r="DW411">
        <v>1401</v>
      </c>
      <c r="DX411">
        <v>170825</v>
      </c>
      <c r="DY411">
        <v>95.1</v>
      </c>
      <c r="DZ411" s="33" t="s">
        <v>312</v>
      </c>
    </row>
    <row r="412" spans="1:130" s="56" customFormat="1" x14ac:dyDescent="0.25">
      <c r="A412" s="1">
        <v>45261</v>
      </c>
      <c r="B412" s="54">
        <v>92.9</v>
      </c>
      <c r="C412" s="55">
        <v>3.9039999999999999</v>
      </c>
      <c r="D412" s="98">
        <v>4.5</v>
      </c>
      <c r="E412" s="54">
        <v>3.96</v>
      </c>
      <c r="F412" s="54">
        <v>2.1</v>
      </c>
      <c r="G412" s="54">
        <v>2.02</v>
      </c>
      <c r="H412" s="54">
        <v>2.1</v>
      </c>
      <c r="I412" s="54">
        <f t="shared" si="153"/>
        <v>-1.8039999999999998</v>
      </c>
      <c r="J412" s="54">
        <f t="shared" si="154"/>
        <v>-2.4</v>
      </c>
      <c r="K412" s="54">
        <f t="shared" si="155"/>
        <v>-1.8599999999999999</v>
      </c>
      <c r="L412" s="54">
        <f t="shared" si="156"/>
        <v>0.59600000000000009</v>
      </c>
      <c r="M412" s="54">
        <v>97.5</v>
      </c>
      <c r="N412" s="54">
        <v>16397.52</v>
      </c>
      <c r="O412" s="54">
        <v>13.53</v>
      </c>
      <c r="P412" s="64">
        <v>2614.9</v>
      </c>
      <c r="Q412" s="34">
        <f t="shared" si="157"/>
        <v>22.679098005203816</v>
      </c>
      <c r="R412" s="34">
        <v>3763.6</v>
      </c>
      <c r="S412" s="34">
        <f t="shared" si="158"/>
        <v>3264.1803989592368</v>
      </c>
      <c r="T412" s="34">
        <v>3847.2</v>
      </c>
      <c r="U412" s="34">
        <f t="shared" si="159"/>
        <v>3336.6869037294018</v>
      </c>
      <c r="V412" s="118">
        <v>268556</v>
      </c>
      <c r="W412" s="118">
        <v>10354466</v>
      </c>
      <c r="X412" s="119">
        <v>15112367</v>
      </c>
      <c r="Y412" s="119">
        <v>996586</v>
      </c>
      <c r="Z412" s="54">
        <v>84.3</v>
      </c>
      <c r="AA412" s="54">
        <v>95.5</v>
      </c>
      <c r="AB412" s="54">
        <v>96.2</v>
      </c>
      <c r="AC412" s="54">
        <v>99.8</v>
      </c>
      <c r="AD412" s="54">
        <v>45988</v>
      </c>
      <c r="AE412" s="54">
        <v>5.9</v>
      </c>
      <c r="AF412" s="54">
        <v>729</v>
      </c>
      <c r="AG412" s="54">
        <v>117.6</v>
      </c>
      <c r="AH412" s="54">
        <v>115.3</v>
      </c>
      <c r="AI412" s="54">
        <v>112</v>
      </c>
      <c r="AJ412" s="54">
        <v>112.6</v>
      </c>
      <c r="AK412" s="54">
        <v>248.63472200000001</v>
      </c>
      <c r="AL412" s="54">
        <v>102.6</v>
      </c>
      <c r="AM412" s="54">
        <v>123.13</v>
      </c>
      <c r="AN412" s="54">
        <v>197.51</v>
      </c>
      <c r="AO412" s="54">
        <v>129.33000000000001</v>
      </c>
      <c r="AP412" s="54">
        <v>71.040000000000006</v>
      </c>
      <c r="AQ412" s="54">
        <f t="shared" si="160"/>
        <v>0.63428571428571434</v>
      </c>
      <c r="AR412" s="54">
        <v>85.5</v>
      </c>
      <c r="AS412" s="54">
        <v>83.7</v>
      </c>
      <c r="AT412" s="54">
        <v>87.3</v>
      </c>
      <c r="AU412" s="54">
        <v>86</v>
      </c>
      <c r="AV412" s="54">
        <v>85.5</v>
      </c>
      <c r="AW412" s="54">
        <v>86.6</v>
      </c>
      <c r="AX412" s="54">
        <v>-13.8</v>
      </c>
      <c r="AY412" s="54">
        <v>-1.5</v>
      </c>
      <c r="AZ412" s="54">
        <v>-25.1</v>
      </c>
      <c r="BA412" s="54">
        <v>-14.2</v>
      </c>
      <c r="BB412" s="54">
        <v>81.5</v>
      </c>
      <c r="BC412" s="54">
        <v>78.099999999999994</v>
      </c>
      <c r="BD412" s="54">
        <v>85.1</v>
      </c>
      <c r="BE412" s="54">
        <v>-77.099999999999994</v>
      </c>
      <c r="BF412" s="54">
        <v>12.8</v>
      </c>
      <c r="BG412" s="54">
        <v>-0.4</v>
      </c>
      <c r="BH412" s="54">
        <v>169.4</v>
      </c>
      <c r="BI412" s="54">
        <v>48.6</v>
      </c>
      <c r="BJ412" s="34">
        <v>43.3</v>
      </c>
      <c r="BK412" s="54">
        <v>-48.084066077559029</v>
      </c>
      <c r="BL412" s="54">
        <v>-0.22</v>
      </c>
      <c r="BM412" s="54">
        <v>98.921499999999995</v>
      </c>
      <c r="BN412" s="54">
        <v>99.0749</v>
      </c>
      <c r="BO412" s="54">
        <v>-24.1</v>
      </c>
      <c r="BP412" s="54">
        <v>-26.3</v>
      </c>
      <c r="BQ412" s="54">
        <v>13.8</v>
      </c>
      <c r="BR412" s="54">
        <v>-5.0999999999999996</v>
      </c>
      <c r="BS412" s="54">
        <v>4.0999999999999996</v>
      </c>
      <c r="BT412" s="54">
        <v>-11.4</v>
      </c>
      <c r="BU412" s="54">
        <v>-14.3</v>
      </c>
      <c r="BV412" s="54">
        <v>7.5</v>
      </c>
      <c r="BW412" s="54">
        <v>-13.8</v>
      </c>
      <c r="BX412" s="54">
        <v>-19.100000000000001</v>
      </c>
      <c r="BY412" s="54">
        <v>-17.100000000000001</v>
      </c>
      <c r="BZ412" s="54">
        <v>92.9</v>
      </c>
      <c r="CA412" s="54">
        <v>-13.8</v>
      </c>
      <c r="CB412" s="54">
        <v>-6</v>
      </c>
      <c r="CC412" s="54">
        <v>-3.2</v>
      </c>
      <c r="CD412" s="54">
        <v>-41.8</v>
      </c>
      <c r="CE412" s="54">
        <v>-28.7</v>
      </c>
      <c r="CF412" s="54">
        <v>56.2</v>
      </c>
      <c r="CG412" s="54">
        <v>24.3</v>
      </c>
      <c r="CH412" s="54">
        <v>26.4</v>
      </c>
      <c r="CI412" s="54">
        <v>-24</v>
      </c>
      <c r="CJ412" s="54">
        <v>-17.5</v>
      </c>
      <c r="CK412" s="54">
        <v>17.399999999999999</v>
      </c>
      <c r="CL412" s="54">
        <v>25.1</v>
      </c>
      <c r="CM412" s="54">
        <v>4508.5926319999999</v>
      </c>
      <c r="CN412" s="54">
        <v>36245.5</v>
      </c>
      <c r="CO412" s="54">
        <v>4688.3647620000002</v>
      </c>
      <c r="CP412" s="54">
        <v>4.2290000000000001</v>
      </c>
      <c r="CQ412" s="54">
        <v>4.22</v>
      </c>
      <c r="CR412" s="54">
        <v>67.400000000000006</v>
      </c>
      <c r="CS412" s="64">
        <v>48.67</v>
      </c>
      <c r="CT412" s="54">
        <v>95.8</v>
      </c>
      <c r="CU412" s="54">
        <v>101</v>
      </c>
      <c r="CV412" s="54">
        <v>98.5</v>
      </c>
      <c r="CW412" s="54">
        <v>92.3</v>
      </c>
      <c r="CX412" s="54">
        <v>98.2</v>
      </c>
      <c r="CY412" s="54">
        <v>12.8</v>
      </c>
      <c r="CZ412" s="54">
        <v>60301.061999999998</v>
      </c>
      <c r="DA412" s="54">
        <v>8.27</v>
      </c>
      <c r="DB412" s="54">
        <v>37.409999999999997</v>
      </c>
      <c r="DC412" s="54">
        <v>69.25</v>
      </c>
      <c r="DD412" s="54">
        <v>18.02</v>
      </c>
      <c r="DE412" s="54">
        <v>18345.178</v>
      </c>
      <c r="DF412" s="54">
        <v>2667.9589999999998</v>
      </c>
      <c r="DG412" s="54">
        <v>533.67100000000005</v>
      </c>
      <c r="DH412" s="54">
        <v>1526.6569999999999</v>
      </c>
      <c r="DI412" s="54">
        <v>7245.6</v>
      </c>
      <c r="DJ412" s="54">
        <v>100.5591</v>
      </c>
      <c r="DK412" s="54">
        <v>100.70950000000001</v>
      </c>
      <c r="DL412" s="54">
        <v>101.28</v>
      </c>
      <c r="DM412" s="54">
        <v>101.6353</v>
      </c>
      <c r="DN412" s="54">
        <v>99.0749</v>
      </c>
      <c r="DO412" s="54">
        <v>98.921499999999995</v>
      </c>
      <c r="DP412" s="54">
        <v>99.228200000000001</v>
      </c>
      <c r="DQ412" s="54">
        <v>99.150700000000001</v>
      </c>
      <c r="DR412" s="54">
        <v>147800</v>
      </c>
      <c r="DS412" s="96">
        <v>34879</v>
      </c>
      <c r="DT412" s="96">
        <v>96.7</v>
      </c>
      <c r="DU412" s="56">
        <v>281.7108154296875</v>
      </c>
      <c r="DV412" s="56">
        <v>672.51788330078125</v>
      </c>
      <c r="DW412" s="56">
        <v>3192</v>
      </c>
      <c r="DX412" s="56">
        <v>174900</v>
      </c>
      <c r="DY412" s="56">
        <v>92.6</v>
      </c>
      <c r="DZ412" s="60" t="s">
        <v>312</v>
      </c>
    </row>
    <row r="413" spans="1:130" x14ac:dyDescent="0.25">
      <c r="A413" s="1">
        <v>45292</v>
      </c>
      <c r="B413" s="34">
        <v>93.8</v>
      </c>
      <c r="C413" s="45">
        <v>3.8820000000000001</v>
      </c>
      <c r="D413" s="99">
        <v>4.5</v>
      </c>
      <c r="E413" s="34">
        <v>3.94</v>
      </c>
      <c r="F413" s="34">
        <v>2.15</v>
      </c>
      <c r="G413" s="34">
        <v>2.1</v>
      </c>
      <c r="H413" s="34">
        <v>2.17</v>
      </c>
      <c r="I413" s="34">
        <f t="shared" si="153"/>
        <v>-1.7120000000000002</v>
      </c>
      <c r="J413" s="34">
        <f t="shared" si="154"/>
        <v>-2.33</v>
      </c>
      <c r="K413" s="34">
        <f t="shared" si="155"/>
        <v>-1.77</v>
      </c>
      <c r="L413" s="34">
        <f t="shared" si="156"/>
        <v>0.61799999999999988</v>
      </c>
      <c r="M413" s="34">
        <v>97.6</v>
      </c>
      <c r="N413" s="34">
        <v>16751.64</v>
      </c>
      <c r="O413" s="34">
        <v>14.14</v>
      </c>
      <c r="P413" s="64">
        <v>2583.3000000000002</v>
      </c>
      <c r="Q413" s="34">
        <f t="shared" si="157"/>
        <v>22.327571305099397</v>
      </c>
      <c r="R413" s="34">
        <v>3747.3</v>
      </c>
      <c r="S413" s="34">
        <f t="shared" si="158"/>
        <v>3238.807260155575</v>
      </c>
      <c r="T413" s="34">
        <v>3834.5</v>
      </c>
      <c r="U413" s="34">
        <f t="shared" si="159"/>
        <v>3314.1745894554879</v>
      </c>
      <c r="V413" s="118">
        <v>266619</v>
      </c>
      <c r="W413" s="118">
        <v>10279345</v>
      </c>
      <c r="X413" s="119">
        <v>15083708</v>
      </c>
      <c r="Y413" s="119">
        <v>1013223</v>
      </c>
      <c r="Z413" s="34">
        <v>87.7</v>
      </c>
      <c r="AA413" s="34">
        <v>84.1</v>
      </c>
      <c r="AB413" s="34">
        <v>88.7</v>
      </c>
      <c r="AC413" s="34">
        <v>85.2</v>
      </c>
      <c r="AD413" s="34">
        <v>45970</v>
      </c>
      <c r="AE413" s="34">
        <v>5.9</v>
      </c>
      <c r="AF413" s="34">
        <v>730</v>
      </c>
      <c r="AG413" s="34">
        <v>118</v>
      </c>
      <c r="AH413" s="34">
        <v>115.7</v>
      </c>
      <c r="AI413" s="34">
        <v>111.7</v>
      </c>
      <c r="AJ413" s="34">
        <v>112.4</v>
      </c>
      <c r="AK413" s="34">
        <v>249.220664</v>
      </c>
      <c r="AL413" s="34">
        <v>103.6</v>
      </c>
      <c r="AM413" s="34">
        <v>124.66</v>
      </c>
      <c r="AN413" s="34">
        <v>192.66</v>
      </c>
      <c r="AO413" s="34">
        <v>129.28</v>
      </c>
      <c r="AP413" s="34">
        <v>72.55</v>
      </c>
      <c r="AQ413" s="34">
        <f t="shared" si="160"/>
        <v>0.64950760966875554</v>
      </c>
      <c r="AR413" s="34">
        <v>85.2</v>
      </c>
      <c r="AS413" s="34">
        <v>82.9</v>
      </c>
      <c r="AT413" s="34">
        <v>87.6</v>
      </c>
      <c r="AU413" s="34">
        <v>86.6</v>
      </c>
      <c r="AV413" s="34">
        <v>85.7</v>
      </c>
      <c r="AW413" s="34">
        <v>87.6</v>
      </c>
      <c r="AX413" s="34">
        <v>-9.4</v>
      </c>
      <c r="AY413" s="34">
        <v>-5.0999999999999996</v>
      </c>
      <c r="AZ413" s="34">
        <v>-23.1</v>
      </c>
      <c r="BA413" s="34">
        <v>-15.5</v>
      </c>
      <c r="BB413" s="34">
        <v>80.3</v>
      </c>
      <c r="BC413" s="34">
        <v>76.7</v>
      </c>
      <c r="BD413" s="34">
        <v>84.1</v>
      </c>
      <c r="BE413" s="34">
        <v>-77.3</v>
      </c>
      <c r="BF413" s="34">
        <v>15.2</v>
      </c>
      <c r="BG413" s="34">
        <v>-6.6</v>
      </c>
      <c r="BH413" s="34">
        <v>166.9</v>
      </c>
      <c r="BI413" s="34">
        <v>58</v>
      </c>
      <c r="BJ413" s="34">
        <v>45.5</v>
      </c>
      <c r="BK413" s="54">
        <v>-31.365839058705824</v>
      </c>
      <c r="BL413" s="34">
        <v>-0.56000000000000005</v>
      </c>
      <c r="BM413" s="34">
        <v>99.034899999999993</v>
      </c>
      <c r="BN413" s="34">
        <v>99.172399999999996</v>
      </c>
      <c r="BO413" s="34">
        <v>-26.3</v>
      </c>
      <c r="BP413" s="34">
        <v>-29.1</v>
      </c>
      <c r="BQ413" s="34">
        <v>12.9</v>
      </c>
      <c r="BR413" s="34">
        <v>-9.8000000000000007</v>
      </c>
      <c r="BS413" s="34">
        <v>5.4</v>
      </c>
      <c r="BT413" s="34">
        <v>-10</v>
      </c>
      <c r="BU413" s="34">
        <v>-16.3</v>
      </c>
      <c r="BV413" s="34">
        <v>6.1</v>
      </c>
      <c r="BW413" s="34">
        <v>-16.5</v>
      </c>
      <c r="BX413" s="34">
        <v>-25.4</v>
      </c>
      <c r="BY413" s="34">
        <v>-18.2</v>
      </c>
      <c r="BZ413" s="34">
        <v>90.5</v>
      </c>
      <c r="CA413" s="34">
        <v>-16.5</v>
      </c>
      <c r="CB413" s="34">
        <v>-8.4</v>
      </c>
      <c r="CC413" s="34">
        <v>-6</v>
      </c>
      <c r="CD413" s="34">
        <v>-46.2</v>
      </c>
      <c r="CE413" s="34">
        <v>-31.1</v>
      </c>
      <c r="CF413" s="34">
        <v>59.1</v>
      </c>
      <c r="CG413" s="34">
        <v>31.5</v>
      </c>
      <c r="CH413" s="34">
        <v>27.2</v>
      </c>
      <c r="CI413" s="34">
        <v>-30.9</v>
      </c>
      <c r="CJ413" s="34">
        <v>-20.6</v>
      </c>
      <c r="CK413" s="34">
        <v>20.3</v>
      </c>
      <c r="CL413" s="34">
        <v>23.5</v>
      </c>
      <c r="CM413" s="34">
        <v>4505.7760909999997</v>
      </c>
      <c r="CN413" s="34">
        <v>37689.54</v>
      </c>
      <c r="CO413" s="34">
        <v>4804.4914289999997</v>
      </c>
      <c r="CP413" s="34">
        <v>3.601</v>
      </c>
      <c r="CQ413" s="34">
        <v>3.88</v>
      </c>
      <c r="CR413" s="34">
        <v>77.099999999999994</v>
      </c>
      <c r="CS413" s="64">
        <v>54.74</v>
      </c>
      <c r="CT413" s="34">
        <v>98.1</v>
      </c>
      <c r="CU413" s="34">
        <v>102.5</v>
      </c>
      <c r="CV413" s="34">
        <v>100.9</v>
      </c>
      <c r="CW413" s="34">
        <v>91.2</v>
      </c>
      <c r="CX413" s="34">
        <v>99.7</v>
      </c>
      <c r="CY413" s="34">
        <v>12.82</v>
      </c>
      <c r="CZ413" s="34">
        <v>70960.122000000003</v>
      </c>
      <c r="DA413" s="34">
        <v>7.78</v>
      </c>
      <c r="DB413" s="34">
        <v>37.33</v>
      </c>
      <c r="DC413" s="34">
        <v>70.48</v>
      </c>
      <c r="DD413" s="34">
        <v>18.14</v>
      </c>
      <c r="DE413" s="34">
        <v>18272.704000000002</v>
      </c>
      <c r="DF413" s="34">
        <v>2465.721</v>
      </c>
      <c r="DG413" s="34">
        <v>618.09900000000005</v>
      </c>
      <c r="DH413" s="34">
        <v>1816.152</v>
      </c>
      <c r="DI413" s="34">
        <v>7661.665</v>
      </c>
      <c r="DJ413" s="34">
        <v>100.46339999999999</v>
      </c>
      <c r="DK413" s="34">
        <v>100.5874</v>
      </c>
      <c r="DL413" s="34">
        <v>101.08</v>
      </c>
      <c r="DM413" s="34">
        <v>101.37690000000001</v>
      </c>
      <c r="DN413" s="34">
        <v>99.172399999999996</v>
      </c>
      <c r="DO413" s="34">
        <v>99.034899999999993</v>
      </c>
      <c r="DP413" s="34">
        <v>99.340599999999995</v>
      </c>
      <c r="DQ413" s="34">
        <v>99.274299999999997</v>
      </c>
      <c r="DR413" s="34">
        <v>189069</v>
      </c>
      <c r="DS413" s="73">
        <v>34903</v>
      </c>
      <c r="DT413" s="73">
        <v>95.6</v>
      </c>
      <c r="DU413" s="56">
        <v>323.41012573242188</v>
      </c>
      <c r="DV413" s="56">
        <v>729.89691162109375</v>
      </c>
      <c r="DW413">
        <v>2094</v>
      </c>
      <c r="DX413">
        <v>165700</v>
      </c>
      <c r="DY413" s="56">
        <v>94.2</v>
      </c>
      <c r="DZ413" s="33" t="s">
        <v>312</v>
      </c>
    </row>
    <row r="414" spans="1:130" x14ac:dyDescent="0.25">
      <c r="A414" s="1">
        <v>45323</v>
      </c>
      <c r="B414" s="34">
        <v>95.4</v>
      </c>
      <c r="C414" s="45">
        <v>3.9049999999999998</v>
      </c>
      <c r="D414" s="99">
        <v>4.5</v>
      </c>
      <c r="E414" s="34">
        <v>3.93</v>
      </c>
      <c r="F414" s="34">
        <v>2.37</v>
      </c>
      <c r="G414" s="34">
        <v>2.27</v>
      </c>
      <c r="H414" s="34">
        <v>2.33</v>
      </c>
      <c r="I414" s="34">
        <f t="shared" si="153"/>
        <v>-1.5749999999999997</v>
      </c>
      <c r="J414" s="34">
        <f t="shared" si="154"/>
        <v>-2.17</v>
      </c>
      <c r="K414" s="34">
        <f t="shared" si="155"/>
        <v>-1.6</v>
      </c>
      <c r="L414" s="34">
        <f t="shared" si="156"/>
        <v>0.5950000000000002</v>
      </c>
      <c r="M414" s="34">
        <v>97.5</v>
      </c>
      <c r="N414" s="34">
        <v>16859.04</v>
      </c>
      <c r="O414" s="34">
        <v>12.92</v>
      </c>
      <c r="P414" s="64">
        <v>2567.4</v>
      </c>
      <c r="Q414" s="34">
        <f t="shared" si="157"/>
        <v>22.132758620689657</v>
      </c>
      <c r="R414" s="34">
        <v>3750.9</v>
      </c>
      <c r="S414" s="34">
        <f t="shared" si="158"/>
        <v>3233.5344827586205</v>
      </c>
      <c r="T414" s="34">
        <v>3838.5</v>
      </c>
      <c r="U414" s="34">
        <f t="shared" si="159"/>
        <v>3309.0517241379312</v>
      </c>
      <c r="V414" s="118">
        <v>268959</v>
      </c>
      <c r="W414" s="118">
        <v>10255633</v>
      </c>
      <c r="X414" s="119">
        <v>15104181</v>
      </c>
      <c r="Y414" s="119">
        <v>1010176</v>
      </c>
      <c r="Z414" s="34">
        <v>88.8</v>
      </c>
      <c r="AA414" s="34">
        <v>84.4</v>
      </c>
      <c r="AB414" s="34">
        <v>92.7</v>
      </c>
      <c r="AC414" s="34">
        <v>85.1</v>
      </c>
      <c r="AD414" s="34">
        <v>45975</v>
      </c>
      <c r="AE414" s="34">
        <v>5.9</v>
      </c>
      <c r="AF414" s="34">
        <v>722</v>
      </c>
      <c r="AG414" s="34">
        <v>118.3</v>
      </c>
      <c r="AH414" s="34">
        <v>116</v>
      </c>
      <c r="AI414" s="34">
        <v>111.4</v>
      </c>
      <c r="AJ414" s="34">
        <v>112.5</v>
      </c>
      <c r="AK414" s="34">
        <v>248.24409399999999</v>
      </c>
      <c r="AL414" s="34">
        <v>110.6</v>
      </c>
      <c r="AM414" s="34">
        <v>123.82</v>
      </c>
      <c r="AN414" s="34">
        <v>185.13</v>
      </c>
      <c r="AO414" s="34">
        <v>130.12</v>
      </c>
      <c r="AP414" s="34">
        <v>75.83</v>
      </c>
      <c r="AQ414" s="34">
        <f t="shared" si="160"/>
        <v>0.6807001795332136</v>
      </c>
      <c r="AR414" s="34">
        <v>84.2</v>
      </c>
      <c r="AS414" s="34">
        <v>82.5</v>
      </c>
      <c r="AT414" s="34">
        <v>86</v>
      </c>
      <c r="AU414" s="34">
        <v>85.7</v>
      </c>
      <c r="AV414" s="34">
        <v>85.6</v>
      </c>
      <c r="AW414" s="34">
        <v>85.9</v>
      </c>
      <c r="AX414" s="34">
        <v>-14.3</v>
      </c>
      <c r="AY414" s="34">
        <v>-6.5</v>
      </c>
      <c r="AZ414" s="34">
        <v>-23.6</v>
      </c>
      <c r="BA414" s="34">
        <v>-16.600000000000001</v>
      </c>
      <c r="BB414" s="34">
        <v>79.2</v>
      </c>
      <c r="BC414" s="34">
        <v>77.2</v>
      </c>
      <c r="BD414" s="34">
        <v>81.3</v>
      </c>
      <c r="BE414" s="34">
        <v>-81.7</v>
      </c>
      <c r="BF414" s="34">
        <v>19.899999999999999</v>
      </c>
      <c r="BG414" s="34">
        <v>-6.4</v>
      </c>
      <c r="BH414" s="34">
        <v>167.8</v>
      </c>
      <c r="BI414" s="34">
        <v>39.299999999999997</v>
      </c>
      <c r="BJ414" s="34">
        <v>42.5</v>
      </c>
      <c r="BK414" s="54">
        <v>-23</v>
      </c>
      <c r="BL414" s="34">
        <v>-0.31</v>
      </c>
      <c r="BM414" s="34">
        <v>99.1691</v>
      </c>
      <c r="BN414" s="34">
        <v>99.287599999999998</v>
      </c>
      <c r="BO414" s="34">
        <v>-27.9</v>
      </c>
      <c r="BP414" s="34">
        <v>-29.7</v>
      </c>
      <c r="BQ414" s="34">
        <v>16.600000000000001</v>
      </c>
      <c r="BR414" s="34">
        <v>-9.6999999999999993</v>
      </c>
      <c r="BS414" s="34">
        <v>3.5</v>
      </c>
      <c r="BT414" s="34">
        <v>-12.4</v>
      </c>
      <c r="BU414" s="34">
        <v>-18.100000000000001</v>
      </c>
      <c r="BV414" s="34">
        <v>3.9</v>
      </c>
      <c r="BW414" s="34">
        <v>-13.7</v>
      </c>
      <c r="BX414" s="34">
        <v>-25</v>
      </c>
      <c r="BY414" s="34">
        <v>-18.100000000000001</v>
      </c>
      <c r="BZ414" s="34">
        <v>90</v>
      </c>
      <c r="CA414" s="34">
        <v>-13.7</v>
      </c>
      <c r="CB414" s="34">
        <v>-5.6</v>
      </c>
      <c r="CC414" s="34">
        <v>-1.8</v>
      </c>
      <c r="CD414" s="34">
        <v>-42.7</v>
      </c>
      <c r="CE414" s="34">
        <v>-30.5</v>
      </c>
      <c r="CF414" s="34">
        <v>55.6</v>
      </c>
      <c r="CG414" s="34">
        <v>27.2</v>
      </c>
      <c r="CH414" s="34">
        <v>27.2</v>
      </c>
      <c r="CI414" s="34">
        <v>-29.3</v>
      </c>
      <c r="CJ414" s="34">
        <v>-16.7</v>
      </c>
      <c r="CK414" s="34">
        <v>20</v>
      </c>
      <c r="CL414" s="34">
        <v>26.6</v>
      </c>
      <c r="CM414" s="34">
        <v>4758.8865239999996</v>
      </c>
      <c r="CN414" s="34">
        <v>38519.839999999997</v>
      </c>
      <c r="CO414" s="34">
        <v>5011.9615000000003</v>
      </c>
      <c r="CP414" s="34">
        <v>3.8279999999999998</v>
      </c>
      <c r="CQ414" s="34">
        <v>3.87</v>
      </c>
      <c r="CR414" s="34">
        <v>75.2</v>
      </c>
      <c r="CS414" s="64">
        <v>51.53</v>
      </c>
      <c r="CT414" s="34">
        <v>97.7</v>
      </c>
      <c r="CU414" s="34">
        <v>102.3</v>
      </c>
      <c r="CV414" s="34">
        <v>101.4</v>
      </c>
      <c r="CW414" s="34">
        <v>89.2</v>
      </c>
      <c r="CX414" s="34">
        <v>96.1</v>
      </c>
      <c r="CY414" s="34">
        <v>13.62</v>
      </c>
      <c r="CZ414" s="34">
        <v>72295.206000000006</v>
      </c>
      <c r="DA414" s="34">
        <v>7.97</v>
      </c>
      <c r="DB414" s="34">
        <v>38.07</v>
      </c>
      <c r="DC414" s="34">
        <v>71.209999999999994</v>
      </c>
      <c r="DD414" s="34">
        <v>17.59</v>
      </c>
      <c r="DE414" s="34">
        <v>19420.59</v>
      </c>
      <c r="DF414" s="34">
        <v>2705.0010000000002</v>
      </c>
      <c r="DG414" s="34">
        <v>671.61099999999999</v>
      </c>
      <c r="DH414" s="34">
        <v>1759.606</v>
      </c>
      <c r="DI414" s="34">
        <v>7960.6450000000004</v>
      </c>
      <c r="DJ414" s="34">
        <v>100.3565</v>
      </c>
      <c r="DK414" s="34">
        <v>100.4513</v>
      </c>
      <c r="DL414" s="34">
        <v>100.85</v>
      </c>
      <c r="DM414" s="34">
        <v>101.0813</v>
      </c>
      <c r="DN414" s="34">
        <v>99.287599999999998</v>
      </c>
      <c r="DO414" s="34">
        <v>99.1691</v>
      </c>
      <c r="DP414" s="34">
        <v>99.456999999999994</v>
      </c>
      <c r="DQ414" s="34">
        <v>99.4024</v>
      </c>
      <c r="DR414" s="34">
        <v>200780</v>
      </c>
      <c r="DS414" s="73">
        <v>34905</v>
      </c>
      <c r="DT414" s="73">
        <v>95</v>
      </c>
      <c r="DU414" s="56">
        <v>276.98233032226563</v>
      </c>
      <c r="DV414" s="56">
        <v>596.1153564453125</v>
      </c>
      <c r="DW414">
        <v>1388</v>
      </c>
      <c r="DX414">
        <v>140225</v>
      </c>
      <c r="DY414" s="56">
        <v>96.5</v>
      </c>
      <c r="DZ414" s="33" t="s">
        <v>312</v>
      </c>
    </row>
    <row r="415" spans="1:130" s="56" customFormat="1" x14ac:dyDescent="0.25">
      <c r="A415" s="1">
        <v>45352</v>
      </c>
      <c r="B415" s="54">
        <v>94.1</v>
      </c>
      <c r="C415" s="55">
        <v>3.9039999999999999</v>
      </c>
      <c r="D415" s="98">
        <v>4.5</v>
      </c>
      <c r="E415" s="54">
        <v>3.92</v>
      </c>
      <c r="F415" s="54">
        <v>2.4300000000000002</v>
      </c>
      <c r="G415" s="54">
        <v>2.31</v>
      </c>
      <c r="H415" s="54">
        <v>2.35</v>
      </c>
      <c r="I415" s="54">
        <f t="shared" si="153"/>
        <v>-1.5539999999999998</v>
      </c>
      <c r="J415" s="54">
        <f t="shared" si="154"/>
        <v>-2.15</v>
      </c>
      <c r="K415" s="54">
        <f t="shared" si="155"/>
        <v>-1.5699999999999998</v>
      </c>
      <c r="L415" s="54">
        <f t="shared" si="156"/>
        <v>0.59600000000000009</v>
      </c>
      <c r="M415" s="54">
        <v>97.9</v>
      </c>
      <c r="N415" s="54">
        <v>17735.07</v>
      </c>
      <c r="O415" s="54">
        <v>12.77</v>
      </c>
      <c r="P415" s="64">
        <v>2577.4</v>
      </c>
      <c r="Q415" s="34">
        <f t="shared" si="157"/>
        <v>22.16165090283749</v>
      </c>
      <c r="R415" s="34">
        <v>3774.2</v>
      </c>
      <c r="S415" s="34">
        <f t="shared" si="158"/>
        <v>3245.2278589853827</v>
      </c>
      <c r="T415" s="34">
        <v>3860.9</v>
      </c>
      <c r="U415" s="34">
        <f t="shared" si="159"/>
        <v>3319.776440240757</v>
      </c>
      <c r="V415" s="118">
        <v>270910</v>
      </c>
      <c r="W415" s="118">
        <v>10245525</v>
      </c>
      <c r="X415" s="119">
        <v>15119327</v>
      </c>
      <c r="Y415" s="119">
        <v>1055873</v>
      </c>
      <c r="Z415" s="54">
        <v>87.6</v>
      </c>
      <c r="AA415" s="54">
        <v>83.8</v>
      </c>
      <c r="AB415" s="54">
        <v>93.4</v>
      </c>
      <c r="AC415" s="54">
        <v>84.3</v>
      </c>
      <c r="AD415" s="54">
        <v>45985</v>
      </c>
      <c r="AE415" s="54">
        <v>5.9</v>
      </c>
      <c r="AF415" s="54">
        <v>715</v>
      </c>
      <c r="AG415" s="54">
        <v>118.7</v>
      </c>
      <c r="AH415" s="54">
        <v>116.3</v>
      </c>
      <c r="AI415" s="54">
        <v>111.6</v>
      </c>
      <c r="AJ415" s="54">
        <v>112.4</v>
      </c>
      <c r="AK415" s="54">
        <v>248.63472200000001</v>
      </c>
      <c r="AL415" s="54">
        <v>110.6</v>
      </c>
      <c r="AM415" s="54">
        <v>124.24</v>
      </c>
      <c r="AN415" s="54">
        <v>193.45</v>
      </c>
      <c r="AO415" s="54">
        <v>134.11000000000001</v>
      </c>
      <c r="AP415" s="54">
        <v>78.16</v>
      </c>
      <c r="AQ415" s="54">
        <f t="shared" si="160"/>
        <v>0.70035842293906814</v>
      </c>
      <c r="AR415" s="54">
        <v>87.4</v>
      </c>
      <c r="AS415" s="54">
        <v>86.5</v>
      </c>
      <c r="AT415" s="54">
        <v>88.3</v>
      </c>
      <c r="AU415" s="54">
        <v>88.7</v>
      </c>
      <c r="AV415" s="54">
        <v>89.6</v>
      </c>
      <c r="AW415" s="54">
        <v>87.7</v>
      </c>
      <c r="AX415" s="54">
        <v>-10</v>
      </c>
      <c r="AY415" s="54">
        <v>-7</v>
      </c>
      <c r="AZ415" s="54">
        <v>-22</v>
      </c>
      <c r="BA415" s="54">
        <v>-14.9</v>
      </c>
      <c r="BB415" s="54">
        <v>82</v>
      </c>
      <c r="BC415" s="54">
        <v>80.5</v>
      </c>
      <c r="BD415" s="54">
        <v>83.6</v>
      </c>
      <c r="BE415" s="54">
        <v>-80.5</v>
      </c>
      <c r="BF415" s="54">
        <v>31.7</v>
      </c>
      <c r="BG415" s="54">
        <v>-3.1</v>
      </c>
      <c r="BH415" s="54">
        <v>164.4</v>
      </c>
      <c r="BI415" s="54">
        <v>17.399999999999999</v>
      </c>
      <c r="BJ415" s="34">
        <v>41.9</v>
      </c>
      <c r="BK415" s="54">
        <v>-12</v>
      </c>
      <c r="BL415" s="54">
        <v>0.15</v>
      </c>
      <c r="BM415" s="54">
        <v>99.318399999999997</v>
      </c>
      <c r="BN415" s="54">
        <v>99.415899999999993</v>
      </c>
      <c r="BO415" s="54">
        <v>-26.4</v>
      </c>
      <c r="BP415" s="54">
        <v>-27.7</v>
      </c>
      <c r="BQ415" s="54">
        <v>13.7</v>
      </c>
      <c r="BR415" s="54">
        <v>-10.199999999999999</v>
      </c>
      <c r="BS415" s="54">
        <v>6</v>
      </c>
      <c r="BT415" s="54">
        <v>-8.9</v>
      </c>
      <c r="BU415" s="54">
        <v>-16.8</v>
      </c>
      <c r="BV415" s="54">
        <v>3.7</v>
      </c>
      <c r="BW415" s="54">
        <v>-13.1</v>
      </c>
      <c r="BX415" s="54">
        <v>-20.100000000000001</v>
      </c>
      <c r="BY415" s="54">
        <v>-19.399999999999999</v>
      </c>
      <c r="BZ415" s="54">
        <v>91</v>
      </c>
      <c r="CA415" s="54">
        <v>-13.1</v>
      </c>
      <c r="CB415" s="54">
        <v>-4.9000000000000004</v>
      </c>
      <c r="CC415" s="54">
        <v>-1.9</v>
      </c>
      <c r="CD415" s="54">
        <v>-43.1</v>
      </c>
      <c r="CE415" s="54">
        <v>-29.3</v>
      </c>
      <c r="CF415" s="54">
        <v>51.7</v>
      </c>
      <c r="CG415" s="54">
        <v>21</v>
      </c>
      <c r="CH415" s="54">
        <v>27</v>
      </c>
      <c r="CI415" s="54">
        <v>-27.1</v>
      </c>
      <c r="CJ415" s="54">
        <v>-16.5</v>
      </c>
      <c r="CK415" s="54">
        <v>19.100000000000001</v>
      </c>
      <c r="CL415" s="54">
        <v>26.7</v>
      </c>
      <c r="CM415" s="54">
        <v>4989.6480000000001</v>
      </c>
      <c r="CN415" s="54">
        <v>39087.379999999997</v>
      </c>
      <c r="CO415" s="54">
        <v>5170.5725000000002</v>
      </c>
      <c r="CP415" s="54">
        <v>4.1180000000000003</v>
      </c>
      <c r="CQ415" s="54">
        <v>4.1900000000000004</v>
      </c>
      <c r="CR415" s="54">
        <v>77.400000000000006</v>
      </c>
      <c r="CS415" s="64">
        <v>47.09</v>
      </c>
      <c r="CT415" s="54">
        <v>101.3</v>
      </c>
      <c r="CU415" s="54">
        <v>101.9</v>
      </c>
      <c r="CV415" s="54">
        <v>101.2</v>
      </c>
      <c r="CW415" s="54">
        <v>92.6</v>
      </c>
      <c r="CX415" s="54">
        <v>98.9</v>
      </c>
      <c r="CY415" s="54">
        <v>13.86</v>
      </c>
      <c r="CZ415" s="54">
        <v>73246.093999999997</v>
      </c>
      <c r="DA415" s="54">
        <v>8.1300000000000008</v>
      </c>
      <c r="DB415" s="54">
        <v>37.840000000000003</v>
      </c>
      <c r="DC415" s="54">
        <v>70.2</v>
      </c>
      <c r="DD415" s="54">
        <v>17.91</v>
      </c>
      <c r="DE415" s="54">
        <v>19826.192999999999</v>
      </c>
      <c r="DF415" s="54">
        <v>2666.0169999999998</v>
      </c>
      <c r="DG415" s="54">
        <v>601.16899999999998</v>
      </c>
      <c r="DH415" s="54">
        <v>1588.9739999999999</v>
      </c>
      <c r="DI415" s="54">
        <v>8420.7279999999992</v>
      </c>
      <c r="DJ415" s="54">
        <v>100.2435</v>
      </c>
      <c r="DK415" s="54">
        <v>100.30800000000001</v>
      </c>
      <c r="DL415" s="54">
        <v>100.6</v>
      </c>
      <c r="DM415" s="54">
        <v>100.77160000000001</v>
      </c>
      <c r="DN415" s="54">
        <v>99.415899999999993</v>
      </c>
      <c r="DO415" s="54">
        <v>99.318399999999997</v>
      </c>
      <c r="DP415" s="54">
        <v>99.552899999999994</v>
      </c>
      <c r="DQ415" s="54">
        <v>99.507800000000003</v>
      </c>
      <c r="DR415" s="54">
        <v>209964</v>
      </c>
      <c r="DS415" s="96">
        <v>34897</v>
      </c>
      <c r="DT415" s="96">
        <v>96.5</v>
      </c>
      <c r="DU415" s="56">
        <v>231.31777954101563</v>
      </c>
      <c r="DV415" s="56">
        <v>550.27471923828125</v>
      </c>
      <c r="DW415">
        <v>2203</v>
      </c>
      <c r="DX415">
        <v>116775</v>
      </c>
      <c r="DY415" s="56">
        <v>94.8</v>
      </c>
      <c r="DZ415" s="60" t="s">
        <v>312</v>
      </c>
    </row>
    <row r="416" spans="1:130" x14ac:dyDescent="0.25">
      <c r="A416" s="1">
        <v>45383</v>
      </c>
      <c r="B416" s="34">
        <v>93.9</v>
      </c>
      <c r="C416" s="45">
        <v>3.899</v>
      </c>
      <c r="D416" s="99">
        <v>4.5</v>
      </c>
      <c r="E416" s="34">
        <v>3.91</v>
      </c>
      <c r="F416" s="34">
        <v>2.5099999999999998</v>
      </c>
      <c r="G416" s="34">
        <v>2.4</v>
      </c>
      <c r="H416" s="34">
        <v>2.4500000000000002</v>
      </c>
      <c r="I416" s="34">
        <f t="shared" si="153"/>
        <v>-1.4489999999999998</v>
      </c>
      <c r="J416" s="34">
        <f t="shared" si="154"/>
        <v>-2.0499999999999998</v>
      </c>
      <c r="K416" s="34">
        <f t="shared" si="155"/>
        <v>-1.46</v>
      </c>
      <c r="L416" s="34">
        <f t="shared" si="156"/>
        <v>0.60099999999999998</v>
      </c>
      <c r="M416" s="54">
        <v>98</v>
      </c>
      <c r="N416" s="34">
        <v>18492.490000000002</v>
      </c>
      <c r="O416" s="34">
        <v>14.64</v>
      </c>
      <c r="P416" s="64">
        <v>2569.1</v>
      </c>
      <c r="Q416" s="34">
        <f t="shared" si="157"/>
        <v>22.071305841924396</v>
      </c>
      <c r="R416" s="34">
        <v>3774</v>
      </c>
      <c r="S416" s="34">
        <f t="shared" si="158"/>
        <v>3242.2680412371128</v>
      </c>
      <c r="T416" s="34">
        <v>3854.9</v>
      </c>
      <c r="U416" s="34">
        <f t="shared" si="159"/>
        <v>3311.7697594501719</v>
      </c>
      <c r="V416" s="118">
        <v>270687</v>
      </c>
      <c r="W416" s="118">
        <v>10246046</v>
      </c>
      <c r="X416" s="119">
        <v>15143176</v>
      </c>
      <c r="Y416" s="119">
        <v>1067421</v>
      </c>
      <c r="Z416" s="34">
        <v>87.7</v>
      </c>
      <c r="AA416" s="34">
        <v>83</v>
      </c>
      <c r="AB416" s="34">
        <v>93.4</v>
      </c>
      <c r="AC416" s="34">
        <v>83.7</v>
      </c>
      <c r="AD416" s="34">
        <v>45993</v>
      </c>
      <c r="AE416" s="34">
        <v>5.9</v>
      </c>
      <c r="AF416" s="34">
        <v>704</v>
      </c>
      <c r="AG416" s="34">
        <v>118.9</v>
      </c>
      <c r="AH416" s="34">
        <v>116.4</v>
      </c>
      <c r="AI416" s="34">
        <v>112.4</v>
      </c>
      <c r="AJ416" s="34">
        <v>112.8</v>
      </c>
      <c r="AK416" s="34">
        <v>249.02535</v>
      </c>
      <c r="AL416" s="34">
        <v>104.1</v>
      </c>
      <c r="AM416" s="34">
        <v>130.6</v>
      </c>
      <c r="AN416" s="34">
        <v>202.87</v>
      </c>
      <c r="AO416" s="34">
        <v>145.15</v>
      </c>
      <c r="AP416" s="34">
        <v>82.99</v>
      </c>
      <c r="AQ416" s="34">
        <f t="shared" si="160"/>
        <v>0.73834519572953727</v>
      </c>
      <c r="AR416" s="34">
        <v>88.4</v>
      </c>
      <c r="AS416" s="34">
        <v>89.9</v>
      </c>
      <c r="AT416" s="34">
        <v>86.9</v>
      </c>
      <c r="AU416" s="34">
        <v>89.1</v>
      </c>
      <c r="AV416" s="34">
        <v>92.7</v>
      </c>
      <c r="AW416" s="34">
        <v>85.6</v>
      </c>
      <c r="AX416" s="34">
        <v>-8.1999999999999993</v>
      </c>
      <c r="AY416" s="34">
        <v>-1.5</v>
      </c>
      <c r="AZ416" s="34">
        <v>-18.899999999999999</v>
      </c>
      <c r="BA416" s="34">
        <v>-7.6</v>
      </c>
      <c r="BB416" s="34">
        <v>82.3</v>
      </c>
      <c r="BC416" s="34">
        <v>82.5</v>
      </c>
      <c r="BD416" s="34">
        <v>82.1</v>
      </c>
      <c r="BE416" s="34">
        <v>-79.2</v>
      </c>
      <c r="BF416" s="34">
        <v>42.9</v>
      </c>
      <c r="BG416" s="34">
        <v>0.7</v>
      </c>
      <c r="BH416" s="34">
        <v>167.7</v>
      </c>
      <c r="BI416" s="34">
        <v>10.199999999999999</v>
      </c>
      <c r="BJ416" s="34">
        <v>42.5</v>
      </c>
      <c r="BK416" s="54">
        <v>-8</v>
      </c>
      <c r="BL416" s="34">
        <v>0.26</v>
      </c>
      <c r="BM416" s="34">
        <v>99.459500000000006</v>
      </c>
      <c r="BN416" s="34">
        <v>99.537199999999999</v>
      </c>
      <c r="BO416" s="34">
        <v>-32.799999999999997</v>
      </c>
      <c r="BP416" s="34">
        <v>-31</v>
      </c>
      <c r="BQ416" s="34">
        <v>14.5</v>
      </c>
      <c r="BR416" s="34">
        <v>-7.9</v>
      </c>
      <c r="BS416" s="34">
        <v>5.7</v>
      </c>
      <c r="BT416" s="34">
        <v>-12.7</v>
      </c>
      <c r="BU416" s="34">
        <v>-18.399999999999999</v>
      </c>
      <c r="BV416" s="34">
        <v>5.6</v>
      </c>
      <c r="BW416" s="34">
        <v>-10.3</v>
      </c>
      <c r="BX416" s="34">
        <v>-18</v>
      </c>
      <c r="BY416" s="34">
        <v>-17.600000000000001</v>
      </c>
      <c r="BZ416" s="34">
        <v>92.3</v>
      </c>
      <c r="CA416" s="34">
        <v>-10.3</v>
      </c>
      <c r="CB416" s="34">
        <v>-1.5</v>
      </c>
      <c r="CC416" s="34">
        <v>1</v>
      </c>
      <c r="CD416" s="34">
        <v>-38.700000000000003</v>
      </c>
      <c r="CE416" s="34">
        <v>-27.7</v>
      </c>
      <c r="CF416" s="34">
        <v>50.2</v>
      </c>
      <c r="CG416" s="34">
        <v>20.100000000000001</v>
      </c>
      <c r="CH416" s="34">
        <v>27.4</v>
      </c>
      <c r="CI416" s="34">
        <v>-24.8</v>
      </c>
      <c r="CJ416" s="34">
        <v>-13</v>
      </c>
      <c r="CK416" s="34">
        <v>22.2</v>
      </c>
      <c r="CL416" s="34">
        <v>29.8</v>
      </c>
      <c r="CM416" s="34">
        <v>4981.4074760000003</v>
      </c>
      <c r="CN416" s="34">
        <v>39566.839999999997</v>
      </c>
      <c r="CO416" s="34">
        <v>5112.4927269999998</v>
      </c>
      <c r="CP416" s="34">
        <v>3.9369999999999998</v>
      </c>
      <c r="CQ416" s="34">
        <v>4.33</v>
      </c>
      <c r="CR416" s="34">
        <v>76</v>
      </c>
      <c r="CS416" s="64">
        <v>50.18</v>
      </c>
      <c r="CT416" s="34">
        <v>95.7</v>
      </c>
      <c r="CU416" s="34">
        <v>104.4</v>
      </c>
      <c r="CV416" s="34">
        <v>102</v>
      </c>
      <c r="CW416" s="34">
        <v>92.8</v>
      </c>
      <c r="CX416" s="34">
        <v>99</v>
      </c>
      <c r="CY416" s="34">
        <v>13.83</v>
      </c>
      <c r="CZ416" s="34">
        <v>74975.438999999998</v>
      </c>
      <c r="DA416" s="34">
        <v>7.6</v>
      </c>
      <c r="DB416" s="34">
        <v>39.729999999999997</v>
      </c>
      <c r="DC416" s="34">
        <v>72.78</v>
      </c>
      <c r="DD416" s="34">
        <v>18.8</v>
      </c>
      <c r="DE416" s="34">
        <v>20353.756000000001</v>
      </c>
      <c r="DF416" s="34">
        <v>2731.8209999999999</v>
      </c>
      <c r="DG416" s="34">
        <v>726.32899999999995</v>
      </c>
      <c r="DH416" s="34">
        <v>1514.3489999999999</v>
      </c>
      <c r="DI416" s="34">
        <v>8772.1720000000005</v>
      </c>
      <c r="DJ416" s="34">
        <v>100.13460000000001</v>
      </c>
      <c r="DK416" s="34">
        <v>100.17059999999999</v>
      </c>
      <c r="DL416" s="34">
        <v>100.37</v>
      </c>
      <c r="DM416" s="34">
        <v>100.4725</v>
      </c>
      <c r="DN416" s="34">
        <v>99.537199999999999</v>
      </c>
      <c r="DO416" s="34">
        <v>99.459500000000006</v>
      </c>
      <c r="DP416" s="34">
        <v>99.605999999999995</v>
      </c>
      <c r="DQ416" s="34">
        <v>99.566299999999998</v>
      </c>
      <c r="DR416" s="34">
        <v>215296</v>
      </c>
      <c r="DS416" s="73">
        <v>34936</v>
      </c>
      <c r="DT416" s="73">
        <v>95.9</v>
      </c>
      <c r="DU416" s="56">
        <v>268.1715087890625</v>
      </c>
      <c r="DV416" s="56">
        <v>640.374267578125</v>
      </c>
      <c r="DW416">
        <v>1821</v>
      </c>
      <c r="DX416">
        <v>111925</v>
      </c>
      <c r="DY416" s="56">
        <v>95.6</v>
      </c>
      <c r="DZ416" s="33" t="s">
        <v>312</v>
      </c>
    </row>
    <row r="417" spans="1:130" x14ac:dyDescent="0.25">
      <c r="A417" s="1">
        <v>45413</v>
      </c>
      <c r="B417" s="34">
        <v>91.8</v>
      </c>
      <c r="C417" s="45">
        <v>3.8889999999999998</v>
      </c>
      <c r="D417" s="99">
        <v>4.5</v>
      </c>
      <c r="E417" s="34">
        <v>3.87</v>
      </c>
      <c r="F417" s="34">
        <v>2.62</v>
      </c>
      <c r="G417" s="34">
        <v>2.4900000000000002</v>
      </c>
      <c r="H417" s="34">
        <v>2.52</v>
      </c>
      <c r="I417" s="34">
        <f t="shared" si="153"/>
        <v>-1.3689999999999998</v>
      </c>
      <c r="J417" s="34">
        <f t="shared" si="154"/>
        <v>-1.98</v>
      </c>
      <c r="K417" s="34">
        <f t="shared" si="155"/>
        <v>-1.35</v>
      </c>
      <c r="L417" s="34">
        <f t="shared" si="156"/>
        <v>0.61100000000000021</v>
      </c>
      <c r="M417" s="34">
        <v>98.3</v>
      </c>
      <c r="N417" s="34">
        <v>17932.169999999998</v>
      </c>
      <c r="O417" s="34">
        <v>13.46</v>
      </c>
      <c r="P417" s="64">
        <v>2578.6</v>
      </c>
      <c r="Q417" s="34">
        <f t="shared" si="157"/>
        <v>22.114922813036021</v>
      </c>
      <c r="R417" s="34">
        <v>3786.2</v>
      </c>
      <c r="S417" s="34">
        <f t="shared" si="158"/>
        <v>3247.1698113207544</v>
      </c>
      <c r="T417" s="34">
        <v>3865.2</v>
      </c>
      <c r="U417" s="34">
        <f t="shared" si="159"/>
        <v>3314.9228130360207</v>
      </c>
      <c r="V417" s="118">
        <v>273869</v>
      </c>
      <c r="W417" s="118">
        <v>10248211</v>
      </c>
      <c r="X417" s="119">
        <v>15179507</v>
      </c>
      <c r="Y417" s="119">
        <v>1061611</v>
      </c>
      <c r="Z417" s="34">
        <v>85.7</v>
      </c>
      <c r="AA417" s="34">
        <v>82.5</v>
      </c>
      <c r="AB417" s="34">
        <v>97.4</v>
      </c>
      <c r="AC417" s="34">
        <v>81.5</v>
      </c>
      <c r="AD417" s="34">
        <v>46009</v>
      </c>
      <c r="AE417" s="34">
        <v>5.9</v>
      </c>
      <c r="AF417" s="34">
        <v>703</v>
      </c>
      <c r="AG417" s="34">
        <v>119</v>
      </c>
      <c r="AH417" s="34">
        <v>116.6</v>
      </c>
      <c r="AI417" s="34">
        <v>112.5</v>
      </c>
      <c r="AJ417" s="34">
        <v>113</v>
      </c>
      <c r="AK417" s="34">
        <v>249.02535</v>
      </c>
      <c r="AL417" s="34">
        <v>104.3</v>
      </c>
      <c r="AM417" s="34">
        <v>136.13999999999999</v>
      </c>
      <c r="AN417" s="34">
        <v>202.14</v>
      </c>
      <c r="AO417" s="34">
        <v>145.83000000000001</v>
      </c>
      <c r="AP417" s="34">
        <v>76.81</v>
      </c>
      <c r="AQ417" s="34">
        <f t="shared" si="160"/>
        <v>0.68275555555555556</v>
      </c>
      <c r="AR417" s="34">
        <v>89</v>
      </c>
      <c r="AS417" s="34">
        <v>90.4</v>
      </c>
      <c r="AT417" s="34">
        <v>87.7</v>
      </c>
      <c r="AU417" s="34">
        <v>89.8</v>
      </c>
      <c r="AV417" s="34">
        <v>93.3</v>
      </c>
      <c r="AW417" s="34">
        <v>86.5</v>
      </c>
      <c r="AX417" s="34">
        <v>-10.199999999999999</v>
      </c>
      <c r="AY417" s="34">
        <v>-9.8000000000000007</v>
      </c>
      <c r="AZ417" s="34">
        <v>-16.8</v>
      </c>
      <c r="BA417" s="34">
        <v>-7.1</v>
      </c>
      <c r="BB417" s="34">
        <v>85.7</v>
      </c>
      <c r="BC417" s="34">
        <v>86.7</v>
      </c>
      <c r="BD417" s="34">
        <v>84.7</v>
      </c>
      <c r="BE417" s="34">
        <v>-72.3</v>
      </c>
      <c r="BF417" s="34">
        <v>47.1</v>
      </c>
      <c r="BG417" s="34">
        <v>9.8000000000000007</v>
      </c>
      <c r="BH417" s="34">
        <v>162.19999999999999</v>
      </c>
      <c r="BI417" s="34">
        <v>5.8</v>
      </c>
      <c r="BJ417" s="34">
        <v>45.4</v>
      </c>
      <c r="BK417" s="54">
        <v>-7</v>
      </c>
      <c r="BL417" s="34">
        <v>0.18</v>
      </c>
      <c r="BM417" s="34">
        <v>99.564800000000005</v>
      </c>
      <c r="BN417" s="34">
        <v>99.627600000000001</v>
      </c>
      <c r="BO417" s="34">
        <v>-31.5</v>
      </c>
      <c r="BP417" s="34">
        <v>-28.8</v>
      </c>
      <c r="BQ417" s="34">
        <v>15.2</v>
      </c>
      <c r="BR417" s="34">
        <v>-7.5</v>
      </c>
      <c r="BS417" s="34">
        <v>6.4</v>
      </c>
      <c r="BT417" s="34">
        <v>-12.4</v>
      </c>
      <c r="BU417" s="34">
        <v>-18.100000000000001</v>
      </c>
      <c r="BV417" s="34">
        <v>8</v>
      </c>
      <c r="BW417" s="34">
        <v>-10.5</v>
      </c>
      <c r="BX417" s="34">
        <v>-16.899999999999999</v>
      </c>
      <c r="BY417" s="34">
        <v>-18.5</v>
      </c>
      <c r="BZ417" s="34">
        <v>93</v>
      </c>
      <c r="CA417" s="34">
        <v>-10.5</v>
      </c>
      <c r="CB417" s="34">
        <v>-3.7</v>
      </c>
      <c r="CC417" s="34">
        <v>1.7</v>
      </c>
      <c r="CD417" s="34">
        <v>-34.9</v>
      </c>
      <c r="CE417" s="34">
        <v>-25.2</v>
      </c>
      <c r="CF417" s="34">
        <v>46.4</v>
      </c>
      <c r="CG417" s="34">
        <v>21.3</v>
      </c>
      <c r="CH417" s="34">
        <v>28.1</v>
      </c>
      <c r="CI417" s="34">
        <v>-25.6</v>
      </c>
      <c r="CJ417" s="34">
        <v>-14.9</v>
      </c>
      <c r="CK417" s="34">
        <v>16.100000000000001</v>
      </c>
      <c r="CL417" s="34">
        <v>22.8</v>
      </c>
      <c r="CM417" s="34">
        <v>5022.5601299999998</v>
      </c>
      <c r="CN417" s="34">
        <v>37903.29</v>
      </c>
      <c r="CO417" s="34">
        <v>5235.2254549999998</v>
      </c>
      <c r="CP417" s="34">
        <v>4.3680000000000003</v>
      </c>
      <c r="CQ417" s="34">
        <v>4.63</v>
      </c>
      <c r="CR417" s="34">
        <v>68.8</v>
      </c>
      <c r="CS417" s="64">
        <v>52.79</v>
      </c>
      <c r="CT417" s="34">
        <v>99.1</v>
      </c>
      <c r="CU417" s="34">
        <v>101.2</v>
      </c>
      <c r="CV417" s="34">
        <v>101.3</v>
      </c>
      <c r="CW417" s="34">
        <v>94.1</v>
      </c>
      <c r="CX417" s="34">
        <v>98.8</v>
      </c>
      <c r="CY417" s="34">
        <v>14.18</v>
      </c>
      <c r="CZ417" s="34">
        <v>68899.305999999997</v>
      </c>
      <c r="DA417" s="34">
        <v>7.87</v>
      </c>
      <c r="DB417" s="34">
        <v>36.89</v>
      </c>
      <c r="DC417" s="34">
        <v>69.66</v>
      </c>
      <c r="DD417" s="34">
        <v>18</v>
      </c>
      <c r="DE417" s="34">
        <v>18227.763999999999</v>
      </c>
      <c r="DF417" s="34">
        <v>2645.4870000000001</v>
      </c>
      <c r="DG417" s="34">
        <v>553.06899999999996</v>
      </c>
      <c r="DH417" s="34">
        <v>1485.201</v>
      </c>
      <c r="DI417" s="34">
        <v>7480.7610000000004</v>
      </c>
      <c r="DJ417" s="34">
        <v>100.0384</v>
      </c>
      <c r="DK417" s="34">
        <v>100.0506</v>
      </c>
      <c r="DL417" s="34">
        <v>100.16</v>
      </c>
      <c r="DM417" s="34">
        <v>100.2081</v>
      </c>
      <c r="DN417" s="34">
        <v>99.627600000000001</v>
      </c>
      <c r="DO417" s="34">
        <v>99.564800000000005</v>
      </c>
      <c r="DP417" s="34">
        <v>99.621200000000002</v>
      </c>
      <c r="DQ417" s="34">
        <v>99.582999999999998</v>
      </c>
      <c r="DR417" s="34">
        <v>191106</v>
      </c>
      <c r="DS417" s="73">
        <v>34942</v>
      </c>
      <c r="DT417" s="73">
        <v>96.1</v>
      </c>
      <c r="DU417" s="56">
        <v>290.83529663085938</v>
      </c>
      <c r="DV417" s="56">
        <v>637.041259765625</v>
      </c>
      <c r="DW417">
        <v>1688</v>
      </c>
      <c r="DX417">
        <v>115275</v>
      </c>
      <c r="DY417" s="56">
        <v>95</v>
      </c>
      <c r="DZ417" s="33" t="s">
        <v>312</v>
      </c>
    </row>
    <row r="418" spans="1:130" s="56" customFormat="1" x14ac:dyDescent="0.25">
      <c r="A418" s="1">
        <v>45444</v>
      </c>
      <c r="B418" s="34">
        <v>93.4</v>
      </c>
      <c r="C418" s="55">
        <v>3.9129999999999998</v>
      </c>
      <c r="D418" s="98">
        <v>4.25</v>
      </c>
      <c r="E418" s="54">
        <v>3.81</v>
      </c>
      <c r="F418" s="54">
        <v>2.56</v>
      </c>
      <c r="G418" s="54">
        <v>2.4500000000000002</v>
      </c>
      <c r="H418" s="54">
        <v>2.48</v>
      </c>
      <c r="I418" s="54">
        <f t="shared" si="153"/>
        <v>-1.4329999999999998</v>
      </c>
      <c r="J418" s="54">
        <f t="shared" si="154"/>
        <v>-1.77</v>
      </c>
      <c r="K418" s="54">
        <f t="shared" si="155"/>
        <v>-1.33</v>
      </c>
      <c r="L418" s="54">
        <f t="shared" si="156"/>
        <v>0.33700000000000019</v>
      </c>
      <c r="M418" s="54">
        <v>97.9</v>
      </c>
      <c r="N418" s="54">
        <v>18608.16</v>
      </c>
      <c r="O418" s="54">
        <v>14.3</v>
      </c>
      <c r="P418" s="64">
        <v>2587</v>
      </c>
      <c r="Q418" s="34">
        <f t="shared" si="157"/>
        <v>22.111111111111111</v>
      </c>
      <c r="R418" s="34">
        <v>3793.4</v>
      </c>
      <c r="S418" s="34">
        <f t="shared" si="158"/>
        <v>3242.2222222222226</v>
      </c>
      <c r="T418" s="34">
        <v>3877.6</v>
      </c>
      <c r="U418" s="34">
        <f t="shared" si="159"/>
        <v>3314.1880341880337</v>
      </c>
      <c r="V418" s="118">
        <v>271496</v>
      </c>
      <c r="W418" s="118">
        <v>10310164</v>
      </c>
      <c r="X418" s="119">
        <v>15283862</v>
      </c>
      <c r="Y418" s="119">
        <v>1077877</v>
      </c>
      <c r="Z418" s="54">
        <v>87.5</v>
      </c>
      <c r="AA418" s="54">
        <v>86</v>
      </c>
      <c r="AB418" s="54">
        <v>95.3</v>
      </c>
      <c r="AC418" s="54">
        <v>88.7</v>
      </c>
      <c r="AD418" s="54">
        <v>45987</v>
      </c>
      <c r="AE418" s="54">
        <v>5.9</v>
      </c>
      <c r="AF418" s="54">
        <v>694</v>
      </c>
      <c r="AG418" s="54">
        <v>119.2</v>
      </c>
      <c r="AH418" s="54">
        <v>117</v>
      </c>
      <c r="AI418" s="54">
        <v>113.1</v>
      </c>
      <c r="AJ418" s="54">
        <v>113.3</v>
      </c>
      <c r="AK418" s="54">
        <v>249.415978</v>
      </c>
      <c r="AL418" s="54">
        <v>104</v>
      </c>
      <c r="AM418" s="54">
        <v>132</v>
      </c>
      <c r="AN418" s="54">
        <v>205.6</v>
      </c>
      <c r="AO418" s="54">
        <v>144.01</v>
      </c>
      <c r="AP418" s="34">
        <v>77.069999999999993</v>
      </c>
      <c r="AQ418" s="54">
        <f t="shared" si="160"/>
        <v>0.68143236074270552</v>
      </c>
      <c r="AR418" s="54">
        <v>87.3</v>
      </c>
      <c r="AS418" s="54">
        <v>87.7</v>
      </c>
      <c r="AT418" s="54">
        <v>86.9</v>
      </c>
      <c r="AU418" s="54">
        <v>88.7</v>
      </c>
      <c r="AV418" s="54">
        <v>90.7</v>
      </c>
      <c r="AW418" s="54">
        <v>86.7</v>
      </c>
      <c r="AX418" s="54">
        <v>-5.6</v>
      </c>
      <c r="AY418" s="54">
        <v>-5.4</v>
      </c>
      <c r="AZ418" s="54">
        <v>-17.899999999999999</v>
      </c>
      <c r="BA418" s="54">
        <v>-10.199999999999999</v>
      </c>
      <c r="BB418" s="54">
        <v>82.4</v>
      </c>
      <c r="BC418" s="54">
        <v>83.5</v>
      </c>
      <c r="BD418" s="54">
        <v>81.3</v>
      </c>
      <c r="BE418" s="54">
        <v>-73.8</v>
      </c>
      <c r="BF418" s="54">
        <v>47.5</v>
      </c>
      <c r="BG418" s="54">
        <v>2.5</v>
      </c>
      <c r="BH418" s="54">
        <v>168</v>
      </c>
      <c r="BI418" s="54">
        <v>8.5</v>
      </c>
      <c r="BJ418" s="86">
        <v>43.5</v>
      </c>
      <c r="BK418" s="54">
        <v>-2</v>
      </c>
      <c r="BL418" s="54">
        <v>0.16</v>
      </c>
      <c r="BM418" s="54">
        <v>99.616</v>
      </c>
      <c r="BN418" s="54">
        <v>99.671599999999998</v>
      </c>
      <c r="BO418" s="54">
        <v>-28.5</v>
      </c>
      <c r="BP418" s="54">
        <v>-26.7</v>
      </c>
      <c r="BQ418" s="54">
        <v>15.5</v>
      </c>
      <c r="BR418" s="54">
        <v>-7.5</v>
      </c>
      <c r="BS418" s="54">
        <v>5.9</v>
      </c>
      <c r="BT418" s="54">
        <v>-10.199999999999999</v>
      </c>
      <c r="BU418" s="54">
        <v>-17.2</v>
      </c>
      <c r="BV418" s="54">
        <v>7.3</v>
      </c>
      <c r="BW418" s="54">
        <v>-10.4</v>
      </c>
      <c r="BX418" s="54">
        <v>-20.6</v>
      </c>
      <c r="BY418" s="54">
        <v>-17.5</v>
      </c>
      <c r="BZ418" s="54">
        <v>92.9</v>
      </c>
      <c r="CA418" s="54">
        <v>-10.4</v>
      </c>
      <c r="CB418" s="54">
        <v>-2</v>
      </c>
      <c r="CC418" s="54">
        <v>0.6</v>
      </c>
      <c r="CD418" s="54">
        <v>-35.1</v>
      </c>
      <c r="CE418" s="54">
        <v>-26.2</v>
      </c>
      <c r="CF418" s="54">
        <v>44</v>
      </c>
      <c r="CG418" s="54">
        <v>24.6</v>
      </c>
      <c r="CH418" s="54">
        <v>29.1</v>
      </c>
      <c r="CI418" s="54">
        <v>-25.4</v>
      </c>
      <c r="CJ418" s="54">
        <v>-14</v>
      </c>
      <c r="CK418" s="54">
        <v>17.8</v>
      </c>
      <c r="CL418" s="54">
        <v>26.2</v>
      </c>
      <c r="CM418" s="54">
        <v>4951.9745000000003</v>
      </c>
      <c r="CN418" s="54">
        <v>38571.03</v>
      </c>
      <c r="CO418" s="54">
        <v>5415.1405260000001</v>
      </c>
      <c r="CP418" s="54">
        <v>4.2229999999999999</v>
      </c>
      <c r="CQ418" s="54">
        <v>4.41</v>
      </c>
      <c r="CR418" s="54">
        <v>69.599999999999994</v>
      </c>
      <c r="CS418" s="64">
        <v>53.89</v>
      </c>
      <c r="CT418" s="54">
        <v>98.2</v>
      </c>
      <c r="CU418" s="54">
        <v>102.3</v>
      </c>
      <c r="CV418" s="54">
        <v>101.3</v>
      </c>
      <c r="CW418" s="54">
        <v>96.2</v>
      </c>
      <c r="CX418" s="54">
        <v>102.2</v>
      </c>
      <c r="CY418" s="54">
        <v>13.08</v>
      </c>
      <c r="CZ418" s="54">
        <v>69767.98</v>
      </c>
      <c r="DA418" s="54">
        <v>6.95</v>
      </c>
      <c r="DB418" s="54">
        <v>37.11</v>
      </c>
      <c r="DC418" s="54">
        <v>68.430000000000007</v>
      </c>
      <c r="DD418" s="54">
        <v>17.39</v>
      </c>
      <c r="DE418" s="54">
        <v>19655.262999999999</v>
      </c>
      <c r="DF418" s="54">
        <v>2746.6039999999998</v>
      </c>
      <c r="DG418" s="54">
        <v>552.10400000000004</v>
      </c>
      <c r="DH418" s="54">
        <v>1695.011</v>
      </c>
      <c r="DI418" s="54">
        <v>7962.4939999999997</v>
      </c>
      <c r="DJ418" s="54">
        <v>99.964299999999994</v>
      </c>
      <c r="DK418" s="54">
        <v>99.959699999999998</v>
      </c>
      <c r="DL418" s="54">
        <v>100</v>
      </c>
      <c r="DM418" s="54">
        <v>100.001</v>
      </c>
      <c r="DN418" s="54">
        <v>99.671599999999998</v>
      </c>
      <c r="DO418" s="54">
        <v>99.616</v>
      </c>
      <c r="DP418" s="54">
        <v>99.6233</v>
      </c>
      <c r="DQ418" s="54">
        <v>99.585300000000004</v>
      </c>
      <c r="DR418" s="54">
        <v>204212</v>
      </c>
      <c r="DS418" s="96">
        <v>34924</v>
      </c>
      <c r="DT418" s="96">
        <v>95.8</v>
      </c>
      <c r="DU418" s="56">
        <v>327.50628662109375</v>
      </c>
      <c r="DV418" s="56">
        <v>667.6673583984375</v>
      </c>
      <c r="DW418">
        <v>1808</v>
      </c>
      <c r="DX418">
        <v>118950</v>
      </c>
      <c r="DY418" s="56">
        <v>94.9</v>
      </c>
      <c r="DZ418" s="60" t="s">
        <v>312</v>
      </c>
    </row>
    <row r="419" spans="1:130" x14ac:dyDescent="0.25">
      <c r="A419" s="1">
        <v>45474</v>
      </c>
      <c r="B419" s="34">
        <v>91.5</v>
      </c>
      <c r="C419" s="45">
        <v>3.665</v>
      </c>
      <c r="D419" s="99">
        <v>4.25</v>
      </c>
      <c r="E419" s="34">
        <v>3.74</v>
      </c>
      <c r="F419" s="34">
        <v>2.4700000000000002</v>
      </c>
      <c r="G419" s="34">
        <v>2.39</v>
      </c>
      <c r="H419" s="34">
        <v>2.46</v>
      </c>
      <c r="I419" s="34">
        <f t="shared" si="153"/>
        <v>-1.2050000000000001</v>
      </c>
      <c r="J419" s="34">
        <f t="shared" si="154"/>
        <v>-1.79</v>
      </c>
      <c r="K419" s="34">
        <f t="shared" si="155"/>
        <v>-1.2800000000000002</v>
      </c>
      <c r="L419" s="34">
        <f t="shared" si="156"/>
        <v>0.58499999999999996</v>
      </c>
      <c r="M419" s="34">
        <v>98.2</v>
      </c>
      <c r="N419" s="34">
        <v>18290.66</v>
      </c>
      <c r="O419" s="34">
        <v>16.420000000000002</v>
      </c>
      <c r="P419" s="64">
        <v>2580.5</v>
      </c>
      <c r="Q419" s="34">
        <f t="shared" si="157"/>
        <v>21.999147485080989</v>
      </c>
      <c r="R419" s="34">
        <v>3787.8</v>
      </c>
      <c r="S419" s="34">
        <f t="shared" si="158"/>
        <v>3229.1560102301796</v>
      </c>
      <c r="T419" s="34">
        <v>3869.3</v>
      </c>
      <c r="U419" s="34">
        <f t="shared" si="159"/>
        <v>3298.6359761295821</v>
      </c>
      <c r="V419" s="118">
        <v>271463</v>
      </c>
      <c r="W419" s="118">
        <v>10287484</v>
      </c>
      <c r="X419" s="119">
        <v>15258408</v>
      </c>
      <c r="Y419" s="119">
        <v>1108948</v>
      </c>
      <c r="Z419" s="34">
        <v>85.6</v>
      </c>
      <c r="AA419" s="34">
        <v>88.1</v>
      </c>
      <c r="AB419" s="34">
        <v>88.2</v>
      </c>
      <c r="AC419" s="34">
        <v>91.5</v>
      </c>
      <c r="AD419" s="34">
        <v>45989</v>
      </c>
      <c r="AE419" s="34">
        <v>6</v>
      </c>
      <c r="AF419" s="34">
        <v>690</v>
      </c>
      <c r="AG419" s="34">
        <v>119.5</v>
      </c>
      <c r="AH419" s="34">
        <v>117.3</v>
      </c>
      <c r="AI419" s="34">
        <v>112.8</v>
      </c>
      <c r="AJ419" s="34">
        <v>113.2</v>
      </c>
      <c r="AK419" s="34">
        <v>249.80660599999999</v>
      </c>
      <c r="AL419" s="34">
        <v>148</v>
      </c>
      <c r="AM419" s="34">
        <v>129.27000000000001</v>
      </c>
      <c r="AN419" s="34">
        <v>202.47</v>
      </c>
      <c r="AO419" s="34">
        <v>138.88</v>
      </c>
      <c r="AP419" s="34">
        <v>77.5</v>
      </c>
      <c r="AQ419" s="34">
        <f t="shared" si="160"/>
        <v>0.68705673758865249</v>
      </c>
      <c r="AR419" s="34">
        <v>85.7</v>
      </c>
      <c r="AS419" s="34">
        <v>87.4</v>
      </c>
      <c r="AT419" s="34">
        <v>84.1</v>
      </c>
      <c r="AU419" s="34">
        <v>86.8</v>
      </c>
      <c r="AV419" s="34">
        <v>90.5</v>
      </c>
      <c r="AW419" s="34">
        <v>83.2</v>
      </c>
      <c r="AX419" s="34">
        <v>-10.7</v>
      </c>
      <c r="AY419" s="34">
        <v>-3.5</v>
      </c>
      <c r="AZ419" s="34">
        <v>-21.4</v>
      </c>
      <c r="BA419" s="34">
        <v>-11.1</v>
      </c>
      <c r="BB419" s="34">
        <v>81.099999999999994</v>
      </c>
      <c r="BC419" s="34">
        <v>82.1</v>
      </c>
      <c r="BD419" s="34">
        <v>80.2</v>
      </c>
      <c r="BE419" s="34">
        <v>-68.900000000000006</v>
      </c>
      <c r="BF419" s="34">
        <v>41.8</v>
      </c>
      <c r="BG419" s="34">
        <v>9.8000000000000007</v>
      </c>
      <c r="BH419" s="34">
        <v>170.6</v>
      </c>
      <c r="BI419" s="34">
        <v>9.1</v>
      </c>
      <c r="BJ419" s="86">
        <v>43.2</v>
      </c>
      <c r="BK419" s="54">
        <v>0</v>
      </c>
      <c r="BL419" s="34">
        <v>0.16</v>
      </c>
      <c r="BM419" s="34">
        <v>99.621399999999994</v>
      </c>
      <c r="BN419" s="34">
        <v>99.676199999999994</v>
      </c>
      <c r="BO419" s="34">
        <v>-32.700000000000003</v>
      </c>
      <c r="BP419" s="34">
        <v>-33</v>
      </c>
      <c r="BQ419" s="34">
        <v>16.8</v>
      </c>
      <c r="BR419" s="34">
        <v>-7.3</v>
      </c>
      <c r="BS419" s="34">
        <v>6.6</v>
      </c>
      <c r="BT419" s="34">
        <v>-11.3</v>
      </c>
      <c r="BU419" s="34">
        <v>-18.899999999999999</v>
      </c>
      <c r="BV419" s="34">
        <v>7.8</v>
      </c>
      <c r="BW419" s="34">
        <v>-8.5</v>
      </c>
      <c r="BX419" s="34">
        <v>-24.2</v>
      </c>
      <c r="BY419" s="34">
        <v>-17</v>
      </c>
      <c r="BZ419" s="34">
        <v>92.9</v>
      </c>
      <c r="CA419" s="34">
        <v>-8.5</v>
      </c>
      <c r="CB419" s="34">
        <v>-1.2</v>
      </c>
      <c r="CC419" s="34">
        <v>2.8</v>
      </c>
      <c r="CD419" s="34">
        <v>-34.5</v>
      </c>
      <c r="CE419" s="34">
        <v>-24.2</v>
      </c>
      <c r="CF419" s="34">
        <v>43.7</v>
      </c>
      <c r="CG419" s="34">
        <v>21.2</v>
      </c>
      <c r="CH419" s="34">
        <v>29.2</v>
      </c>
      <c r="CI419" s="34">
        <v>-22.7</v>
      </c>
      <c r="CJ419" s="34">
        <v>-11.5</v>
      </c>
      <c r="CK419" s="34">
        <v>23.4</v>
      </c>
      <c r="CL419" s="34">
        <v>26.7</v>
      </c>
      <c r="CM419" s="34">
        <v>4913.888739</v>
      </c>
      <c r="CN419" s="34">
        <v>39169.519999999997</v>
      </c>
      <c r="CO419" s="34">
        <v>5538.0045449999998</v>
      </c>
      <c r="CP419" s="34">
        <v>4.2869999999999999</v>
      </c>
      <c r="CQ419" s="34">
        <v>4.4800000000000004</v>
      </c>
      <c r="CR419" s="34">
        <v>68.8</v>
      </c>
      <c r="CS419" s="64">
        <v>51.28</v>
      </c>
      <c r="CT419" s="34">
        <v>95.3</v>
      </c>
      <c r="CU419" s="34">
        <v>104</v>
      </c>
      <c r="CV419" s="34">
        <v>99.6</v>
      </c>
      <c r="CW419" s="34">
        <v>94.6</v>
      </c>
      <c r="CX419" s="34">
        <v>99.5</v>
      </c>
      <c r="CY419" s="34">
        <v>12.98</v>
      </c>
      <c r="CZ419" s="34">
        <v>70036.873000000007</v>
      </c>
      <c r="DA419" s="34">
        <v>7.81</v>
      </c>
      <c r="DB419" s="34">
        <v>38.35</v>
      </c>
      <c r="DC419" s="34">
        <v>69.19</v>
      </c>
      <c r="DD419" s="34">
        <v>17.899999999999999</v>
      </c>
      <c r="DE419" s="34">
        <v>21402.965</v>
      </c>
      <c r="DF419" s="34">
        <v>2947.0439999999999</v>
      </c>
      <c r="DG419" s="34">
        <v>726.3</v>
      </c>
      <c r="DH419" s="34">
        <v>1995.7950000000001</v>
      </c>
      <c r="DI419" s="34">
        <v>7952.3119999999999</v>
      </c>
      <c r="DJ419" s="34">
        <v>99.924300000000002</v>
      </c>
      <c r="DK419" s="34">
        <v>99.913600000000002</v>
      </c>
      <c r="DL419" s="34">
        <v>99.9</v>
      </c>
      <c r="DM419" s="34">
        <v>99.879599999999996</v>
      </c>
      <c r="DN419" s="34">
        <v>99.676199999999994</v>
      </c>
      <c r="DO419" s="34">
        <v>99.621399999999994</v>
      </c>
      <c r="DP419" s="34">
        <v>99.646799999999999</v>
      </c>
      <c r="DQ419" s="34">
        <v>99.611199999999997</v>
      </c>
      <c r="DR419" s="34">
        <v>194461</v>
      </c>
      <c r="DS419" s="73">
        <v>34946</v>
      </c>
      <c r="DT419" s="73">
        <v>95.2</v>
      </c>
      <c r="DU419" s="56">
        <v>361.85379028320313</v>
      </c>
      <c r="DV419" s="56">
        <v>849.16400146484375</v>
      </c>
      <c r="DW419">
        <v>2158</v>
      </c>
      <c r="DX419">
        <v>184475</v>
      </c>
      <c r="DY419" s="56">
        <v>94.9</v>
      </c>
      <c r="DZ419" s="33" t="s">
        <v>312</v>
      </c>
    </row>
    <row r="420" spans="1:130" x14ac:dyDescent="0.25">
      <c r="A420" s="1">
        <v>45505</v>
      </c>
      <c r="B420" s="34">
        <v>92.8</v>
      </c>
      <c r="C420" s="45">
        <v>3.6640000000000001</v>
      </c>
      <c r="D420" s="99">
        <v>4.25</v>
      </c>
      <c r="E420" s="34">
        <v>3.65</v>
      </c>
      <c r="F420" s="34">
        <v>2.13</v>
      </c>
      <c r="G420" s="34">
        <v>2.11</v>
      </c>
      <c r="H420" s="34">
        <v>2.21</v>
      </c>
      <c r="I420" s="34">
        <f t="shared" si="153"/>
        <v>-1.4540000000000002</v>
      </c>
      <c r="J420" s="34">
        <f t="shared" si="154"/>
        <v>-2.04</v>
      </c>
      <c r="K420" s="34">
        <f t="shared" si="155"/>
        <v>-1.44</v>
      </c>
      <c r="L420" s="34">
        <f t="shared" si="156"/>
        <v>0.58599999999999985</v>
      </c>
      <c r="M420" s="34">
        <v>98</v>
      </c>
      <c r="N420" s="34">
        <v>18083.05</v>
      </c>
      <c r="O420" s="34">
        <v>14.26</v>
      </c>
      <c r="P420" s="64">
        <v>2627.1</v>
      </c>
      <c r="Q420" s="34">
        <f t="shared" si="157"/>
        <v>22.358297872340426</v>
      </c>
      <c r="R420" s="34">
        <v>3839.5</v>
      </c>
      <c r="S420" s="34">
        <f t="shared" si="158"/>
        <v>3267.6595744680853</v>
      </c>
      <c r="T420" s="34">
        <v>3924.2</v>
      </c>
      <c r="U420" s="34">
        <f t="shared" si="159"/>
        <v>3339.7446808510635</v>
      </c>
      <c r="V420" s="118">
        <v>266793</v>
      </c>
      <c r="W420" s="118">
        <v>10347634</v>
      </c>
      <c r="X420" s="119">
        <v>15328490</v>
      </c>
      <c r="Y420" s="119">
        <v>1136205</v>
      </c>
      <c r="Z420" s="34">
        <v>85.1</v>
      </c>
      <c r="AA420" s="34">
        <v>83.1</v>
      </c>
      <c r="AB420" s="34">
        <v>88.8</v>
      </c>
      <c r="AC420" s="34">
        <v>83.6</v>
      </c>
      <c r="AD420" s="34">
        <v>45976</v>
      </c>
      <c r="AE420" s="34">
        <v>6</v>
      </c>
      <c r="AF420" s="34">
        <v>681</v>
      </c>
      <c r="AG420" s="34">
        <v>119.6</v>
      </c>
      <c r="AH420" s="34">
        <v>117.5</v>
      </c>
      <c r="AI420" s="34">
        <v>112.4</v>
      </c>
      <c r="AJ420" s="34">
        <v>113.2</v>
      </c>
      <c r="AK420" s="34">
        <v>250.39254800000001</v>
      </c>
      <c r="AL420" s="34">
        <v>111.9</v>
      </c>
      <c r="AM420" s="34">
        <v>126.81</v>
      </c>
      <c r="AN420" s="34">
        <v>202.09</v>
      </c>
      <c r="AO420" s="34">
        <v>135</v>
      </c>
      <c r="AP420" s="34">
        <v>71.7</v>
      </c>
      <c r="AQ420" s="34">
        <f t="shared" si="160"/>
        <v>0.63790035587188609</v>
      </c>
      <c r="AR420" s="34">
        <v>84.8</v>
      </c>
      <c r="AS420" s="34">
        <v>86.8</v>
      </c>
      <c r="AT420" s="34">
        <v>83</v>
      </c>
      <c r="AU420" s="34">
        <v>85.2</v>
      </c>
      <c r="AV420" s="34">
        <v>89.1</v>
      </c>
      <c r="AW420" s="34">
        <v>81.5</v>
      </c>
      <c r="AX420" s="34">
        <v>-16.7</v>
      </c>
      <c r="AY420" s="34">
        <v>-2.5</v>
      </c>
      <c r="AZ420" s="34">
        <v>-24.4</v>
      </c>
      <c r="BA420" s="34">
        <v>-14.1</v>
      </c>
      <c r="BB420" s="34">
        <v>80.599999999999994</v>
      </c>
      <c r="BC420" s="34">
        <v>82.4</v>
      </c>
      <c r="BD420" s="34">
        <v>78.900000000000006</v>
      </c>
      <c r="BE420" s="34">
        <v>-77.3</v>
      </c>
      <c r="BF420" s="34">
        <v>19.2</v>
      </c>
      <c r="BG420" s="34">
        <v>2</v>
      </c>
      <c r="BH420" s="34">
        <v>171.7</v>
      </c>
      <c r="BI420" s="34">
        <v>3</v>
      </c>
      <c r="BJ420" s="86">
        <v>42.4</v>
      </c>
      <c r="BK420" s="54">
        <v>10</v>
      </c>
      <c r="BL420" s="34">
        <v>0.28999999999999998</v>
      </c>
      <c r="BM420" s="34">
        <v>99.594300000000004</v>
      </c>
      <c r="BN420" s="34">
        <v>99.653000000000006</v>
      </c>
      <c r="BO420" s="34">
        <v>-37</v>
      </c>
      <c r="BP420" s="34">
        <v>-34.6</v>
      </c>
      <c r="BQ420" s="34">
        <v>17.3</v>
      </c>
      <c r="BR420" s="34">
        <v>-6</v>
      </c>
      <c r="BS420" s="34">
        <v>5.0999999999999996</v>
      </c>
      <c r="BT420" s="34">
        <v>-14.6</v>
      </c>
      <c r="BU420" s="34">
        <v>-20.100000000000001</v>
      </c>
      <c r="BV420" s="34">
        <v>5.4</v>
      </c>
      <c r="BW420" s="34">
        <v>-10</v>
      </c>
      <c r="BX420" s="34">
        <v>-22.1</v>
      </c>
      <c r="BY420" s="34">
        <v>-16.5</v>
      </c>
      <c r="BZ420" s="34">
        <v>91.5</v>
      </c>
      <c r="CA420" s="34">
        <v>-10</v>
      </c>
      <c r="CB420" s="34">
        <v>-0.8</v>
      </c>
      <c r="CC420" s="34">
        <v>-0.1</v>
      </c>
      <c r="CD420" s="34">
        <v>-35.4</v>
      </c>
      <c r="CE420" s="34">
        <v>-25.7</v>
      </c>
      <c r="CF420" s="34">
        <v>47.3</v>
      </c>
      <c r="CG420" s="34">
        <v>26</v>
      </c>
      <c r="CH420" s="34">
        <v>29.5</v>
      </c>
      <c r="CI420" s="34">
        <v>-23.8</v>
      </c>
      <c r="CJ420" s="34">
        <v>-13.6</v>
      </c>
      <c r="CK420" s="34">
        <v>19.399999999999999</v>
      </c>
      <c r="CL420" s="34">
        <v>27</v>
      </c>
      <c r="CM420" s="34">
        <v>4788.5109549999997</v>
      </c>
      <c r="CN420" s="34">
        <v>40347.97</v>
      </c>
      <c r="CO420" s="34">
        <v>5478.2145449999998</v>
      </c>
      <c r="CP420" s="34">
        <v>3.9089999999999998</v>
      </c>
      <c r="CQ420" s="34">
        <v>3.99</v>
      </c>
      <c r="CR420" s="34">
        <v>72.099999999999994</v>
      </c>
      <c r="CS420" s="64">
        <v>53.76</v>
      </c>
      <c r="CT420" s="34">
        <v>99.1</v>
      </c>
      <c r="CU420" s="34">
        <v>105.1</v>
      </c>
      <c r="CV420" s="34">
        <v>99.6</v>
      </c>
      <c r="CW420" s="34">
        <v>92.2</v>
      </c>
      <c r="CX420" s="34">
        <v>99.5</v>
      </c>
      <c r="CY420" s="34">
        <v>13.65</v>
      </c>
      <c r="CZ420" s="34">
        <v>63404.712</v>
      </c>
      <c r="DA420" s="34">
        <v>7.94</v>
      </c>
      <c r="DB420" s="34">
        <v>37.18</v>
      </c>
      <c r="DC420" s="34">
        <v>70.38</v>
      </c>
      <c r="DD420" s="34">
        <v>18.010000000000002</v>
      </c>
      <c r="DE420" s="34">
        <v>19226.735000000001</v>
      </c>
      <c r="DF420" s="34">
        <v>2736.2950000000001</v>
      </c>
      <c r="DG420" s="34">
        <v>627.40800000000002</v>
      </c>
      <c r="DH420" s="34">
        <v>2315.038</v>
      </c>
      <c r="DI420" s="34">
        <v>7002.29</v>
      </c>
      <c r="DJ420" s="34">
        <v>99.923000000000002</v>
      </c>
      <c r="DK420" s="34">
        <v>99.916799999999995</v>
      </c>
      <c r="DL420" s="34">
        <v>99.88</v>
      </c>
      <c r="DM420" s="34">
        <v>99.856300000000005</v>
      </c>
      <c r="DN420" s="34">
        <v>99.653000000000006</v>
      </c>
      <c r="DO420" s="34">
        <v>99.594300000000004</v>
      </c>
      <c r="DP420" s="34">
        <v>99.710999999999999</v>
      </c>
      <c r="DQ420" s="34">
        <v>99.681799999999996</v>
      </c>
      <c r="DR420" s="34">
        <v>164956</v>
      </c>
      <c r="DS420" s="73">
        <v>34943</v>
      </c>
      <c r="DT420" s="73">
        <v>94.7</v>
      </c>
      <c r="DU420" s="56">
        <v>263.42825317382813</v>
      </c>
      <c r="DV420" s="56">
        <v>554.44024658203125</v>
      </c>
      <c r="DW420">
        <v>1668</v>
      </c>
      <c r="DX420">
        <v>246500</v>
      </c>
      <c r="DY420" s="56">
        <v>94.7</v>
      </c>
      <c r="DZ420" s="33" t="s">
        <v>312</v>
      </c>
    </row>
    <row r="421" spans="1:130" s="56" customFormat="1" ht="15.75" customHeight="1" x14ac:dyDescent="0.25">
      <c r="A421" s="1">
        <v>45536</v>
      </c>
      <c r="B421" s="54">
        <v>91.5</v>
      </c>
      <c r="C421" s="55">
        <v>3.6640000000000001</v>
      </c>
      <c r="D421" s="98">
        <v>3.65</v>
      </c>
      <c r="E421" s="54">
        <v>3.56</v>
      </c>
      <c r="F421" s="54">
        <v>2.0099999999999998</v>
      </c>
      <c r="G421" s="54">
        <v>2.0299999999999998</v>
      </c>
      <c r="H421" s="54">
        <v>2.17</v>
      </c>
      <c r="I421" s="54">
        <f t="shared" si="153"/>
        <v>-1.4940000000000002</v>
      </c>
      <c r="J421" s="54">
        <f t="shared" si="154"/>
        <v>-1.48</v>
      </c>
      <c r="K421" s="54">
        <f t="shared" si="155"/>
        <v>-1.3900000000000001</v>
      </c>
      <c r="L421" s="54">
        <f t="shared" si="156"/>
        <v>-1.4000000000000234E-2</v>
      </c>
      <c r="M421" s="54">
        <v>98</v>
      </c>
      <c r="N421" s="54">
        <v>18930.849999999999</v>
      </c>
      <c r="O421" s="54">
        <v>18.84</v>
      </c>
      <c r="P421" s="64">
        <v>2637.4</v>
      </c>
      <c r="Q421" s="54">
        <f t="shared" si="157"/>
        <v>22.388794567062821</v>
      </c>
      <c r="R421" s="54">
        <v>3862.7</v>
      </c>
      <c r="S421" s="54">
        <f t="shared" si="158"/>
        <v>3279.0322580645161</v>
      </c>
      <c r="T421" s="54">
        <v>3948.3</v>
      </c>
      <c r="U421" s="54">
        <f t="shared" si="159"/>
        <v>3351.6977928692704</v>
      </c>
      <c r="V421" s="124">
        <v>269933</v>
      </c>
      <c r="W421" s="124">
        <v>10402405</v>
      </c>
      <c r="X421" s="125">
        <v>15401308</v>
      </c>
      <c r="Y421" s="125">
        <v>1139342</v>
      </c>
      <c r="Z421" s="54">
        <v>84.4</v>
      </c>
      <c r="AA421" s="54">
        <v>89.4</v>
      </c>
      <c r="AB421" s="54">
        <v>90</v>
      </c>
      <c r="AC421" s="54">
        <v>95.4</v>
      </c>
      <c r="AD421" s="54">
        <v>45971</v>
      </c>
      <c r="AE421" s="54">
        <v>6</v>
      </c>
      <c r="AF421" s="54">
        <v>679</v>
      </c>
      <c r="AG421" s="54">
        <v>119.6</v>
      </c>
      <c r="AH421" s="54">
        <v>117.8</v>
      </c>
      <c r="AI421" s="54">
        <v>111.9</v>
      </c>
      <c r="AJ421" s="54">
        <v>113.2</v>
      </c>
      <c r="AK421" s="54">
        <v>249.02535</v>
      </c>
      <c r="AL421" s="54">
        <v>106.1</v>
      </c>
      <c r="AM421" s="54">
        <v>128.77000000000001</v>
      </c>
      <c r="AN421" s="54">
        <v>192.74</v>
      </c>
      <c r="AO421" s="54">
        <v>137.32</v>
      </c>
      <c r="AP421" s="34">
        <v>65.790000000000006</v>
      </c>
      <c r="AQ421" s="54">
        <f t="shared" si="160"/>
        <v>0.58793565683646121</v>
      </c>
      <c r="AR421" s="54">
        <v>83.9</v>
      </c>
      <c r="AS421" s="54">
        <v>86.2</v>
      </c>
      <c r="AT421" s="54">
        <v>81.599999999999994</v>
      </c>
      <c r="AU421" s="54">
        <v>83.7</v>
      </c>
      <c r="AV421" s="54">
        <v>87.8</v>
      </c>
      <c r="AW421" s="54">
        <v>79.8</v>
      </c>
      <c r="AX421" s="54">
        <v>-17.399999999999999</v>
      </c>
      <c r="AY421" s="54">
        <v>-10.7</v>
      </c>
      <c r="AZ421" s="54">
        <v>-27.6</v>
      </c>
      <c r="BA421" s="54">
        <v>-17.899999999999999</v>
      </c>
      <c r="BB421" s="54">
        <v>79.599999999999994</v>
      </c>
      <c r="BC421" s="54">
        <v>80.8</v>
      </c>
      <c r="BD421" s="54">
        <v>78.400000000000006</v>
      </c>
      <c r="BE421" s="54">
        <v>-84.5</v>
      </c>
      <c r="BF421" s="54">
        <v>3.6</v>
      </c>
      <c r="BG421" s="54">
        <v>0.7</v>
      </c>
      <c r="BH421" s="54">
        <v>175.5</v>
      </c>
      <c r="BI421" s="54">
        <v>3.8</v>
      </c>
      <c r="BJ421" s="86">
        <v>40.6</v>
      </c>
      <c r="BK421" s="54">
        <v>14</v>
      </c>
      <c r="BL421" s="54">
        <v>0.14000000000000001</v>
      </c>
      <c r="BM421" s="54">
        <v>99.561199999999999</v>
      </c>
      <c r="BN421" s="54">
        <v>99.624499999999998</v>
      </c>
      <c r="BO421" s="54">
        <v>-38.5</v>
      </c>
      <c r="BP421" s="54">
        <v>-34.4</v>
      </c>
      <c r="BQ421" s="54">
        <v>19</v>
      </c>
      <c r="BR421" s="54">
        <v>-10.5</v>
      </c>
      <c r="BS421" s="54">
        <v>6.9</v>
      </c>
      <c r="BT421" s="54">
        <v>-18.399999999999999</v>
      </c>
      <c r="BU421" s="54">
        <v>-22.7</v>
      </c>
      <c r="BV421" s="54">
        <v>6.6</v>
      </c>
      <c r="BW421" s="54">
        <v>-10.8</v>
      </c>
      <c r="BX421" s="54">
        <v>-23.7</v>
      </c>
      <c r="BY421" s="54">
        <v>-15.2</v>
      </c>
      <c r="BZ421" s="54">
        <v>90.5</v>
      </c>
      <c r="CA421" s="54">
        <v>-10.8</v>
      </c>
      <c r="CB421" s="54">
        <v>-1.8</v>
      </c>
      <c r="CC421" s="54">
        <v>1.3</v>
      </c>
      <c r="CD421" s="54">
        <v>-36.5</v>
      </c>
      <c r="CE421" s="54">
        <v>-26.7</v>
      </c>
      <c r="CF421" s="54">
        <v>39.6</v>
      </c>
      <c r="CG421" s="54">
        <v>25.1</v>
      </c>
      <c r="CH421" s="54">
        <v>30.3</v>
      </c>
      <c r="CI421" s="54">
        <v>-21.9</v>
      </c>
      <c r="CJ421" s="54">
        <v>-16.3</v>
      </c>
      <c r="CK421" s="54">
        <v>19.8</v>
      </c>
      <c r="CL421" s="54">
        <v>27.3</v>
      </c>
      <c r="CM421" s="54">
        <v>4876.9896189999999</v>
      </c>
      <c r="CN421" s="54">
        <v>41563.08</v>
      </c>
      <c r="CO421" s="54">
        <v>5621.2605000000003</v>
      </c>
      <c r="CP421" s="54">
        <v>4.0540000000000003</v>
      </c>
      <c r="CQ421" s="54">
        <v>3.91</v>
      </c>
      <c r="CR421" s="54">
        <v>74.400000000000006</v>
      </c>
      <c r="CS421" s="64">
        <v>54.1</v>
      </c>
      <c r="CT421" s="54">
        <v>98.2</v>
      </c>
      <c r="CU421" s="54">
        <v>107.2</v>
      </c>
      <c r="CV421" s="54">
        <v>100.8</v>
      </c>
      <c r="CW421" s="54">
        <v>97.4</v>
      </c>
      <c r="CX421" s="54">
        <v>98.6</v>
      </c>
      <c r="CY421" s="54">
        <v>14.19</v>
      </c>
      <c r="CZ421" s="54">
        <v>71054.373000000007</v>
      </c>
      <c r="DA421" s="54">
        <v>7.7</v>
      </c>
      <c r="DB421" s="54">
        <v>37.99</v>
      </c>
      <c r="DC421" s="54">
        <v>69.17</v>
      </c>
      <c r="DD421" s="54">
        <v>17.690000000000001</v>
      </c>
      <c r="DE421" s="54">
        <v>18673.463</v>
      </c>
      <c r="DF421" s="54">
        <v>3056.3989999999999</v>
      </c>
      <c r="DG421" s="54">
        <v>656.56399999999996</v>
      </c>
      <c r="DH421" s="54">
        <v>1561.527</v>
      </c>
      <c r="DI421" s="54">
        <v>6863.1570000000002</v>
      </c>
      <c r="DJ421" s="54">
        <v>99.960700000000003</v>
      </c>
      <c r="DK421" s="54">
        <v>99.968699999999998</v>
      </c>
      <c r="DL421" s="54">
        <v>99.94</v>
      </c>
      <c r="DM421" s="54">
        <v>99.932199999999995</v>
      </c>
      <c r="DN421" s="54">
        <v>99.624499999999998</v>
      </c>
      <c r="DO421" s="54">
        <v>99.561199999999999</v>
      </c>
      <c r="DP421" s="54">
        <v>99.816500000000005</v>
      </c>
      <c r="DQ421" s="54">
        <v>99.797899999999998</v>
      </c>
      <c r="DR421" s="54">
        <v>216836</v>
      </c>
      <c r="DS421" s="96">
        <v>34956</v>
      </c>
      <c r="DT421" s="96">
        <v>94</v>
      </c>
      <c r="DU421" s="56">
        <v>345.05093383789063</v>
      </c>
      <c r="DV421" s="56">
        <v>699.76641845703125</v>
      </c>
      <c r="DW421">
        <v>1919</v>
      </c>
      <c r="DX421">
        <v>317800</v>
      </c>
      <c r="DY421" s="56">
        <v>94.6</v>
      </c>
      <c r="DZ421" s="60" t="s">
        <v>312</v>
      </c>
    </row>
    <row r="422" spans="1:130" x14ac:dyDescent="0.25">
      <c r="A422" s="1">
        <v>45566</v>
      </c>
      <c r="B422" s="34">
        <v>91.2</v>
      </c>
      <c r="C422" s="45">
        <v>3.4159999999999999</v>
      </c>
      <c r="D422" s="99">
        <v>3.4</v>
      </c>
      <c r="E422" s="34">
        <v>3.38</v>
      </c>
      <c r="F422" s="34">
        <v>2.0099999999999998</v>
      </c>
      <c r="G422" s="34">
        <v>2.0699999999999998</v>
      </c>
      <c r="H422" s="34">
        <v>2.23</v>
      </c>
      <c r="I422" s="34">
        <f>IF(ISNUMBER(C422),IF(ISNUMBER(H422),H422-C422,""),"")</f>
        <v>-1.1859999999999999</v>
      </c>
      <c r="J422" s="34">
        <f t="shared" si="154"/>
        <v>-1.17</v>
      </c>
      <c r="K422" s="34">
        <f>IF(ISNUMBER(H422),IF(ISNUMBER(E422),H422-E422,""),"")</f>
        <v>-1.1499999999999999</v>
      </c>
      <c r="L422" s="34">
        <f t="shared" si="156"/>
        <v>-1.6000000000000014E-2</v>
      </c>
      <c r="M422" s="34">
        <v>97.9</v>
      </c>
      <c r="N422" s="34">
        <v>19213.14</v>
      </c>
      <c r="O422" s="34">
        <v>19.23</v>
      </c>
      <c r="P422" s="64">
        <v>2651.7</v>
      </c>
      <c r="Q422" s="34">
        <f t="shared" si="157"/>
        <v>22.434010152284262</v>
      </c>
      <c r="R422" s="34">
        <v>3861.8</v>
      </c>
      <c r="S422" s="34">
        <f t="shared" si="158"/>
        <v>3267.1742808798649</v>
      </c>
      <c r="T422" s="34">
        <v>3943</v>
      </c>
      <c r="U422" s="34">
        <f t="shared" si="159"/>
        <v>3335.8714043993232</v>
      </c>
      <c r="V422" s="119">
        <v>270646</v>
      </c>
      <c r="W422" s="119">
        <v>10450233</v>
      </c>
      <c r="X422" s="119">
        <v>15430632</v>
      </c>
      <c r="Y422" s="119">
        <v>1151810</v>
      </c>
      <c r="Z422" s="34">
        <v>84.8</v>
      </c>
      <c r="AA422" s="34">
        <v>88.4</v>
      </c>
      <c r="AB422" s="34">
        <v>94.1</v>
      </c>
      <c r="AC422" s="34">
        <v>93.2</v>
      </c>
      <c r="AD422" s="34">
        <v>45985</v>
      </c>
      <c r="AE422" s="34">
        <v>6.1</v>
      </c>
      <c r="AF422" s="34">
        <v>678</v>
      </c>
      <c r="AG422" s="34">
        <v>120.1</v>
      </c>
      <c r="AH422" s="34">
        <v>118.2</v>
      </c>
      <c r="AI422" s="34">
        <v>112.7</v>
      </c>
      <c r="AJ422" s="34">
        <v>113.6</v>
      </c>
      <c r="AK422" s="34">
        <v>249.415978</v>
      </c>
      <c r="AL422" s="34">
        <v>106.3</v>
      </c>
      <c r="AM422" s="34">
        <v>134.19</v>
      </c>
      <c r="AN422" s="34">
        <v>201.42</v>
      </c>
      <c r="AO422" s="34">
        <v>141.44999999999999</v>
      </c>
      <c r="AP422" s="34">
        <v>69.069999999999993</v>
      </c>
      <c r="AQ422" s="34">
        <f t="shared" si="160"/>
        <v>0.61286601597160595</v>
      </c>
      <c r="AR422" s="34">
        <v>84</v>
      </c>
      <c r="AS422" s="34">
        <v>87.3</v>
      </c>
      <c r="AT422" s="34">
        <v>80.8</v>
      </c>
      <c r="AU422" s="34">
        <v>83.9</v>
      </c>
      <c r="AV422" s="34">
        <v>90</v>
      </c>
      <c r="AW422" s="34">
        <v>78.2</v>
      </c>
      <c r="AX422" s="34">
        <v>-17.600000000000001</v>
      </c>
      <c r="AY422" s="34">
        <v>-8.5</v>
      </c>
      <c r="AZ422" s="34">
        <v>-25.5</v>
      </c>
      <c r="BA422" s="34">
        <v>-12.8</v>
      </c>
      <c r="BB422" s="34">
        <v>80.099999999999994</v>
      </c>
      <c r="BC422" s="34">
        <v>82.2</v>
      </c>
      <c r="BD422" s="34">
        <v>78</v>
      </c>
      <c r="BE422" s="34">
        <v>-86.9</v>
      </c>
      <c r="BF422" s="34">
        <v>13.1</v>
      </c>
      <c r="BG422" s="34">
        <v>0.2</v>
      </c>
      <c r="BH422" s="34">
        <v>179.6</v>
      </c>
      <c r="BI422" s="34">
        <v>9.9</v>
      </c>
      <c r="BJ422" s="86">
        <v>43</v>
      </c>
      <c r="BK422" s="54">
        <v>19</v>
      </c>
      <c r="BL422" s="34">
        <v>0.18</v>
      </c>
      <c r="BM422" s="34">
        <v>99.531099999999995</v>
      </c>
      <c r="BN422" s="34">
        <v>99.598600000000005</v>
      </c>
      <c r="BO422" s="34">
        <v>-40.9</v>
      </c>
      <c r="BP422" s="34">
        <v>-35.200000000000003</v>
      </c>
      <c r="BQ422" s="34">
        <v>19.600000000000001</v>
      </c>
      <c r="BR422" s="34">
        <v>-9.6</v>
      </c>
      <c r="BS422" s="34">
        <v>8.1</v>
      </c>
      <c r="BT422" s="34">
        <v>-20.6</v>
      </c>
      <c r="BU422" s="34">
        <v>-23.4</v>
      </c>
      <c r="BV422" s="34">
        <v>6.4</v>
      </c>
      <c r="BW422" s="34">
        <v>-8.9</v>
      </c>
      <c r="BX422" s="34">
        <v>-23.5</v>
      </c>
      <c r="BY422" s="34">
        <v>-15.7</v>
      </c>
      <c r="BZ422" s="34">
        <v>90.9</v>
      </c>
      <c r="CA422" s="34">
        <v>-8.9</v>
      </c>
      <c r="CB422" s="34">
        <v>1.3</v>
      </c>
      <c r="CC422" s="34">
        <v>2.5</v>
      </c>
      <c r="CD422" s="34">
        <v>-35.9</v>
      </c>
      <c r="CE422" s="34">
        <v>-26.2</v>
      </c>
      <c r="CF422" s="34">
        <v>39.1</v>
      </c>
      <c r="CG422" s="34">
        <v>27</v>
      </c>
      <c r="CH422" s="34">
        <v>31.4</v>
      </c>
      <c r="CI422" s="34">
        <v>-21.2</v>
      </c>
      <c r="CJ422" s="34">
        <v>-13</v>
      </c>
      <c r="CK422" s="34">
        <v>21.2</v>
      </c>
      <c r="CL422" s="34">
        <v>26.3</v>
      </c>
      <c r="CM422" s="34">
        <v>4948.4404350000004</v>
      </c>
      <c r="CN422" s="34">
        <v>42156.97</v>
      </c>
      <c r="CO422" s="34">
        <v>5792.3195649999998</v>
      </c>
      <c r="CP422" s="34">
        <v>3.94</v>
      </c>
      <c r="CQ422" s="34">
        <v>3.74</v>
      </c>
      <c r="CR422" s="34">
        <v>74.099999999999994</v>
      </c>
      <c r="CS422" s="64">
        <v>50.74</v>
      </c>
      <c r="CT422" s="34">
        <v>93.9</v>
      </c>
      <c r="CU422" s="34">
        <v>100.7</v>
      </c>
      <c r="CV422" s="34">
        <v>98.8</v>
      </c>
      <c r="CW422" s="34">
        <v>93.9</v>
      </c>
      <c r="CX422" s="34">
        <v>96.5</v>
      </c>
      <c r="CY422" s="34">
        <v>12.27</v>
      </c>
      <c r="CZ422" s="34">
        <v>73974.175000000003</v>
      </c>
      <c r="DA422" s="34">
        <v>7.51</v>
      </c>
      <c r="DB422" s="34">
        <v>38.18</v>
      </c>
      <c r="DC422" s="34">
        <v>69.709999999999994</v>
      </c>
      <c r="DD422" s="34">
        <v>17.47</v>
      </c>
      <c r="DE422" s="34">
        <v>19278.312999999998</v>
      </c>
      <c r="DF422" s="34">
        <v>3030.23</v>
      </c>
      <c r="DG422" s="34">
        <v>627.37300000000005</v>
      </c>
      <c r="DH422" s="34">
        <v>1864.2449999999999</v>
      </c>
      <c r="DI422" s="34">
        <v>7140.04</v>
      </c>
      <c r="DJ422" s="34">
        <v>100.0253</v>
      </c>
      <c r="DK422" s="34">
        <v>100.053</v>
      </c>
      <c r="DL422" s="34">
        <v>100.06</v>
      </c>
      <c r="DM422" s="34">
        <v>100.0796</v>
      </c>
      <c r="DN422" s="34">
        <v>99.598600000000005</v>
      </c>
      <c r="DO422" s="34">
        <v>99.531099999999995</v>
      </c>
      <c r="DP422" s="34">
        <v>99.944500000000005</v>
      </c>
      <c r="DQ422" s="34">
        <v>99.938699999999997</v>
      </c>
      <c r="DR422" s="34">
        <v>259176</v>
      </c>
      <c r="DS422" s="73">
        <v>34969</v>
      </c>
      <c r="DT422" s="73">
        <v>93.7</v>
      </c>
      <c r="DU422" s="56">
        <v>392.0771484375</v>
      </c>
      <c r="DV422" s="56">
        <v>871.0198974609375</v>
      </c>
      <c r="DW422">
        <v>2030</v>
      </c>
      <c r="DX422">
        <v>300275</v>
      </c>
      <c r="DY422" s="56">
        <v>95.5</v>
      </c>
      <c r="DZ422" s="33" t="s">
        <v>312</v>
      </c>
    </row>
    <row r="423" spans="1:130" x14ac:dyDescent="0.25">
      <c r="A423" s="1">
        <v>45597</v>
      </c>
      <c r="B423" s="34">
        <v>92.2</v>
      </c>
      <c r="C423" s="45">
        <v>3.1629999999999998</v>
      </c>
      <c r="D423" s="99">
        <v>3.4</v>
      </c>
      <c r="E423" s="34">
        <v>3.2</v>
      </c>
      <c r="F423" s="34">
        <v>2.06</v>
      </c>
      <c r="G423" s="34">
        <v>2.14</v>
      </c>
      <c r="H423" s="34">
        <v>2.31</v>
      </c>
      <c r="I423" s="34">
        <f t="shared" si="153"/>
        <v>-0.85299999999999976</v>
      </c>
      <c r="J423" s="34">
        <f t="shared" si="154"/>
        <v>-1.0899999999999999</v>
      </c>
      <c r="K423" s="34">
        <f t="shared" si="155"/>
        <v>-0.89000000000000012</v>
      </c>
      <c r="L423" s="34">
        <f t="shared" si="156"/>
        <v>0.2370000000000001</v>
      </c>
      <c r="M423" s="34">
        <v>97.2</v>
      </c>
      <c r="N423" s="34">
        <v>19254.97</v>
      </c>
      <c r="O423" s="34">
        <v>14.86</v>
      </c>
      <c r="P423" s="64">
        <v>2681.3</v>
      </c>
      <c r="Q423" s="34">
        <f t="shared" si="157"/>
        <v>22.646114864864867</v>
      </c>
      <c r="R423" s="34">
        <v>3893.8</v>
      </c>
      <c r="S423" s="34">
        <f t="shared" si="158"/>
        <v>3288.6824324324325</v>
      </c>
      <c r="T423" s="34">
        <v>3974</v>
      </c>
      <c r="U423" s="34">
        <f t="shared" si="159"/>
        <v>3356.4189189189187</v>
      </c>
      <c r="V423" s="118">
        <v>270493</v>
      </c>
      <c r="W423" s="118">
        <v>10536688</v>
      </c>
      <c r="X423" s="119">
        <v>15531292</v>
      </c>
      <c r="Y423" s="119">
        <v>1151802</v>
      </c>
      <c r="Z423" s="34">
        <v>85.1</v>
      </c>
      <c r="AA423" s="34">
        <v>84.1</v>
      </c>
      <c r="AB423" s="34">
        <v>88.1</v>
      </c>
      <c r="AC423" s="34">
        <v>85.2</v>
      </c>
      <c r="AD423" s="34">
        <v>45999</v>
      </c>
      <c r="AE423" s="34">
        <v>6.1</v>
      </c>
      <c r="AF423" s="34">
        <v>667</v>
      </c>
      <c r="AG423" s="34">
        <v>120.2</v>
      </c>
      <c r="AH423" s="34">
        <v>118.4</v>
      </c>
      <c r="AI423" s="34">
        <v>113.7</v>
      </c>
      <c r="AJ423" s="34">
        <v>114.1</v>
      </c>
      <c r="AK423" s="34">
        <v>250.783176</v>
      </c>
      <c r="AL423" s="34">
        <v>163.5</v>
      </c>
      <c r="AM423" s="34">
        <v>130.75</v>
      </c>
      <c r="AN423" s="34">
        <v>204.32</v>
      </c>
      <c r="AO423" s="34">
        <v>142.71</v>
      </c>
      <c r="AP423" s="34">
        <v>69.180000000000007</v>
      </c>
      <c r="AQ423" s="34">
        <f t="shared" si="160"/>
        <v>0.6084432717678101</v>
      </c>
      <c r="AR423" s="34">
        <v>83.9</v>
      </c>
      <c r="AS423" s="34">
        <v>86.9</v>
      </c>
      <c r="AT423" s="34">
        <v>81</v>
      </c>
      <c r="AU423" s="34">
        <v>83.3</v>
      </c>
      <c r="AV423" s="34">
        <v>88.7</v>
      </c>
      <c r="AW423" s="34">
        <v>78.400000000000006</v>
      </c>
      <c r="AX423" s="34">
        <v>-20.399999999999999</v>
      </c>
      <c r="AY423" s="34">
        <v>-2.1</v>
      </c>
      <c r="AZ423" s="34">
        <v>-28.4</v>
      </c>
      <c r="BA423" s="34">
        <v>-17.399999999999999</v>
      </c>
      <c r="BB423" s="34">
        <v>81.099999999999994</v>
      </c>
      <c r="BC423" s="34">
        <v>83.4</v>
      </c>
      <c r="BD423" s="34">
        <v>78.900000000000006</v>
      </c>
      <c r="BE423" s="34">
        <v>-91.4</v>
      </c>
      <c r="BF423" s="34">
        <v>7.4</v>
      </c>
      <c r="BG423" s="34">
        <v>-3.6</v>
      </c>
      <c r="BH423" s="34">
        <v>177.8</v>
      </c>
      <c r="BI423" s="34">
        <v>8.5</v>
      </c>
      <c r="BJ423" s="86">
        <v>43</v>
      </c>
      <c r="BK423" s="54">
        <v>29</v>
      </c>
      <c r="BL423" s="34">
        <v>0.23</v>
      </c>
      <c r="BM423" s="34">
        <v>99.512100000000004</v>
      </c>
      <c r="BN423" s="34">
        <v>99.582300000000004</v>
      </c>
      <c r="BO423" s="34">
        <v>-38.6</v>
      </c>
      <c r="BP423" s="34">
        <v>-36.9</v>
      </c>
      <c r="BQ423" s="34">
        <v>21.3</v>
      </c>
      <c r="BR423" s="34">
        <v>-8.1</v>
      </c>
      <c r="BS423" s="34">
        <v>6.3</v>
      </c>
      <c r="BT423" s="34">
        <v>-19.399999999999999</v>
      </c>
      <c r="BU423" s="34">
        <v>-22.7</v>
      </c>
      <c r="BV423" s="34">
        <v>3.3</v>
      </c>
      <c r="BW423" s="34">
        <v>-10.7</v>
      </c>
      <c r="BX423" s="34">
        <v>-19.7</v>
      </c>
      <c r="BY423" s="34">
        <v>-17.100000000000001</v>
      </c>
      <c r="BZ423" s="34">
        <v>89.4</v>
      </c>
      <c r="CA423" s="34">
        <v>-10.7</v>
      </c>
      <c r="CB423" s="34">
        <v>-1.2</v>
      </c>
      <c r="CC423" s="34">
        <v>-0.7</v>
      </c>
      <c r="CD423" s="34">
        <v>-39.799999999999997</v>
      </c>
      <c r="CE423" s="34">
        <v>-28.1</v>
      </c>
      <c r="CF423" s="34">
        <v>42.6</v>
      </c>
      <c r="CG423" s="34">
        <v>31.1</v>
      </c>
      <c r="CH423" s="34">
        <v>33.200000000000003</v>
      </c>
      <c r="CI423" s="34">
        <v>-21.8</v>
      </c>
      <c r="CJ423" s="34">
        <v>-12.9</v>
      </c>
      <c r="CK423" s="34">
        <v>20</v>
      </c>
      <c r="CL423" s="34">
        <v>27.9</v>
      </c>
      <c r="CM423" s="34">
        <v>4795.1057620000001</v>
      </c>
      <c r="CN423" s="34">
        <v>42052.19</v>
      </c>
      <c r="CO423" s="34">
        <v>5929.9160000000002</v>
      </c>
      <c r="CP423" s="34">
        <v>4.444</v>
      </c>
      <c r="CQ423" s="34">
        <v>4.37</v>
      </c>
      <c r="CR423" s="34">
        <v>76.900000000000006</v>
      </c>
      <c r="CS423" s="64">
        <v>49.86</v>
      </c>
      <c r="CT423" s="34">
        <v>96.6</v>
      </c>
      <c r="CU423" s="34">
        <v>102.5</v>
      </c>
      <c r="CV423" s="34">
        <v>98.9</v>
      </c>
      <c r="CW423" s="34">
        <v>96.3</v>
      </c>
      <c r="CX423" s="34">
        <v>95</v>
      </c>
      <c r="CY423" s="34">
        <v>14</v>
      </c>
      <c r="CZ423" s="34">
        <v>71270.731</v>
      </c>
      <c r="DA423" s="34">
        <v>7.35</v>
      </c>
      <c r="DB423" s="34">
        <v>37.01</v>
      </c>
      <c r="DC423" s="34">
        <v>69.510000000000005</v>
      </c>
      <c r="DD423" s="34">
        <v>18.14</v>
      </c>
      <c r="DE423" s="34">
        <v>19822.652999999998</v>
      </c>
      <c r="DF423" s="34">
        <v>3141.61</v>
      </c>
      <c r="DG423" s="34">
        <v>782.226</v>
      </c>
      <c r="DH423" s="34">
        <v>2531.4409999999998</v>
      </c>
      <c r="DI423" s="34">
        <v>6670.8879999999999</v>
      </c>
      <c r="DJ423" s="34">
        <v>100.0932</v>
      </c>
      <c r="DK423" s="34">
        <v>100.1399</v>
      </c>
      <c r="DL423" s="34">
        <v>100.19</v>
      </c>
      <c r="DM423" s="34">
        <v>100.23860000000001</v>
      </c>
      <c r="DN423" s="34">
        <v>99.582300000000004</v>
      </c>
      <c r="DO423" s="34">
        <v>99.512100000000004</v>
      </c>
      <c r="DP423" s="34">
        <v>100.07210000000001</v>
      </c>
      <c r="DQ423" s="34">
        <v>100.07899999999999</v>
      </c>
      <c r="DR423" s="34">
        <v>265616</v>
      </c>
      <c r="DS423" s="73">
        <v>34969</v>
      </c>
      <c r="DT423" s="73">
        <v>93.4</v>
      </c>
      <c r="DU423" s="56">
        <v>479.98873901367188</v>
      </c>
      <c r="DV423" s="56">
        <v>1095.932861328125</v>
      </c>
      <c r="DW423">
        <v>1378</v>
      </c>
      <c r="DX423">
        <v>273850</v>
      </c>
      <c r="DY423" s="56">
        <v>95.1</v>
      </c>
      <c r="DZ423" s="33" t="s">
        <v>312</v>
      </c>
    </row>
    <row r="424" spans="1:130" s="56" customFormat="1" x14ac:dyDescent="0.25">
      <c r="A424" s="1">
        <v>45627</v>
      </c>
      <c r="B424" s="54">
        <v>90.9</v>
      </c>
      <c r="C424" s="55">
        <v>3.165</v>
      </c>
      <c r="D424" s="98">
        <v>3.15</v>
      </c>
      <c r="E424" s="54">
        <v>3</v>
      </c>
      <c r="F424" s="54">
        <v>1.95</v>
      </c>
      <c r="G424" s="54">
        <v>2.0099999999999998</v>
      </c>
      <c r="H424" s="54">
        <v>2.1800000000000002</v>
      </c>
      <c r="I424" s="54">
        <f t="shared" si="153"/>
        <v>-0.98499999999999988</v>
      </c>
      <c r="J424" s="54">
        <f t="shared" si="154"/>
        <v>-0.96999999999999975</v>
      </c>
      <c r="K424" s="54">
        <f t="shared" si="155"/>
        <v>-0.81999999999999984</v>
      </c>
      <c r="L424" s="54">
        <f t="shared" si="156"/>
        <v>-1.5000000000000124E-2</v>
      </c>
      <c r="M424" s="54">
        <v>97</v>
      </c>
      <c r="N424" s="54">
        <v>19933.62</v>
      </c>
      <c r="O424" s="54">
        <v>15.64</v>
      </c>
      <c r="P424" s="126">
        <v>2708.5</v>
      </c>
      <c r="Q424" s="54">
        <f t="shared" si="157"/>
        <v>22.779646761984861</v>
      </c>
      <c r="R424" s="54">
        <v>3908.2</v>
      </c>
      <c r="S424" s="54">
        <f t="shared" si="158"/>
        <v>3286.9638351555927</v>
      </c>
      <c r="T424" s="54">
        <v>3986.8</v>
      </c>
      <c r="U424" s="54">
        <f t="shared" si="159"/>
        <v>3353.0698065601341</v>
      </c>
      <c r="V424" s="124">
        <v>279570</v>
      </c>
      <c r="W424" s="124">
        <v>10603339</v>
      </c>
      <c r="X424" s="125">
        <v>15604185</v>
      </c>
      <c r="Y424" s="125">
        <v>1172183</v>
      </c>
      <c r="Z424" s="54">
        <v>83.4</v>
      </c>
      <c r="AA424" s="54">
        <v>89</v>
      </c>
      <c r="AB424" s="54">
        <v>93.5</v>
      </c>
      <c r="AC424" s="54">
        <v>93.6</v>
      </c>
      <c r="AD424" s="54">
        <v>46010</v>
      </c>
      <c r="AE424" s="54">
        <v>6.1</v>
      </c>
      <c r="AF424" s="54">
        <v>667</v>
      </c>
      <c r="AG424" s="54">
        <v>120.7</v>
      </c>
      <c r="AH424" s="54">
        <v>118.9</v>
      </c>
      <c r="AI424" s="54">
        <v>114.1</v>
      </c>
      <c r="AJ424" s="54">
        <v>114.6</v>
      </c>
      <c r="AK424" s="54">
        <v>250.587862</v>
      </c>
      <c r="AL424" s="54">
        <v>109</v>
      </c>
      <c r="AM424" s="54">
        <v>129.28</v>
      </c>
      <c r="AN424" s="54">
        <v>205.48</v>
      </c>
      <c r="AO424" s="54">
        <v>148.11000000000001</v>
      </c>
      <c r="AP424" s="34">
        <v>69.989999999999995</v>
      </c>
      <c r="AQ424" s="54">
        <f t="shared" si="160"/>
        <v>0.61340929009640666</v>
      </c>
      <c r="AR424" s="54">
        <v>83</v>
      </c>
      <c r="AS424" s="54">
        <v>85.2</v>
      </c>
      <c r="AT424" s="54">
        <v>80.900000000000006</v>
      </c>
      <c r="AU424" s="54">
        <v>82.2</v>
      </c>
      <c r="AV424" s="54">
        <v>87</v>
      </c>
      <c r="AW424" s="54">
        <v>77.599999999999994</v>
      </c>
      <c r="AX424" s="54">
        <v>-22</v>
      </c>
      <c r="AY424" s="54">
        <v>-21.5</v>
      </c>
      <c r="AZ424" s="54">
        <v>-30.3</v>
      </c>
      <c r="BA424" s="54">
        <v>-19.100000000000001</v>
      </c>
      <c r="BB424" s="54">
        <v>78.7</v>
      </c>
      <c r="BC424" s="54">
        <v>80.5</v>
      </c>
      <c r="BD424" s="54">
        <v>77</v>
      </c>
      <c r="BE424" s="54">
        <v>-93.1</v>
      </c>
      <c r="BF424" s="54">
        <v>15.7</v>
      </c>
      <c r="BG424" s="54">
        <v>0.3</v>
      </c>
      <c r="BH424" s="54">
        <v>177.1</v>
      </c>
      <c r="BI424" s="54">
        <v>23.7</v>
      </c>
      <c r="BJ424" s="86">
        <v>42.5</v>
      </c>
      <c r="BK424" s="54">
        <v>33</v>
      </c>
      <c r="BL424" s="54">
        <v>0.33</v>
      </c>
      <c r="BM424" s="54">
        <v>99.528599999999997</v>
      </c>
      <c r="BN424" s="54">
        <v>99.596500000000006</v>
      </c>
      <c r="BO424" s="54">
        <v>-44.5</v>
      </c>
      <c r="BP424" s="54">
        <v>-39.700000000000003</v>
      </c>
      <c r="BQ424" s="54">
        <v>24.3</v>
      </c>
      <c r="BR424" s="54">
        <v>-17.100000000000001</v>
      </c>
      <c r="BS424" s="54">
        <v>8.1</v>
      </c>
      <c r="BT424" s="54">
        <v>-20.9</v>
      </c>
      <c r="BU424" s="54">
        <v>-28.6</v>
      </c>
      <c r="BV424" s="54">
        <v>2.9</v>
      </c>
      <c r="BW424" s="54">
        <v>-10.199999999999999</v>
      </c>
      <c r="BX424" s="54">
        <v>-20.3</v>
      </c>
      <c r="BY424" s="54">
        <v>-14.6</v>
      </c>
      <c r="BZ424" s="54">
        <v>86.9</v>
      </c>
      <c r="CA424" s="54">
        <v>-10.199999999999999</v>
      </c>
      <c r="CB424" s="54">
        <v>-0.3</v>
      </c>
      <c r="CC424" s="54">
        <v>-0.1</v>
      </c>
      <c r="CD424" s="54">
        <v>-40.700000000000003</v>
      </c>
      <c r="CE424" s="54">
        <v>-26.3</v>
      </c>
      <c r="CF424" s="54">
        <v>45.7</v>
      </c>
      <c r="CG424" s="54">
        <v>32.1</v>
      </c>
      <c r="CH424" s="54">
        <v>33.6</v>
      </c>
      <c r="CI424" s="54">
        <v>-21</v>
      </c>
      <c r="CJ424" s="54">
        <v>-14.1</v>
      </c>
      <c r="CK424" s="54">
        <v>20.399999999999999</v>
      </c>
      <c r="CL424" s="54">
        <v>27.6</v>
      </c>
      <c r="CM424" s="54">
        <v>4918.3386</v>
      </c>
      <c r="CN424" s="54">
        <v>44782</v>
      </c>
      <c r="CO424" s="54">
        <v>6012.2327269999996</v>
      </c>
      <c r="CP424" s="54">
        <v>4.21</v>
      </c>
      <c r="CQ424" s="54">
        <v>4.1900000000000004</v>
      </c>
      <c r="CR424" s="54">
        <v>73.3</v>
      </c>
      <c r="CS424" s="64">
        <v>47.08</v>
      </c>
      <c r="CT424" s="54">
        <v>93</v>
      </c>
      <c r="CU424" s="54">
        <v>103.4</v>
      </c>
      <c r="CV424" s="54">
        <v>99.3</v>
      </c>
      <c r="CW424" s="54">
        <v>97.8</v>
      </c>
      <c r="CX424" s="54">
        <v>91.8</v>
      </c>
      <c r="CY424" s="54">
        <v>13.51</v>
      </c>
      <c r="CZ424" s="54">
        <v>59461.142</v>
      </c>
      <c r="DA424" s="54">
        <v>7.43</v>
      </c>
      <c r="DB424" s="54">
        <v>36.1</v>
      </c>
      <c r="DC424" s="54">
        <v>70.23</v>
      </c>
      <c r="DD424" s="54">
        <v>18.28</v>
      </c>
      <c r="DE424" s="54">
        <v>17990.627</v>
      </c>
      <c r="DF424" s="54">
        <v>3032.6260000000002</v>
      </c>
      <c r="DG424" s="54">
        <v>425.89699999999999</v>
      </c>
      <c r="DH424" s="54">
        <v>1444.798</v>
      </c>
      <c r="DI424" s="54">
        <v>6047.1790000000001</v>
      </c>
      <c r="DJ424" s="54">
        <v>100.1464</v>
      </c>
      <c r="DK424" s="54">
        <v>100.2068</v>
      </c>
      <c r="DL424" s="54">
        <v>100.28</v>
      </c>
      <c r="DM424" s="54">
        <v>100.3608</v>
      </c>
      <c r="DN424" s="54">
        <v>99.596500000000006</v>
      </c>
      <c r="DO424" s="54">
        <v>99.528599999999997</v>
      </c>
      <c r="DP424" s="54">
        <v>100.16630000000001</v>
      </c>
      <c r="DQ424" s="54">
        <v>100.18259999999999</v>
      </c>
      <c r="DR424" s="54">
        <v>211157</v>
      </c>
      <c r="DS424" s="96">
        <v>34983</v>
      </c>
      <c r="DT424" s="96">
        <v>92.6</v>
      </c>
      <c r="DU424" s="56">
        <v>484.415283203125</v>
      </c>
      <c r="DV424" s="56">
        <v>984.36602783203125</v>
      </c>
      <c r="DW424">
        <v>1298</v>
      </c>
      <c r="DX424">
        <v>268625</v>
      </c>
      <c r="DY424" s="56">
        <v>95.4</v>
      </c>
      <c r="DZ424" s="60" t="s">
        <v>312</v>
      </c>
    </row>
    <row r="425" spans="1:130" x14ac:dyDescent="0.25">
      <c r="A425" s="1">
        <v>45658</v>
      </c>
      <c r="B425" s="34">
        <v>92.1</v>
      </c>
      <c r="C425" s="45">
        <v>2.9049999999999998</v>
      </c>
      <c r="D425" s="99">
        <v>3.15</v>
      </c>
      <c r="E425" s="34">
        <v>2.85</v>
      </c>
      <c r="F425" s="34">
        <v>2.23</v>
      </c>
      <c r="G425" s="34">
        <v>2.31</v>
      </c>
      <c r="H425" s="34">
        <v>2.48</v>
      </c>
      <c r="I425" s="34">
        <f t="shared" ref="I425:I426" si="161">IF(ISNUMBER(C425),IF(ISNUMBER(H425),H425-C425,""),"")</f>
        <v>-0.42499999999999982</v>
      </c>
      <c r="J425" s="34">
        <f t="shared" ref="J425:J426" si="162">IF(ISNUMBER(D425),IF(ISNUMBER(H425),H425-D425,""),"")</f>
        <v>-0.66999999999999993</v>
      </c>
      <c r="K425" s="34">
        <f t="shared" ref="K425:K426" si="163">IF(ISNUMBER(H425),IF(ISNUMBER(E425),H425-E425,""),"")</f>
        <v>-0.37000000000000011</v>
      </c>
      <c r="L425" s="34">
        <f t="shared" ref="L425:L426" si="164">IF(ISNUMBER(D425),IF(ISNUMBER(C425),D425-C425,""),"")</f>
        <v>0.24500000000000011</v>
      </c>
      <c r="M425" s="34">
        <v>96.7</v>
      </c>
      <c r="N425" s="34">
        <v>19909.14</v>
      </c>
      <c r="O425" s="34">
        <v>17.239999999999998</v>
      </c>
      <c r="P425" s="64">
        <v>2699.9</v>
      </c>
      <c r="Q425" s="34">
        <f t="shared" ref="Q425:Q426" si="165">IF(ISNUMBER(P425),IF(ISNUMBER(AH425),P425/AH425,"NA"),"")</f>
        <v>22.707317073170731</v>
      </c>
      <c r="R425" s="34">
        <v>3885.9</v>
      </c>
      <c r="S425" s="34">
        <f t="shared" ref="S425:S426" si="166">IF(ISNUMBER(R425),IF(ISNUMBER(AH425),R425/AH425*100,""),"")</f>
        <v>3268.2085786375105</v>
      </c>
      <c r="T425" s="34">
        <v>3969.8</v>
      </c>
      <c r="U425" s="34">
        <f t="shared" ref="U425:U426" si="167">IF(ISNUMBER(T425),IF(ISNUMBER(AH425),T425/AH425*100,""),"")</f>
        <v>3338.7720773759461</v>
      </c>
      <c r="V425" s="119">
        <v>278538</v>
      </c>
      <c r="W425" s="119">
        <v>10594800</v>
      </c>
      <c r="X425" s="119">
        <v>15582323</v>
      </c>
      <c r="Y425" s="119">
        <v>1186160</v>
      </c>
      <c r="Z425" s="34">
        <v>84.9</v>
      </c>
      <c r="AA425" s="34">
        <v>84.1</v>
      </c>
      <c r="AB425" s="34">
        <v>94.7</v>
      </c>
      <c r="AC425" s="34">
        <v>84.3</v>
      </c>
      <c r="AD425" s="34">
        <v>46008</v>
      </c>
      <c r="AE425" s="34">
        <v>6.2</v>
      </c>
      <c r="AF425" s="34">
        <v>659</v>
      </c>
      <c r="AG425" s="34">
        <v>120.8</v>
      </c>
      <c r="AH425" s="34">
        <v>118.9</v>
      </c>
      <c r="AI425" s="34">
        <v>115.2</v>
      </c>
      <c r="AJ425" s="34">
        <v>115</v>
      </c>
      <c r="AK425" s="34">
        <v>250.39254800000001</v>
      </c>
      <c r="AL425" s="34">
        <v>107.1</v>
      </c>
      <c r="AM425" s="34">
        <v>127.96</v>
      </c>
      <c r="AN425" s="34">
        <v>218.54</v>
      </c>
      <c r="AO425" s="34">
        <v>148.94</v>
      </c>
      <c r="AP425" s="34">
        <v>75.5</v>
      </c>
      <c r="AQ425" s="34">
        <f t="shared" si="160"/>
        <v>0.65538194444444442</v>
      </c>
      <c r="AR425" s="34">
        <v>82.8</v>
      </c>
      <c r="AS425" s="34">
        <v>83.8</v>
      </c>
      <c r="AT425" s="34">
        <v>81.7</v>
      </c>
      <c r="AU425" s="34">
        <v>82</v>
      </c>
      <c r="AV425" s="34">
        <v>85.6</v>
      </c>
      <c r="AW425" s="34">
        <v>78.599999999999994</v>
      </c>
      <c r="AX425" s="34">
        <v>-24.1</v>
      </c>
      <c r="AY425" s="34">
        <v>-4</v>
      </c>
      <c r="AZ425" s="34">
        <v>-27.9</v>
      </c>
      <c r="BA425" s="34">
        <v>-19.8</v>
      </c>
      <c r="BB425" s="34">
        <v>79.900000000000006</v>
      </c>
      <c r="BC425" s="34">
        <v>80.599999999999994</v>
      </c>
      <c r="BD425" s="34">
        <v>79.3</v>
      </c>
      <c r="BE425" s="34">
        <v>-90.4</v>
      </c>
      <c r="BF425" s="34">
        <v>10.3</v>
      </c>
      <c r="BG425" s="34">
        <v>-1.6</v>
      </c>
      <c r="BH425" s="34">
        <v>178.4</v>
      </c>
      <c r="BI425" s="34">
        <v>45.6</v>
      </c>
      <c r="BJ425" s="86">
        <v>45</v>
      </c>
      <c r="BK425" s="54">
        <v>45</v>
      </c>
      <c r="BL425" s="34">
        <v>0.39</v>
      </c>
      <c r="BM425" s="34">
        <v>99.603300000000004</v>
      </c>
      <c r="BN425" s="34">
        <v>99.660700000000006</v>
      </c>
      <c r="BO425" s="34">
        <v>-44.8</v>
      </c>
      <c r="BP425" s="34">
        <v>-38.5</v>
      </c>
      <c r="BQ425" s="34">
        <v>20.6</v>
      </c>
      <c r="BR425" s="34">
        <v>-10.9</v>
      </c>
      <c r="BS425" s="34">
        <v>7.6</v>
      </c>
      <c r="BT425" s="34">
        <v>-19.399999999999999</v>
      </c>
      <c r="BU425" s="34">
        <v>-25.4</v>
      </c>
      <c r="BV425" s="34">
        <v>4.2</v>
      </c>
      <c r="BW425" s="34">
        <v>-11.3</v>
      </c>
      <c r="BX425" s="34">
        <v>-23.7</v>
      </c>
      <c r="BY425" s="34">
        <v>-15.3</v>
      </c>
      <c r="BZ425" s="34">
        <v>88.4</v>
      </c>
      <c r="CA425" s="34">
        <v>-11.3</v>
      </c>
      <c r="CB425" s="34">
        <v>-1.9</v>
      </c>
      <c r="CC425" s="34">
        <v>-0.7</v>
      </c>
      <c r="CD425" s="34">
        <v>-42.3</v>
      </c>
      <c r="CE425" s="34">
        <v>-26.9</v>
      </c>
      <c r="CF425" s="34">
        <v>46.8</v>
      </c>
      <c r="CG425" s="34">
        <v>33.799999999999997</v>
      </c>
      <c r="CH425" s="34">
        <v>33</v>
      </c>
      <c r="CI425" s="34">
        <v>-25.8</v>
      </c>
      <c r="CJ425" s="34">
        <v>-16</v>
      </c>
      <c r="CK425" s="34">
        <v>23.3</v>
      </c>
      <c r="CL425" s="34">
        <v>29.6</v>
      </c>
      <c r="CM425" s="34">
        <v>5098.1174090000004</v>
      </c>
      <c r="CN425" s="34">
        <v>42544.22</v>
      </c>
      <c r="CO425" s="34">
        <v>5979.5155000000004</v>
      </c>
      <c r="CP425" s="34">
        <v>4.5730000000000004</v>
      </c>
      <c r="CQ425" s="34">
        <v>4.58</v>
      </c>
      <c r="CR425" s="34">
        <v>69.5</v>
      </c>
      <c r="CS425" s="64">
        <v>50.41</v>
      </c>
      <c r="CT425" s="34">
        <v>96.1</v>
      </c>
      <c r="CU425" s="34">
        <v>104.4</v>
      </c>
      <c r="CV425" s="34">
        <v>97.7</v>
      </c>
      <c r="CW425" s="34">
        <v>96.3</v>
      </c>
      <c r="CX425" s="34">
        <v>91.3</v>
      </c>
      <c r="CY425" s="34">
        <v>13.11</v>
      </c>
      <c r="CZ425" s="34">
        <v>70002.301000000007</v>
      </c>
      <c r="DA425" s="34">
        <v>7.93</v>
      </c>
      <c r="DB425" s="34">
        <v>38.08</v>
      </c>
      <c r="DC425" s="34">
        <v>70.3</v>
      </c>
      <c r="DD425" s="34">
        <v>18.63</v>
      </c>
      <c r="DE425" s="34">
        <v>17276.514999999999</v>
      </c>
      <c r="DF425" s="34">
        <v>2775.0120000000002</v>
      </c>
      <c r="DG425" s="34">
        <v>559.79600000000005</v>
      </c>
      <c r="DH425" s="34">
        <v>1784.4059999999999</v>
      </c>
      <c r="DI425" s="34">
        <v>6220.1</v>
      </c>
      <c r="DJ425" s="34">
        <v>100.1703</v>
      </c>
      <c r="DK425" s="34">
        <v>100.236</v>
      </c>
      <c r="DL425" s="34">
        <v>100.32</v>
      </c>
      <c r="DM425" s="34">
        <v>100.4097</v>
      </c>
      <c r="DN425" s="34">
        <v>99.660700000000006</v>
      </c>
      <c r="DO425" s="34">
        <v>99.603300000000004</v>
      </c>
      <c r="DP425" s="34">
        <v>100.2012</v>
      </c>
      <c r="DQ425" s="34">
        <v>100.221</v>
      </c>
      <c r="DR425" s="34">
        <v>277125</v>
      </c>
      <c r="DS425" s="73">
        <v>34969</v>
      </c>
      <c r="DT425" s="73">
        <v>93.4</v>
      </c>
      <c r="DU425" s="56">
        <v>479.90399169921875</v>
      </c>
      <c r="DV425" s="56">
        <v>1009.0558471679688</v>
      </c>
      <c r="DW425">
        <v>997</v>
      </c>
      <c r="DX425">
        <v>271350</v>
      </c>
      <c r="DY425" s="56">
        <v>95.4</v>
      </c>
      <c r="DZ425" s="33"/>
    </row>
    <row r="426" spans="1:130" x14ac:dyDescent="0.25">
      <c r="A426" s="1">
        <v>45689</v>
      </c>
      <c r="B426" s="34">
        <v>91.2</v>
      </c>
      <c r="C426" s="45">
        <v>2.9180000000000001</v>
      </c>
      <c r="D426" s="99">
        <v>2.9</v>
      </c>
      <c r="E426" s="34">
        <v>2.69</v>
      </c>
      <c r="F426" s="34">
        <v>2.12</v>
      </c>
      <c r="G426" s="34">
        <v>2.23</v>
      </c>
      <c r="H426" s="34">
        <v>2.4</v>
      </c>
      <c r="I426" s="34">
        <f t="shared" si="161"/>
        <v>-0.51800000000000024</v>
      </c>
      <c r="J426" s="34">
        <f t="shared" si="162"/>
        <v>-0.5</v>
      </c>
      <c r="K426" s="34">
        <f t="shared" si="163"/>
        <v>-0.29000000000000004</v>
      </c>
      <c r="L426" s="34">
        <f t="shared" si="164"/>
        <v>-1.8000000000000238E-2</v>
      </c>
      <c r="M426" s="34">
        <v>96.6</v>
      </c>
      <c r="N426" s="34">
        <v>21428.240000000002</v>
      </c>
      <c r="O426" s="34">
        <v>19.53</v>
      </c>
      <c r="P426" s="64">
        <v>2736.6</v>
      </c>
      <c r="Q426" s="34">
        <f t="shared" si="165"/>
        <v>22.977329974811084</v>
      </c>
      <c r="R426" s="34">
        <v>3915.2</v>
      </c>
      <c r="S426" s="34">
        <f t="shared" si="166"/>
        <v>3287.3215785054576</v>
      </c>
      <c r="T426" s="34">
        <v>4001</v>
      </c>
      <c r="U426" s="34">
        <f t="shared" si="167"/>
        <v>3359.3618807724602</v>
      </c>
      <c r="V426" s="118">
        <v>281437</v>
      </c>
      <c r="W426" s="118">
        <v>10647976</v>
      </c>
      <c r="X426" s="119">
        <v>15623198</v>
      </c>
      <c r="Y426" s="119">
        <v>1203406</v>
      </c>
      <c r="Z426" s="34">
        <v>84.8</v>
      </c>
      <c r="AA426" s="34">
        <v>84</v>
      </c>
      <c r="AB426" s="34">
        <v>89.5</v>
      </c>
      <c r="AC426" s="34">
        <v>85.6</v>
      </c>
      <c r="AD426" s="34">
        <v>46021</v>
      </c>
      <c r="AE426" s="34">
        <v>6.2</v>
      </c>
      <c r="AF426" s="34">
        <v>652</v>
      </c>
      <c r="AG426" s="34">
        <v>121</v>
      </c>
      <c r="AH426" s="34">
        <v>119.1</v>
      </c>
      <c r="AI426" s="34">
        <v>115.4</v>
      </c>
      <c r="AJ426" s="34">
        <v>115.2</v>
      </c>
      <c r="AK426" s="34">
        <v>250.00192000000001</v>
      </c>
      <c r="AL426" s="34">
        <v>112.8</v>
      </c>
      <c r="AM426" s="34">
        <v>131.66</v>
      </c>
      <c r="AN426" s="34">
        <v>212.87</v>
      </c>
      <c r="AO426" s="34">
        <v>151.72999999999999</v>
      </c>
      <c r="AP426" s="34">
        <v>72.13</v>
      </c>
      <c r="AQ426" s="34">
        <f t="shared" ref="AQ426" si="168">IF(ISNUMBER(AP426),IF(ISNUMBER($AI426),AP426/$AI426,""),"")</f>
        <v>0.62504332755632575</v>
      </c>
      <c r="AR426" s="34">
        <v>83.7</v>
      </c>
      <c r="AS426" s="34">
        <v>86.4</v>
      </c>
      <c r="AT426" s="34">
        <v>81.099999999999994</v>
      </c>
      <c r="AU426" s="34">
        <v>83.3</v>
      </c>
      <c r="AV426" s="34">
        <v>88.9</v>
      </c>
      <c r="AW426" s="34">
        <v>78</v>
      </c>
      <c r="AX426" s="34">
        <v>-22.9</v>
      </c>
      <c r="AY426" s="34">
        <v>-3.5</v>
      </c>
      <c r="AZ426" s="34">
        <v>-27.5</v>
      </c>
      <c r="BA426" s="34">
        <v>-11.8</v>
      </c>
      <c r="BB426" s="34">
        <v>82.1</v>
      </c>
      <c r="BC426" s="34">
        <v>84</v>
      </c>
      <c r="BD426" s="34">
        <v>80.2</v>
      </c>
      <c r="BE426" s="34">
        <v>-88.5</v>
      </c>
      <c r="BF426" s="34">
        <v>26</v>
      </c>
      <c r="BG426" s="34">
        <v>1.2</v>
      </c>
      <c r="BH426" s="34">
        <v>171.4</v>
      </c>
      <c r="BI426" s="34">
        <v>42.5</v>
      </c>
      <c r="BJ426" s="86">
        <v>46.5</v>
      </c>
      <c r="BK426" s="54">
        <v>48</v>
      </c>
      <c r="BL426" s="34">
        <v>0.43</v>
      </c>
      <c r="BM426" s="34">
        <v>99.741399999999999</v>
      </c>
      <c r="BN426" s="34">
        <v>99.779300000000006</v>
      </c>
      <c r="BO426" s="34">
        <v>-42.1</v>
      </c>
      <c r="BP426" s="34">
        <v>-36.799999999999997</v>
      </c>
      <c r="BQ426" s="34">
        <v>20.5</v>
      </c>
      <c r="BR426" s="34">
        <v>-6</v>
      </c>
      <c r="BS426" s="34">
        <v>9.6</v>
      </c>
      <c r="BT426" s="34">
        <v>-18.8</v>
      </c>
      <c r="BU426" s="34">
        <v>-22.9</v>
      </c>
      <c r="BV426" s="34">
        <v>5.4</v>
      </c>
      <c r="BW426" s="34">
        <v>-11.3</v>
      </c>
      <c r="BX426" s="34">
        <v>-21.7</v>
      </c>
      <c r="BY426" s="34">
        <v>-15.4</v>
      </c>
      <c r="BZ426" s="34">
        <v>89.9</v>
      </c>
      <c r="CA426" s="34">
        <v>-11.3</v>
      </c>
      <c r="CB426" s="34">
        <v>-4.2</v>
      </c>
      <c r="CC426" s="34">
        <v>-1.5</v>
      </c>
      <c r="CD426" s="34">
        <v>-41.7</v>
      </c>
      <c r="CE426" s="34">
        <v>-25.2</v>
      </c>
      <c r="CF426" s="34">
        <v>46</v>
      </c>
      <c r="CG426" s="34">
        <v>31</v>
      </c>
      <c r="CH426" s="34">
        <v>32.299999999999997</v>
      </c>
      <c r="CI426" s="34">
        <v>-26.2</v>
      </c>
      <c r="CJ426" s="34">
        <v>-14.2</v>
      </c>
      <c r="CK426" s="34">
        <v>20.6</v>
      </c>
      <c r="CL426" s="34">
        <v>27.7</v>
      </c>
      <c r="CM426" s="34">
        <v>5420.0438999999997</v>
      </c>
      <c r="CN426" s="34">
        <v>44421.91</v>
      </c>
      <c r="CO426" s="34">
        <v>6038.69</v>
      </c>
      <c r="CP426" s="34">
        <v>4.4960000000000004</v>
      </c>
      <c r="CQ426" s="34">
        <v>4.54</v>
      </c>
      <c r="CR426" s="34">
        <v>64</v>
      </c>
      <c r="CS426" s="64">
        <v>47.99</v>
      </c>
      <c r="CT426" s="34">
        <v>98.5</v>
      </c>
      <c r="CU426" s="34">
        <v>102.5</v>
      </c>
      <c r="CV426" s="34">
        <v>100.3</v>
      </c>
      <c r="CW426" s="34">
        <v>98.3</v>
      </c>
      <c r="CX426" s="34">
        <v>93.7</v>
      </c>
      <c r="CY426" s="34">
        <v>14.06</v>
      </c>
      <c r="CZ426" s="34">
        <v>70135.739000000001</v>
      </c>
      <c r="DA426" s="34">
        <v>7.56</v>
      </c>
      <c r="DB426" s="34">
        <v>38.94</v>
      </c>
      <c r="DC426" s="34">
        <v>70.260000000000005</v>
      </c>
      <c r="DD426" s="34">
        <v>18.68</v>
      </c>
      <c r="DE426" s="34">
        <v>18878.141</v>
      </c>
      <c r="DF426" s="34">
        <v>2914.9540000000002</v>
      </c>
      <c r="DG426" s="34">
        <v>571.36</v>
      </c>
      <c r="DH426" s="34">
        <v>2483.29</v>
      </c>
      <c r="DI426" s="34">
        <v>6504.0140000000001</v>
      </c>
      <c r="DJ426" s="34">
        <v>100.1596</v>
      </c>
      <c r="DK426" s="34">
        <v>100.2213</v>
      </c>
      <c r="DL426" s="34">
        <v>100.29</v>
      </c>
      <c r="DM426" s="34">
        <v>100.3719</v>
      </c>
      <c r="DN426" s="34">
        <v>99.779300000000006</v>
      </c>
      <c r="DO426" s="34">
        <v>99.741399999999999</v>
      </c>
      <c r="DP426" s="34">
        <v>100.1794</v>
      </c>
      <c r="DQ426" s="34">
        <v>100.197</v>
      </c>
      <c r="DR426" s="34">
        <v>270216</v>
      </c>
      <c r="DS426" s="73">
        <v>34975</v>
      </c>
      <c r="DT426" s="73">
        <v>93.1</v>
      </c>
      <c r="DU426" s="56">
        <v>396.80712890625</v>
      </c>
      <c r="DV426" s="56">
        <v>838.865478515625</v>
      </c>
      <c r="DW426">
        <v>738</v>
      </c>
      <c r="DX426">
        <v>254950</v>
      </c>
      <c r="DY426" s="56">
        <v>93.8</v>
      </c>
      <c r="DZ426" s="33"/>
    </row>
    <row r="427" spans="1:130" s="56" customFormat="1" x14ac:dyDescent="0.25">
      <c r="A427" s="1">
        <v>45717</v>
      </c>
      <c r="B427" s="34">
        <v>93.4</v>
      </c>
      <c r="C427" s="55">
        <v>2.6629999999999998</v>
      </c>
      <c r="D427" s="98">
        <v>2.65</v>
      </c>
      <c r="E427" s="54">
        <v>2.56</v>
      </c>
      <c r="F427" s="54">
        <v>2.29</v>
      </c>
      <c r="G427" s="54">
        <v>2.5</v>
      </c>
      <c r="H427" s="54">
        <v>2.74</v>
      </c>
      <c r="I427" s="54">
        <f t="shared" ref="I427:I429" si="169">IF(ISNUMBER(C427),IF(ISNUMBER(H427),H427-C427,""),"")</f>
        <v>7.7000000000000401E-2</v>
      </c>
      <c r="J427" s="54">
        <f t="shared" ref="J427:J429" si="170">IF(ISNUMBER(D427),IF(ISNUMBER(H427),H427-D427,""),"")</f>
        <v>9.0000000000000302E-2</v>
      </c>
      <c r="K427" s="54">
        <f t="shared" ref="K427:K429" si="171">IF(ISNUMBER(H427),IF(ISNUMBER(E427),H427-E427,""),"")</f>
        <v>0.18000000000000016</v>
      </c>
      <c r="L427" s="54">
        <f t="shared" ref="L427:L429" si="172">IF(ISNUMBER(D427),IF(ISNUMBER(C427),D427-C427,""),"")</f>
        <v>-1.2999999999999901E-2</v>
      </c>
      <c r="M427" s="54">
        <v>97.5</v>
      </c>
      <c r="N427" s="54">
        <v>23147.02</v>
      </c>
      <c r="O427" s="54">
        <v>21.41</v>
      </c>
      <c r="P427" s="126">
        <v>2742.1</v>
      </c>
      <c r="Q427" s="54">
        <f t="shared" ref="Q427:Q429" si="173">IF(ISNUMBER(P427),IF(ISNUMBER(AH427),P427/AH427,"NA"),"")</f>
        <v>22.965661641541036</v>
      </c>
      <c r="R427" s="54">
        <v>3914.7</v>
      </c>
      <c r="S427" s="54">
        <f t="shared" ref="S427:S429" si="174">IF(ISNUMBER(R427),IF(ISNUMBER(AH427),R427/AH427*100,""),"")</f>
        <v>3278.643216080402</v>
      </c>
      <c r="T427" s="54">
        <v>4013</v>
      </c>
      <c r="U427" s="54">
        <f t="shared" ref="U427:U429" si="175">IF(ISNUMBER(T427),IF(ISNUMBER(AH427),T427/AH427*100,""),"")</f>
        <v>3360.9715242881075</v>
      </c>
      <c r="V427" s="124">
        <v>278600</v>
      </c>
      <c r="W427" s="124">
        <v>10682598</v>
      </c>
      <c r="X427" s="125">
        <v>15658651</v>
      </c>
      <c r="Y427" s="125">
        <v>1180325</v>
      </c>
      <c r="Z427" s="54">
        <v>86.6</v>
      </c>
      <c r="AA427" s="54">
        <v>86.9</v>
      </c>
      <c r="AB427" s="54">
        <v>96.8</v>
      </c>
      <c r="AC427" s="54">
        <v>88.3</v>
      </c>
      <c r="AD427" s="54">
        <v>46016</v>
      </c>
      <c r="AE427" s="54">
        <v>6.3</v>
      </c>
      <c r="AF427" s="54">
        <v>649</v>
      </c>
      <c r="AG427" s="54">
        <v>121.2</v>
      </c>
      <c r="AH427" s="54">
        <v>119.4</v>
      </c>
      <c r="AI427" s="54">
        <v>114.1</v>
      </c>
      <c r="AJ427" s="54">
        <v>114.8</v>
      </c>
      <c r="AK427" s="54">
        <v>248.24409399999999</v>
      </c>
      <c r="AL427" s="54">
        <v>108.1</v>
      </c>
      <c r="AM427" s="54">
        <v>135.22</v>
      </c>
      <c r="AN427" s="54">
        <v>200.64</v>
      </c>
      <c r="AO427" s="54">
        <v>149.24</v>
      </c>
      <c r="AP427" s="34">
        <v>66.36</v>
      </c>
      <c r="AQ427" s="54">
        <f t="shared" ref="AQ427:AQ431" si="176">IF(ISNUMBER(AP427),IF(ISNUMBER($AI427),AP427/$AI427,""),"")</f>
        <v>0.58159509202453985</v>
      </c>
      <c r="AR427" s="54">
        <v>85.7</v>
      </c>
      <c r="AS427" s="54">
        <v>89.4</v>
      </c>
      <c r="AT427" s="54">
        <v>82.1</v>
      </c>
      <c r="AU427" s="54">
        <v>85.7</v>
      </c>
      <c r="AV427" s="54">
        <v>92.5</v>
      </c>
      <c r="AW427" s="54">
        <v>79.5</v>
      </c>
      <c r="AX427" s="54">
        <v>-20.2</v>
      </c>
      <c r="AY427" s="54">
        <v>8.9</v>
      </c>
      <c r="AZ427" s="54">
        <v>-25.2</v>
      </c>
      <c r="BA427" s="54">
        <v>-6.1</v>
      </c>
      <c r="BB427" s="54">
        <v>83.5</v>
      </c>
      <c r="BC427" s="54">
        <v>86.9</v>
      </c>
      <c r="BD427" s="54">
        <v>80.3</v>
      </c>
      <c r="BE427" s="54">
        <v>-87.6</v>
      </c>
      <c r="BF427" s="54">
        <v>51.6</v>
      </c>
      <c r="BG427" s="54">
        <v>6.9</v>
      </c>
      <c r="BH427" s="54">
        <v>172.8</v>
      </c>
      <c r="BI427" s="54">
        <v>16.8</v>
      </c>
      <c r="BJ427" s="86">
        <v>48.3</v>
      </c>
      <c r="BK427" s="54">
        <v>43</v>
      </c>
      <c r="BL427" s="54">
        <v>0.25</v>
      </c>
      <c r="BM427" s="54">
        <v>99.9251</v>
      </c>
      <c r="BN427" s="54">
        <v>99.937100000000001</v>
      </c>
      <c r="BO427" s="54">
        <v>-40.5</v>
      </c>
      <c r="BP427" s="54">
        <v>-36</v>
      </c>
      <c r="BQ427" s="54">
        <v>17.2</v>
      </c>
      <c r="BR427" s="54">
        <v>-4.5999999999999996</v>
      </c>
      <c r="BS427" s="54">
        <v>8</v>
      </c>
      <c r="BT427" s="54">
        <v>-20.3</v>
      </c>
      <c r="BU427" s="54">
        <v>-20.8</v>
      </c>
      <c r="BV427" s="54">
        <v>1.9</v>
      </c>
      <c r="BW427" s="54">
        <v>-10.4</v>
      </c>
      <c r="BX427" s="54">
        <v>-24.4</v>
      </c>
      <c r="BY427" s="54">
        <v>-14.1</v>
      </c>
      <c r="BZ427" s="54">
        <v>90</v>
      </c>
      <c r="CA427" s="54">
        <v>-10.4</v>
      </c>
      <c r="CB427" s="54">
        <v>-3.4</v>
      </c>
      <c r="CC427" s="54">
        <v>-1.5</v>
      </c>
      <c r="CD427" s="54">
        <v>-39.4</v>
      </c>
      <c r="CE427" s="54">
        <v>-23.4</v>
      </c>
      <c r="CF427" s="54">
        <v>46.7</v>
      </c>
      <c r="CG427" s="54">
        <v>31.9</v>
      </c>
      <c r="CH427" s="54">
        <v>32</v>
      </c>
      <c r="CI427" s="54">
        <v>-23.2</v>
      </c>
      <c r="CJ427" s="54">
        <v>-13.4</v>
      </c>
      <c r="CK427" s="54">
        <v>21.7</v>
      </c>
      <c r="CL427" s="54">
        <v>28.4</v>
      </c>
      <c r="CM427" s="54">
        <v>5417.6658100000004</v>
      </c>
      <c r="CN427" s="54">
        <v>43191.24</v>
      </c>
      <c r="CO427" s="54">
        <v>5683.9833330000001</v>
      </c>
      <c r="CP427" s="54">
        <v>4.5609999999999999</v>
      </c>
      <c r="CQ427" s="54">
        <v>4.16</v>
      </c>
      <c r="CR427" s="54">
        <v>52.6</v>
      </c>
      <c r="CS427" s="64">
        <v>47.44</v>
      </c>
      <c r="CT427" s="54">
        <v>96.5</v>
      </c>
      <c r="CU427" s="54">
        <v>102.9</v>
      </c>
      <c r="CV427" s="54">
        <v>100.4</v>
      </c>
      <c r="CW427" s="54">
        <v>100.7</v>
      </c>
      <c r="CX427" s="54">
        <v>95.3</v>
      </c>
      <c r="CY427" s="54">
        <v>14.28</v>
      </c>
      <c r="CZ427" s="54">
        <v>77214.354999999996</v>
      </c>
      <c r="DA427" s="54">
        <v>8.01</v>
      </c>
      <c r="DB427" s="54">
        <v>37.22</v>
      </c>
      <c r="DC427" s="54">
        <v>72.77</v>
      </c>
      <c r="DD427" s="54">
        <v>18.47</v>
      </c>
      <c r="DE427" s="54">
        <v>20135.812000000002</v>
      </c>
      <c r="DF427" s="54">
        <v>3027.6489999999999</v>
      </c>
      <c r="DG427" s="54">
        <v>697.33699999999999</v>
      </c>
      <c r="DH427" s="54">
        <v>1759.806</v>
      </c>
      <c r="DI427" s="54">
        <v>7838.5119999999997</v>
      </c>
      <c r="DJ427" s="54">
        <v>100.11669999999999</v>
      </c>
      <c r="DK427" s="54">
        <v>100.16670000000001</v>
      </c>
      <c r="DL427" s="54">
        <v>100.19</v>
      </c>
      <c r="DM427" s="54">
        <v>100.2487</v>
      </c>
      <c r="DN427" s="54">
        <v>99.937100000000001</v>
      </c>
      <c r="DO427" s="54">
        <v>99.9251</v>
      </c>
      <c r="DP427" s="54">
        <v>100.1219</v>
      </c>
      <c r="DQ427" s="54">
        <v>100.13379999999999</v>
      </c>
      <c r="DR427" s="54">
        <v>264172</v>
      </c>
      <c r="DS427" s="96">
        <v>34975</v>
      </c>
      <c r="DT427" s="96">
        <v>92.9</v>
      </c>
      <c r="DU427" s="56">
        <v>576.9366455078125</v>
      </c>
      <c r="DV427" s="56">
        <v>1083.1016845703125</v>
      </c>
      <c r="DW427">
        <v>1276</v>
      </c>
      <c r="DX427">
        <v>261000</v>
      </c>
      <c r="DY427" s="56">
        <v>95.6</v>
      </c>
      <c r="DZ427" s="60"/>
    </row>
    <row r="428" spans="1:130" x14ac:dyDescent="0.25">
      <c r="A428" s="1">
        <v>45748</v>
      </c>
      <c r="B428" s="34">
        <v>91.7</v>
      </c>
      <c r="C428" s="45">
        <v>2.42</v>
      </c>
      <c r="D428" s="99">
        <v>2.4</v>
      </c>
      <c r="E428" s="34">
        <v>2.41</v>
      </c>
      <c r="F428" s="34">
        <v>1.97</v>
      </c>
      <c r="G428" s="34">
        <v>2.2200000000000002</v>
      </c>
      <c r="H428" s="34">
        <v>2.5099999999999998</v>
      </c>
      <c r="I428" s="34">
        <f t="shared" si="169"/>
        <v>8.9999999999999858E-2</v>
      </c>
      <c r="J428" s="34">
        <f t="shared" si="170"/>
        <v>0.10999999999999988</v>
      </c>
      <c r="K428" s="34">
        <f t="shared" si="171"/>
        <v>9.9999999999999645E-2</v>
      </c>
      <c r="L428" s="34">
        <f t="shared" si="172"/>
        <v>-2.0000000000000018E-2</v>
      </c>
      <c r="M428" s="34">
        <v>98.2</v>
      </c>
      <c r="N428" s="34">
        <v>22539.98</v>
      </c>
      <c r="O428" s="34">
        <v>23.4</v>
      </c>
      <c r="P428" s="34">
        <v>2774.3</v>
      </c>
      <c r="Q428" s="34">
        <f t="shared" si="173"/>
        <v>23.177109440267337</v>
      </c>
      <c r="R428" s="34">
        <v>3936.1</v>
      </c>
      <c r="S428" s="34">
        <f t="shared" si="174"/>
        <v>3288.3040935672511</v>
      </c>
      <c r="T428" s="34">
        <v>4028.5</v>
      </c>
      <c r="U428" s="34">
        <f t="shared" si="175"/>
        <v>3365.4970760233914</v>
      </c>
      <c r="V428" s="34">
        <v>278607</v>
      </c>
      <c r="W428" s="34">
        <v>10736080</v>
      </c>
      <c r="X428" s="34">
        <v>15689216</v>
      </c>
      <c r="Y428" s="34">
        <v>1195103</v>
      </c>
      <c r="Z428" s="34">
        <v>85.3</v>
      </c>
      <c r="AA428" s="34">
        <v>88</v>
      </c>
      <c r="AB428" s="34">
        <v>91.7</v>
      </c>
      <c r="AC428" s="34">
        <v>93.1</v>
      </c>
      <c r="AD428" s="34">
        <v>46024</v>
      </c>
      <c r="AE428" s="34">
        <v>6.3</v>
      </c>
      <c r="AF428" s="34">
        <v>647</v>
      </c>
      <c r="AG428" s="34">
        <v>121.4</v>
      </c>
      <c r="AH428" s="34">
        <v>119.7</v>
      </c>
      <c r="AI428" s="34">
        <v>111.9</v>
      </c>
      <c r="AJ428" s="34">
        <v>114.1</v>
      </c>
      <c r="AK428" s="34">
        <v>246.68158199999999</v>
      </c>
      <c r="AL428" s="34">
        <v>110.2</v>
      </c>
      <c r="AM428" s="34">
        <v>127.76</v>
      </c>
      <c r="AN428" s="34">
        <v>181.94</v>
      </c>
      <c r="AO428" s="34">
        <v>144.56</v>
      </c>
      <c r="AP428" s="34">
        <v>59.62</v>
      </c>
      <c r="AQ428" s="34">
        <f t="shared" si="176"/>
        <v>0.53279714030384262</v>
      </c>
      <c r="AR428" s="34">
        <v>85.3</v>
      </c>
      <c r="AS428" s="34">
        <v>87.9</v>
      </c>
      <c r="AT428" s="34">
        <v>82.9</v>
      </c>
      <c r="AU428" s="34">
        <v>85</v>
      </c>
      <c r="AV428" s="34">
        <v>89.3</v>
      </c>
      <c r="AW428" s="34">
        <v>80.8</v>
      </c>
      <c r="AX428" s="34">
        <v>-24</v>
      </c>
      <c r="AY428" s="34">
        <v>-2.2999999999999998</v>
      </c>
      <c r="AZ428" s="34">
        <v>-21.7</v>
      </c>
      <c r="BA428" s="34">
        <v>-5.7</v>
      </c>
      <c r="BB428" s="34">
        <v>82.1</v>
      </c>
      <c r="BC428" s="34">
        <v>83</v>
      </c>
      <c r="BD428" s="34">
        <v>81.2</v>
      </c>
      <c r="BE428" s="34">
        <v>-81.2</v>
      </c>
      <c r="BF428" s="34">
        <v>-14</v>
      </c>
      <c r="BG428" s="34">
        <v>7.2</v>
      </c>
      <c r="BH428" s="34">
        <v>173.9</v>
      </c>
      <c r="BI428" s="34">
        <v>4</v>
      </c>
      <c r="BJ428" s="86">
        <v>48.4</v>
      </c>
      <c r="BK428" s="54">
        <v>33</v>
      </c>
      <c r="BL428" s="34">
        <v>0.25</v>
      </c>
      <c r="BM428" s="34">
        <v>100.13200000000001</v>
      </c>
      <c r="BN428" s="34">
        <v>100.11490000000001</v>
      </c>
      <c r="BO428" s="34">
        <v>-37.9</v>
      </c>
      <c r="BP428" s="34">
        <v>-36.299999999999997</v>
      </c>
      <c r="BQ428" s="34">
        <v>14.2</v>
      </c>
      <c r="BR428" s="34">
        <v>-6.5</v>
      </c>
      <c r="BS428" s="34">
        <v>14.9</v>
      </c>
      <c r="BT428" s="34">
        <v>-16.7</v>
      </c>
      <c r="BU428" s="34">
        <v>-19.5</v>
      </c>
      <c r="BV428" s="34">
        <v>2.2000000000000002</v>
      </c>
      <c r="BW428" s="34">
        <v>-10.6</v>
      </c>
      <c r="BX428" s="34">
        <v>-25.7</v>
      </c>
      <c r="BY428" s="34">
        <v>-16.3</v>
      </c>
      <c r="BZ428" s="34">
        <v>90.6</v>
      </c>
      <c r="CA428" s="34">
        <v>-10.6</v>
      </c>
      <c r="CB428" s="34">
        <v>-3.8</v>
      </c>
      <c r="CC428" s="34">
        <v>-0.1</v>
      </c>
      <c r="CD428" s="34">
        <v>-38.799999999999997</v>
      </c>
      <c r="CE428" s="34">
        <v>-24.2</v>
      </c>
      <c r="CF428" s="34">
        <v>48</v>
      </c>
      <c r="CG428" s="34">
        <v>35.4</v>
      </c>
      <c r="CH428" s="34">
        <v>32.799999999999997</v>
      </c>
      <c r="CI428" s="34">
        <v>-21.7</v>
      </c>
      <c r="CJ428" s="34">
        <v>-14.5</v>
      </c>
      <c r="CK428" s="34">
        <v>21.5</v>
      </c>
      <c r="CL428" s="34">
        <v>26.2</v>
      </c>
      <c r="CM428" s="34">
        <v>4993.9876999999997</v>
      </c>
      <c r="CN428" s="34">
        <v>41989.96</v>
      </c>
      <c r="CO428" s="34">
        <v>5369.4957139999997</v>
      </c>
      <c r="CP428" s="34">
        <v>4.6319999999999997</v>
      </c>
      <c r="CQ428" s="34">
        <v>4.17</v>
      </c>
      <c r="CR428" s="34">
        <v>47.3</v>
      </c>
      <c r="CS428" s="64">
        <v>49.04</v>
      </c>
      <c r="CT428" s="34">
        <v>96.9</v>
      </c>
      <c r="CU428" s="34">
        <v>102</v>
      </c>
      <c r="CV428" s="34">
        <v>100.7</v>
      </c>
      <c r="CW428" s="34">
        <v>95.8</v>
      </c>
      <c r="CX428" s="34">
        <v>93.6</v>
      </c>
      <c r="CY428" s="34">
        <v>13.12</v>
      </c>
      <c r="CZ428" s="34">
        <v>72983.233999999997</v>
      </c>
      <c r="DA428" s="34">
        <v>8.3800000000000008</v>
      </c>
      <c r="DB428" s="34">
        <v>38.799999999999997</v>
      </c>
      <c r="DC428" s="34">
        <v>72.78</v>
      </c>
      <c r="DD428" s="34">
        <v>18.62</v>
      </c>
      <c r="DE428" s="34">
        <v>18822.883000000002</v>
      </c>
      <c r="DF428" s="34">
        <v>2753.364</v>
      </c>
      <c r="DG428" s="34">
        <v>628.178</v>
      </c>
      <c r="DH428" s="34">
        <v>1756.5450000000001</v>
      </c>
      <c r="DI428" s="34">
        <v>7107.9359999999997</v>
      </c>
      <c r="DJ428" s="34">
        <v>100.05419999999999</v>
      </c>
      <c r="DK428" s="34">
        <v>100.0886</v>
      </c>
      <c r="DL428" s="34">
        <v>100.05</v>
      </c>
      <c r="DM428" s="34">
        <v>100.06189999999999</v>
      </c>
      <c r="DN428" s="34">
        <v>100.11490000000001</v>
      </c>
      <c r="DO428" s="34">
        <v>100.13200000000001</v>
      </c>
      <c r="DP428" s="34">
        <v>100.0673</v>
      </c>
      <c r="DQ428" s="34">
        <v>100.0737</v>
      </c>
      <c r="DR428" s="34">
        <v>233359</v>
      </c>
      <c r="DS428" s="73">
        <v>34975</v>
      </c>
      <c r="DT428" s="73">
        <v>93.9</v>
      </c>
      <c r="DU428" s="56">
        <v>779.26776123046875</v>
      </c>
      <c r="DV428" s="56">
        <v>1502.183349609375</v>
      </c>
      <c r="DW428">
        <v>1587</v>
      </c>
      <c r="DX428">
        <v>211875</v>
      </c>
      <c r="DY428" s="56">
        <v>95.2</v>
      </c>
    </row>
    <row r="429" spans="1:130" x14ac:dyDescent="0.25">
      <c r="A429" s="1">
        <v>45778</v>
      </c>
      <c r="B429" s="34">
        <v>91.6</v>
      </c>
      <c r="C429" s="45">
        <v>2.1560000000000001</v>
      </c>
      <c r="D429" s="99">
        <v>2.4</v>
      </c>
      <c r="E429" s="34">
        <v>2.2599999999999998</v>
      </c>
      <c r="F429" s="34">
        <v>2.0099999999999998</v>
      </c>
      <c r="G429" s="34">
        <v>2.2599999999999998</v>
      </c>
      <c r="H429" s="34">
        <v>2.56</v>
      </c>
      <c r="I429" s="34">
        <f t="shared" si="169"/>
        <v>0.40399999999999991</v>
      </c>
      <c r="J429" s="34">
        <f t="shared" si="170"/>
        <v>0.16000000000000014</v>
      </c>
      <c r="K429" s="34">
        <f t="shared" si="171"/>
        <v>0.30000000000000027</v>
      </c>
      <c r="L429" s="34">
        <f t="shared" si="172"/>
        <v>0.24399999999999977</v>
      </c>
      <c r="M429" s="34">
        <v>98.2</v>
      </c>
      <c r="N429" s="34">
        <v>22496.98</v>
      </c>
      <c r="O429" s="34">
        <v>21.39</v>
      </c>
      <c r="P429" s="34">
        <v>2778.9</v>
      </c>
      <c r="Q429" s="34">
        <f t="shared" si="173"/>
        <v>23.176814011676395</v>
      </c>
      <c r="R429" s="34">
        <v>3929.3</v>
      </c>
      <c r="S429" s="34">
        <f t="shared" si="174"/>
        <v>3277.1476230191829</v>
      </c>
      <c r="T429" s="34">
        <v>4013.8</v>
      </c>
      <c r="U429" s="34">
        <f t="shared" si="175"/>
        <v>3347.6230191826526</v>
      </c>
      <c r="V429" s="34">
        <v>277652</v>
      </c>
      <c r="W429" s="34">
        <v>10771552</v>
      </c>
      <c r="X429" s="34">
        <v>15723785</v>
      </c>
      <c r="Y429" s="34">
        <v>1192660</v>
      </c>
      <c r="Z429" s="34">
        <v>83.7</v>
      </c>
      <c r="AA429" s="34">
        <v>87.7</v>
      </c>
      <c r="AB429" s="34">
        <v>93.5</v>
      </c>
      <c r="AC429" s="34">
        <v>93.9</v>
      </c>
      <c r="AD429" s="34">
        <v>46002</v>
      </c>
      <c r="AE429" s="34">
        <v>6.3</v>
      </c>
      <c r="AF429" s="34">
        <v>635</v>
      </c>
      <c r="AG429" s="34">
        <v>121.5</v>
      </c>
      <c r="AH429" s="34">
        <v>119.9</v>
      </c>
      <c r="AI429" s="34">
        <v>111.3</v>
      </c>
      <c r="AJ429" s="34">
        <v>114</v>
      </c>
      <c r="AK429" s="34">
        <v>246.09564</v>
      </c>
      <c r="AL429" s="34">
        <v>110.3</v>
      </c>
      <c r="AM429" s="34">
        <v>128.22999999999999</v>
      </c>
      <c r="AN429" s="34">
        <v>178.24</v>
      </c>
      <c r="AO429" s="34">
        <v>146.81</v>
      </c>
      <c r="AP429" s="34">
        <v>56.8</v>
      </c>
      <c r="AQ429" s="34">
        <f t="shared" si="176"/>
        <v>0.51033243486073676</v>
      </c>
      <c r="AR429" s="34">
        <v>87.3</v>
      </c>
      <c r="AS429" s="34">
        <v>90.7</v>
      </c>
      <c r="AT429" s="34">
        <v>84.1</v>
      </c>
      <c r="AU429" s="34">
        <v>86.9</v>
      </c>
      <c r="AV429" s="34">
        <v>92.6</v>
      </c>
      <c r="AW429" s="34">
        <v>81.5</v>
      </c>
      <c r="AX429" s="34">
        <v>-20.399999999999999</v>
      </c>
      <c r="AY429" s="34">
        <v>2.1</v>
      </c>
      <c r="AZ429" s="34">
        <v>-20.100000000000001</v>
      </c>
      <c r="BA429" s="34">
        <v>0.5</v>
      </c>
      <c r="BB429" s="34">
        <v>84.9</v>
      </c>
      <c r="BC429" s="34">
        <v>88.7</v>
      </c>
      <c r="BD429" s="34">
        <v>81.3</v>
      </c>
      <c r="BE429" s="34">
        <v>-82</v>
      </c>
      <c r="BF429" s="34">
        <v>25.2</v>
      </c>
      <c r="BG429" s="34">
        <v>13.1</v>
      </c>
      <c r="BH429" s="34">
        <v>169.5</v>
      </c>
      <c r="BI429" s="34">
        <v>2</v>
      </c>
      <c r="BJ429" s="86">
        <v>48.3</v>
      </c>
      <c r="BK429" s="54">
        <v>40</v>
      </c>
      <c r="BL429" s="34">
        <v>0.26</v>
      </c>
      <c r="BM429" s="34">
        <v>100.3387</v>
      </c>
      <c r="BN429" s="34">
        <v>100.2924</v>
      </c>
      <c r="BO429" s="34">
        <v>-36.4</v>
      </c>
      <c r="BP429" s="34">
        <v>-34.799999999999997</v>
      </c>
      <c r="BQ429" s="34">
        <v>14.1</v>
      </c>
      <c r="BR429" s="34">
        <v>-2</v>
      </c>
      <c r="BS429" s="34">
        <v>7.7</v>
      </c>
      <c r="BT429" s="34">
        <v>-15.7</v>
      </c>
      <c r="BU429" s="34">
        <v>-17.5</v>
      </c>
      <c r="BV429" s="34">
        <v>1.7</v>
      </c>
      <c r="BW429" s="34">
        <v>-9.1999999999999993</v>
      </c>
      <c r="BX429" s="34">
        <v>-20</v>
      </c>
      <c r="BY429" s="34">
        <v>-16.2</v>
      </c>
      <c r="BZ429" s="34">
        <v>92</v>
      </c>
      <c r="CA429" s="34">
        <v>-9.1999999999999993</v>
      </c>
      <c r="CB429" s="34">
        <v>-1.5</v>
      </c>
      <c r="CC429" s="34">
        <v>1.2</v>
      </c>
      <c r="CD429" s="34">
        <v>-38.799999999999997</v>
      </c>
      <c r="CE429" s="34">
        <v>-22.4</v>
      </c>
      <c r="CF429" s="34">
        <v>47</v>
      </c>
      <c r="CG429" s="34">
        <v>31.3</v>
      </c>
      <c r="CH429" s="34">
        <v>33</v>
      </c>
      <c r="CI429" s="34">
        <v>-21.4</v>
      </c>
      <c r="CJ429" s="34">
        <v>-14</v>
      </c>
      <c r="CK429" s="34">
        <v>20.399999999999999</v>
      </c>
      <c r="CL429" s="34">
        <v>29.1</v>
      </c>
      <c r="CM429" s="34">
        <v>5358.4690449999998</v>
      </c>
      <c r="CN429" s="34">
        <v>40752.959999999999</v>
      </c>
      <c r="CO429" s="34">
        <v>5810.9195239999999</v>
      </c>
      <c r="CP429" s="34">
        <v>4.4820000000000002</v>
      </c>
      <c r="CQ429" s="34">
        <v>4.25</v>
      </c>
      <c r="CR429" s="34">
        <v>47.9</v>
      </c>
      <c r="CS429" s="64">
        <v>49.29</v>
      </c>
      <c r="CT429" s="34">
        <v>93.4</v>
      </c>
      <c r="CU429" s="34">
        <v>102.7</v>
      </c>
      <c r="CV429" s="34">
        <v>100.4</v>
      </c>
      <c r="CW429" s="34">
        <v>101.5</v>
      </c>
      <c r="CX429" s="34">
        <v>91.9</v>
      </c>
      <c r="CY429" s="34">
        <v>12.2</v>
      </c>
      <c r="CZ429" s="34">
        <v>72348.879000000001</v>
      </c>
      <c r="DA429" s="34">
        <v>7.37</v>
      </c>
      <c r="DB429" s="34">
        <v>37.83</v>
      </c>
      <c r="DC429" s="34">
        <v>71.75</v>
      </c>
      <c r="DD429" s="34">
        <v>18.899999999999999</v>
      </c>
      <c r="DE429" s="34">
        <v>18999.36</v>
      </c>
      <c r="DF429" s="34">
        <v>2852.8609999999999</v>
      </c>
      <c r="DG429" s="34">
        <v>503.69799999999998</v>
      </c>
      <c r="DH429" s="34">
        <v>2574.5030000000002</v>
      </c>
      <c r="DI429" s="34">
        <v>6930.3789999999999</v>
      </c>
      <c r="DJ429" s="34">
        <v>99.993600000000001</v>
      </c>
      <c r="DK429" s="34">
        <v>100.0138</v>
      </c>
      <c r="DL429" s="34">
        <v>99.88</v>
      </c>
      <c r="DM429" s="34">
        <v>99.855400000000003</v>
      </c>
      <c r="DN429" s="34">
        <v>100.2924</v>
      </c>
      <c r="DO429" s="34">
        <v>100.3387</v>
      </c>
      <c r="DP429" s="34">
        <v>100.0591</v>
      </c>
      <c r="DQ429" s="34">
        <v>100.0647</v>
      </c>
      <c r="DR429" s="34">
        <v>226711</v>
      </c>
      <c r="DS429" s="73">
        <v>34957</v>
      </c>
      <c r="DT429" s="73">
        <v>95.1</v>
      </c>
      <c r="DU429" s="56">
        <v>579.66497802734375</v>
      </c>
      <c r="DV429" s="56">
        <v>1203.9805908203125</v>
      </c>
      <c r="DW429">
        <v>1411</v>
      </c>
      <c r="DX429">
        <v>197300</v>
      </c>
      <c r="DY429" s="56">
        <v>94.6</v>
      </c>
    </row>
    <row r="430" spans="1:130" s="56" customFormat="1" x14ac:dyDescent="0.25">
      <c r="A430" s="1">
        <v>45809</v>
      </c>
      <c r="B430" s="54">
        <v>91.5</v>
      </c>
      <c r="C430" s="55">
        <v>2.1720000000000002</v>
      </c>
      <c r="D430" s="98">
        <v>2.15</v>
      </c>
      <c r="E430" s="54">
        <v>2.11</v>
      </c>
      <c r="F430" s="54">
        <v>2.0099999999999998</v>
      </c>
      <c r="G430" s="54">
        <v>2.23</v>
      </c>
      <c r="H430" s="54">
        <v>2.52</v>
      </c>
      <c r="I430" s="54">
        <f t="shared" ref="I430:I431" si="177">IF(ISNUMBER(C430),IF(ISNUMBER(H430),H430-C430,""),"")</f>
        <v>0.34799999999999986</v>
      </c>
      <c r="J430" s="54">
        <f t="shared" ref="J430:J431" si="178">IF(ISNUMBER(D430),IF(ISNUMBER(H430),H430-D430,""),"")</f>
        <v>0.37000000000000011</v>
      </c>
      <c r="K430" s="54">
        <f t="shared" ref="K430:K431" si="179">IF(ISNUMBER(H430),IF(ISNUMBER(E430),H430-E430,""),"")</f>
        <v>0.41000000000000014</v>
      </c>
      <c r="L430" s="54">
        <f t="shared" ref="L430:L431" si="180">IF(ISNUMBER(D430),IF(ISNUMBER(C430),D430-C430,""),"")</f>
        <v>-2.2000000000000242E-2</v>
      </c>
      <c r="M430" s="54">
        <v>98.5</v>
      </c>
      <c r="N430" s="54">
        <v>23930.67</v>
      </c>
      <c r="O430" s="54">
        <v>18.47</v>
      </c>
      <c r="P430" s="54">
        <v>2782.6</v>
      </c>
      <c r="Q430" s="54">
        <f t="shared" ref="Q430:Q431" si="181">IF(ISNUMBER(P430),IF(ISNUMBER(AH430),P430/AH430,"NA"),"")</f>
        <v>23.188333333333333</v>
      </c>
      <c r="R430" s="54">
        <v>3926.9</v>
      </c>
      <c r="S430" s="54">
        <f t="shared" ref="S430:S431" si="182">IF(ISNUMBER(R430),IF(ISNUMBER(AH430),R430/AH430*100,""),"")</f>
        <v>3272.416666666667</v>
      </c>
      <c r="T430" s="54">
        <v>4016.3</v>
      </c>
      <c r="U430" s="54">
        <f t="shared" ref="U430:U431" si="183">IF(ISNUMBER(T430),IF(ISNUMBER(AH430),T430/AH430*100,""),"")</f>
        <v>3346.9166666666665</v>
      </c>
      <c r="V430" s="54">
        <v>280597</v>
      </c>
      <c r="W430" s="54">
        <v>10808343</v>
      </c>
      <c r="X430" s="54">
        <v>15725049</v>
      </c>
      <c r="Y430" s="54">
        <v>1204669</v>
      </c>
      <c r="Z430" s="54">
        <v>83.8</v>
      </c>
      <c r="AA430" s="54">
        <v>87.4</v>
      </c>
      <c r="AB430" s="54">
        <v>95</v>
      </c>
      <c r="AC430" s="54">
        <v>89.8</v>
      </c>
      <c r="AD430" s="54">
        <v>45992</v>
      </c>
      <c r="AE430" s="54">
        <v>6.3</v>
      </c>
      <c r="AF430" s="54">
        <v>627</v>
      </c>
      <c r="AG430" s="54">
        <v>121.7</v>
      </c>
      <c r="AH430" s="54">
        <v>120</v>
      </c>
      <c r="AI430" s="54">
        <v>111.5</v>
      </c>
      <c r="AJ430" s="54">
        <v>114</v>
      </c>
      <c r="AK430" s="54">
        <v>246.290954</v>
      </c>
      <c r="AL430" s="54">
        <v>109.9</v>
      </c>
      <c r="AM430" s="54">
        <v>130.16999999999999</v>
      </c>
      <c r="AN430" s="54">
        <v>191.66</v>
      </c>
      <c r="AO430" s="54">
        <v>144.47999999999999</v>
      </c>
      <c r="AP430" s="34">
        <v>60.59</v>
      </c>
      <c r="AQ430" s="34">
        <f t="shared" si="176"/>
        <v>0.54340807174887895</v>
      </c>
      <c r="AR430" s="54">
        <v>87.6</v>
      </c>
      <c r="AS430" s="54">
        <v>92.1</v>
      </c>
      <c r="AT430" s="54">
        <v>83.3</v>
      </c>
      <c r="AU430" s="54">
        <v>86.8</v>
      </c>
      <c r="AV430" s="54">
        <v>94.1</v>
      </c>
      <c r="AW430" s="54">
        <v>80.099999999999994</v>
      </c>
      <c r="AX430" s="54">
        <v>-19.8</v>
      </c>
      <c r="AY430" s="54">
        <v>-4.2</v>
      </c>
      <c r="AZ430" s="54">
        <v>-12.9</v>
      </c>
      <c r="BA430" s="54">
        <v>-0.2</v>
      </c>
      <c r="BB430" s="54">
        <v>86.6</v>
      </c>
      <c r="BC430" s="54">
        <v>90.3</v>
      </c>
      <c r="BD430" s="54">
        <v>83.1</v>
      </c>
      <c r="BE430" s="54">
        <v>-72</v>
      </c>
      <c r="BF430" s="54">
        <v>47.5</v>
      </c>
      <c r="BG430" s="54">
        <v>20.100000000000001</v>
      </c>
      <c r="BH430" s="54">
        <v>171.3</v>
      </c>
      <c r="BI430" s="54">
        <v>2.4</v>
      </c>
      <c r="BJ430" s="127">
        <v>49</v>
      </c>
      <c r="BK430" s="54">
        <v>37</v>
      </c>
      <c r="BL430" s="54">
        <v>0.26</v>
      </c>
      <c r="BM430" s="54">
        <v>100.524</v>
      </c>
      <c r="BN430" s="54">
        <v>100.4517</v>
      </c>
      <c r="BO430" s="54">
        <v>-42.6</v>
      </c>
      <c r="BP430" s="54">
        <v>-39</v>
      </c>
      <c r="BQ430" s="54">
        <v>15.9</v>
      </c>
      <c r="BR430" s="54">
        <v>-3.2</v>
      </c>
      <c r="BS430" s="54">
        <v>4.8</v>
      </c>
      <c r="BT430" s="54">
        <v>-20.100000000000001</v>
      </c>
      <c r="BU430" s="54">
        <v>-20.6</v>
      </c>
      <c r="BV430" s="54">
        <v>4.2</v>
      </c>
      <c r="BW430" s="54">
        <v>-9.9</v>
      </c>
      <c r="BX430" s="54">
        <v>-21.5</v>
      </c>
      <c r="BY430" s="54">
        <v>-13.8</v>
      </c>
      <c r="BZ430" s="54">
        <v>91.2</v>
      </c>
      <c r="CA430" s="54">
        <v>-9.9</v>
      </c>
      <c r="CB430" s="54">
        <v>-5.0999999999999996</v>
      </c>
      <c r="CC430" s="54">
        <v>1.2</v>
      </c>
      <c r="CD430" s="54">
        <v>-38.9</v>
      </c>
      <c r="CE430" s="54">
        <v>-20.6</v>
      </c>
      <c r="CF430" s="54">
        <v>46.1</v>
      </c>
      <c r="CG430" s="54">
        <v>26</v>
      </c>
      <c r="CH430" s="54">
        <v>32.799999999999997</v>
      </c>
      <c r="CI430" s="54">
        <v>-20.8</v>
      </c>
      <c r="CJ430" s="54">
        <v>-14.9</v>
      </c>
      <c r="CK430" s="54">
        <v>22.5</v>
      </c>
      <c r="CL430" s="54">
        <v>28.6</v>
      </c>
      <c r="CM430" s="54">
        <v>5325.1491429999996</v>
      </c>
      <c r="CN430" s="54">
        <v>42305.48</v>
      </c>
      <c r="CO430" s="54">
        <v>6029.9515000000001</v>
      </c>
      <c r="CP430" s="54">
        <v>4.6689999999999996</v>
      </c>
      <c r="CQ430" s="54">
        <v>4.46</v>
      </c>
      <c r="CR430" s="54">
        <v>58.1</v>
      </c>
      <c r="CS430" s="126">
        <v>52.07</v>
      </c>
      <c r="CT430" s="54">
        <v>90.2</v>
      </c>
      <c r="CU430" s="54">
        <v>101.6</v>
      </c>
      <c r="CV430" s="54">
        <v>101.2</v>
      </c>
      <c r="CW430" s="54">
        <v>98.4</v>
      </c>
      <c r="CX430" s="54">
        <v>93.5</v>
      </c>
      <c r="CY430" s="54">
        <v>12.16</v>
      </c>
      <c r="CZ430" s="54">
        <v>72979.476999999999</v>
      </c>
      <c r="DA430" s="54">
        <v>8.25</v>
      </c>
      <c r="DB430" s="54">
        <v>38.96</v>
      </c>
      <c r="DC430" s="54">
        <v>72.92</v>
      </c>
      <c r="DD430" s="54">
        <v>19.36</v>
      </c>
      <c r="DE430" s="54">
        <v>17336.344000000001</v>
      </c>
      <c r="DF430" s="54">
        <v>2495.56</v>
      </c>
      <c r="DG430" s="54">
        <v>563.65800000000002</v>
      </c>
      <c r="DH430" s="54">
        <v>1590.1559999999999</v>
      </c>
      <c r="DI430" s="54">
        <v>6842.1610000000001</v>
      </c>
      <c r="DJ430" s="54">
        <v>99.9452</v>
      </c>
      <c r="DK430" s="54">
        <v>99.954899999999995</v>
      </c>
      <c r="DL430" s="54">
        <v>99.73</v>
      </c>
      <c r="DM430" s="54">
        <v>99.658000000000001</v>
      </c>
      <c r="DN430" s="54">
        <v>100.4517</v>
      </c>
      <c r="DO430" s="54">
        <v>100.524</v>
      </c>
      <c r="DP430" s="54">
        <v>100.0896</v>
      </c>
      <c r="DQ430" s="54">
        <v>100.09820000000001</v>
      </c>
      <c r="DR430" s="54">
        <v>195364</v>
      </c>
      <c r="DS430" s="96">
        <v>34974</v>
      </c>
      <c r="DT430" s="96">
        <v>93.6</v>
      </c>
      <c r="DU430" s="56">
        <v>479.90866088867188</v>
      </c>
      <c r="DV430" s="56">
        <v>929.55401611328125</v>
      </c>
      <c r="DW430" s="56">
        <v>1422</v>
      </c>
      <c r="DX430" s="56">
        <v>143850</v>
      </c>
      <c r="DY430" s="56">
        <v>93.8</v>
      </c>
    </row>
    <row r="431" spans="1:130" x14ac:dyDescent="0.25">
      <c r="A431" s="1">
        <v>45839</v>
      </c>
      <c r="B431" s="34">
        <v>92.8</v>
      </c>
      <c r="C431" s="45">
        <v>1.921</v>
      </c>
      <c r="D431" s="99">
        <v>2.15</v>
      </c>
      <c r="E431" s="34">
        <v>2.02</v>
      </c>
      <c r="F431" s="34">
        <v>2.0699999999999998</v>
      </c>
      <c r="G431" s="34">
        <v>2.31</v>
      </c>
      <c r="H431" s="34">
        <v>2.63</v>
      </c>
      <c r="I431" s="34">
        <f t="shared" si="177"/>
        <v>0.70899999999999985</v>
      </c>
      <c r="J431" s="34">
        <f t="shared" si="178"/>
        <v>0.48</v>
      </c>
      <c r="K431" s="34">
        <f t="shared" si="179"/>
        <v>0.60999999999999988</v>
      </c>
      <c r="L431" s="34">
        <f t="shared" si="180"/>
        <v>0.22899999999999987</v>
      </c>
      <c r="M431" s="34">
        <v>98.9</v>
      </c>
      <c r="N431" s="34">
        <v>23673.29</v>
      </c>
      <c r="O431" s="34">
        <v>22.01</v>
      </c>
      <c r="P431" s="34">
        <v>2796.5</v>
      </c>
      <c r="Q431" s="34">
        <f t="shared" si="181"/>
        <v>23.246051537822112</v>
      </c>
      <c r="R431" s="34">
        <v>3929.3</v>
      </c>
      <c r="S431" s="34">
        <f t="shared" si="182"/>
        <v>3266.2510390689945</v>
      </c>
      <c r="T431" s="34">
        <v>4013.5</v>
      </c>
      <c r="U431" s="34">
        <f t="shared" si="183"/>
        <v>3336.2427265170409</v>
      </c>
      <c r="V431" s="34">
        <v>273774</v>
      </c>
      <c r="W431" s="34">
        <v>10812716</v>
      </c>
      <c r="X431" s="34">
        <v>15737809</v>
      </c>
      <c r="Y431" s="34">
        <v>1185691</v>
      </c>
      <c r="Z431" s="34">
        <v>84.4</v>
      </c>
      <c r="AA431" s="34">
        <v>85</v>
      </c>
      <c r="AB431" s="34">
        <v>98.4</v>
      </c>
      <c r="AC431" s="34">
        <v>88</v>
      </c>
      <c r="AD431" s="34">
        <v>45984</v>
      </c>
      <c r="AE431" s="34">
        <v>6.3</v>
      </c>
      <c r="AF431" s="34">
        <v>618</v>
      </c>
      <c r="AG431" s="34">
        <v>122</v>
      </c>
      <c r="AH431" s="34">
        <v>120.3</v>
      </c>
      <c r="AI431" s="34">
        <v>111.1</v>
      </c>
      <c r="AJ431" s="34">
        <v>113.8</v>
      </c>
      <c r="AK431" s="34">
        <v>246.09564</v>
      </c>
      <c r="AL431" s="34">
        <v>144.9</v>
      </c>
      <c r="AM431" s="34">
        <v>132.09</v>
      </c>
      <c r="AN431" s="34">
        <v>187.66</v>
      </c>
      <c r="AO431" s="34">
        <v>140.69</v>
      </c>
      <c r="AP431" s="34">
        <v>59.61</v>
      </c>
      <c r="AQ431" s="34">
        <f t="shared" si="176"/>
        <v>0.53654365436543661</v>
      </c>
      <c r="AR431" s="34">
        <v>88.3</v>
      </c>
      <c r="AS431" s="34">
        <v>92.3</v>
      </c>
      <c r="AT431" s="34">
        <v>84.4</v>
      </c>
      <c r="AU431" s="34">
        <v>87.8</v>
      </c>
      <c r="AV431" s="34">
        <v>94.4</v>
      </c>
      <c r="AW431" s="34">
        <v>81.7</v>
      </c>
      <c r="AX431" s="34">
        <v>-13.6</v>
      </c>
      <c r="AY431" s="34">
        <v>9.3000000000000007</v>
      </c>
      <c r="AZ431" s="34">
        <v>-14</v>
      </c>
      <c r="BA431" s="34">
        <v>2.9</v>
      </c>
      <c r="BB431" s="34">
        <v>86.6</v>
      </c>
      <c r="BC431" s="34">
        <v>89.4</v>
      </c>
      <c r="BD431" s="34">
        <v>84</v>
      </c>
      <c r="BE431" s="34">
        <v>-59.5</v>
      </c>
      <c r="BF431" s="34">
        <v>52.7</v>
      </c>
      <c r="BG431" s="34">
        <v>10.1</v>
      </c>
      <c r="BH431" s="34">
        <v>172.8</v>
      </c>
      <c r="BI431" s="34">
        <v>2.2000000000000002</v>
      </c>
      <c r="BJ431" s="86">
        <v>49.1</v>
      </c>
      <c r="BK431" s="54">
        <v>34</v>
      </c>
      <c r="BL431" s="34">
        <v>0.36</v>
      </c>
      <c r="BM431" s="34">
        <v>100.69</v>
      </c>
      <c r="BN431" s="34">
        <v>100.5943</v>
      </c>
      <c r="BO431" s="34">
        <v>-39.4</v>
      </c>
      <c r="BP431" s="34">
        <v>-37.4</v>
      </c>
      <c r="BQ431" s="34">
        <v>17.3</v>
      </c>
      <c r="BR431" s="34">
        <v>2.6</v>
      </c>
      <c r="BS431" s="34">
        <v>7.6</v>
      </c>
      <c r="BT431" s="34">
        <v>-17.8</v>
      </c>
      <c r="BU431" s="34">
        <v>-18.100000000000001</v>
      </c>
      <c r="BV431" s="34">
        <v>3.9</v>
      </c>
      <c r="BW431" s="34">
        <v>-8.9</v>
      </c>
      <c r="BX431" s="34">
        <v>-23.2</v>
      </c>
      <c r="BY431" s="34">
        <v>-13</v>
      </c>
      <c r="BZ431" s="34">
        <v>92.4</v>
      </c>
      <c r="CA431" s="34">
        <v>-8.9</v>
      </c>
      <c r="CB431" s="34">
        <v>-2</v>
      </c>
      <c r="CC431" s="34">
        <v>2.2000000000000002</v>
      </c>
      <c r="CD431" s="34">
        <v>-35.5</v>
      </c>
      <c r="CE431" s="34">
        <v>-22.4</v>
      </c>
      <c r="CF431" s="34">
        <v>46.2</v>
      </c>
      <c r="CG431" s="34">
        <v>29.8</v>
      </c>
      <c r="CH431" s="34">
        <v>33.299999999999997</v>
      </c>
      <c r="CI431" s="34">
        <v>-22.6</v>
      </c>
      <c r="CJ431" s="34">
        <v>-13.3</v>
      </c>
      <c r="CK431" s="34">
        <v>26.3</v>
      </c>
      <c r="CL431" s="34">
        <v>30.6</v>
      </c>
      <c r="CM431" s="34">
        <v>5351.6696089999996</v>
      </c>
      <c r="CN431" s="34">
        <v>44494.94</v>
      </c>
      <c r="CO431" s="34">
        <v>6296.4981820000003</v>
      </c>
      <c r="CP431" s="34">
        <v>4.4580000000000002</v>
      </c>
      <c r="CQ431" s="34">
        <v>4.26</v>
      </c>
      <c r="CR431" s="34">
        <v>57.7</v>
      </c>
      <c r="CS431" s="34">
        <v>52.05</v>
      </c>
      <c r="CT431" s="34">
        <v>92.5</v>
      </c>
      <c r="CU431" s="34">
        <v>102.5</v>
      </c>
      <c r="CV431" s="34">
        <v>99.1</v>
      </c>
      <c r="CW431" s="34">
        <v>97.6</v>
      </c>
      <c r="CX431" s="34">
        <v>90.2</v>
      </c>
      <c r="CY431" s="34">
        <v>11.13</v>
      </c>
      <c r="CZ431" s="34">
        <v>75303.195999999996</v>
      </c>
      <c r="DA431" s="34">
        <v>7.83</v>
      </c>
      <c r="DB431" s="34">
        <v>39.35</v>
      </c>
      <c r="DC431" s="34">
        <v>74.38</v>
      </c>
      <c r="DD431" s="34">
        <v>18.68</v>
      </c>
      <c r="DE431" s="34">
        <v>19190.412</v>
      </c>
      <c r="DF431" s="34">
        <v>3488.2159999999999</v>
      </c>
      <c r="DG431" s="34">
        <v>582.43100000000004</v>
      </c>
      <c r="DH431" s="34">
        <v>1648.979</v>
      </c>
      <c r="DI431" s="34">
        <v>7032.7780000000002</v>
      </c>
      <c r="DJ431" s="34">
        <v>99.912899999999993</v>
      </c>
      <c r="DK431" s="34">
        <v>99.916300000000007</v>
      </c>
      <c r="DL431" s="34">
        <v>99.59</v>
      </c>
      <c r="DM431" s="34">
        <v>99.480999999999995</v>
      </c>
      <c r="DN431" s="34">
        <v>100.5943</v>
      </c>
      <c r="DO431" s="34">
        <v>100.69</v>
      </c>
      <c r="DP431" s="34">
        <v>100.1277</v>
      </c>
      <c r="DQ431" s="34">
        <v>100.14019999999999</v>
      </c>
      <c r="DR431" s="34">
        <v>186888</v>
      </c>
      <c r="DS431" s="73">
        <v>34976</v>
      </c>
      <c r="DT431" s="73">
        <v>94</v>
      </c>
      <c r="DU431" s="56">
        <v>592.67218017578125</v>
      </c>
      <c r="DV431" s="56">
        <v>1371.900390625</v>
      </c>
      <c r="DW431">
        <v>1458</v>
      </c>
      <c r="DX431">
        <v>93250</v>
      </c>
      <c r="DY431" s="56">
        <v>96.1</v>
      </c>
    </row>
    <row r="432" spans="1:130" x14ac:dyDescent="0.25">
      <c r="A432" s="1">
        <v>45870</v>
      </c>
      <c r="B432" s="34">
        <v>89.4</v>
      </c>
      <c r="C432" s="45">
        <v>1.927</v>
      </c>
      <c r="D432" s="99">
        <v>2.15</v>
      </c>
      <c r="E432" s="34">
        <v>2</v>
      </c>
      <c r="F432" s="34">
        <v>2.13</v>
      </c>
      <c r="G432" s="34">
        <v>2.37</v>
      </c>
      <c r="H432" s="34">
        <v>2.67</v>
      </c>
      <c r="I432" s="34">
        <f t="shared" ref="I432" si="184">IF(ISNUMBER(C432),IF(ISNUMBER(H432),H432-C432,""),"")</f>
        <v>0.74299999999999988</v>
      </c>
      <c r="J432" s="34">
        <f t="shared" ref="J432" si="185">IF(ISNUMBER(D432),IF(ISNUMBER(H432),H432-D432,""),"")</f>
        <v>0.52</v>
      </c>
      <c r="K432" s="34">
        <f t="shared" ref="K432" si="186">IF(ISNUMBER(H432),IF(ISNUMBER(E432),H432-E432,""),"")</f>
        <v>0.66999999999999993</v>
      </c>
      <c r="L432" s="34">
        <f t="shared" ref="L432" si="187">IF(ISNUMBER(D432),IF(ISNUMBER(C432),D432-C432,""),"")</f>
        <v>0.22299999999999986</v>
      </c>
      <c r="M432" s="34">
        <v>98.9</v>
      </c>
      <c r="N432" s="34">
        <v>23425.97</v>
      </c>
      <c r="O432" s="34">
        <v>16.87</v>
      </c>
      <c r="P432" s="34">
        <v>2805.3</v>
      </c>
      <c r="Q432" s="34">
        <f t="shared" ref="Q432" si="188">IF(ISNUMBER(P432),IF(ISNUMBER(AH432),P432/AH432,"NA"),"")</f>
        <v>23.261194029850749</v>
      </c>
      <c r="R432" s="34">
        <v>3934.2</v>
      </c>
      <c r="S432" s="34">
        <f t="shared" ref="S432" si="189">IF(ISNUMBER(R432),IF(ISNUMBER(AH432),R432/AH432*100,""),"")</f>
        <v>3262.1890547263683</v>
      </c>
      <c r="T432" s="34">
        <v>4018.7</v>
      </c>
      <c r="U432" s="34">
        <f t="shared" ref="U432" si="190">IF(ISNUMBER(T432),IF(ISNUMBER(AH432),T432/AH432*100,""),"")</f>
        <v>3332.255389718076</v>
      </c>
      <c r="V432" s="34">
        <v>275223</v>
      </c>
      <c r="W432" s="34">
        <v>10840616</v>
      </c>
      <c r="X432" s="34">
        <v>15755461</v>
      </c>
      <c r="Y432" s="34">
        <v>1171507</v>
      </c>
      <c r="Z432" s="34">
        <v>84.5</v>
      </c>
      <c r="AA432" s="34">
        <v>84.7</v>
      </c>
      <c r="AB432" s="34">
        <v>90.1</v>
      </c>
      <c r="AC432" s="34">
        <v>86.9</v>
      </c>
      <c r="AD432" s="34">
        <v>45962</v>
      </c>
      <c r="AE432" s="34">
        <v>6.3</v>
      </c>
      <c r="AF432" s="34">
        <v>616</v>
      </c>
      <c r="AG432" s="34">
        <v>122.2</v>
      </c>
      <c r="AH432" s="34">
        <v>120.6</v>
      </c>
      <c r="AI432" s="34">
        <v>110.8</v>
      </c>
      <c r="AJ432" s="34">
        <v>113.8</v>
      </c>
      <c r="AK432" s="34">
        <v>244.923756</v>
      </c>
      <c r="AL432" s="34">
        <v>110.5</v>
      </c>
      <c r="AM432" s="34">
        <v>132.19999999999999</v>
      </c>
      <c r="AN432" s="34">
        <v>180.05</v>
      </c>
      <c r="AO432" s="34">
        <v>142.53</v>
      </c>
      <c r="AP432" s="34">
        <v>57.74</v>
      </c>
      <c r="AQ432" s="34">
        <f t="shared" ref="AQ432" si="191">IF(ISNUMBER(AP432),IF(ISNUMBER($AI432),AP432/$AI432,""),"")</f>
        <v>0.5211191335740073</v>
      </c>
      <c r="AR432" s="34">
        <v>87.9</v>
      </c>
      <c r="AS432" s="34">
        <v>92.6</v>
      </c>
      <c r="AT432" s="34">
        <v>83.4</v>
      </c>
      <c r="AU432" s="34">
        <v>87.7</v>
      </c>
      <c r="AV432" s="34">
        <v>94.5</v>
      </c>
      <c r="AW432" s="34">
        <v>81.5</v>
      </c>
      <c r="AX432" s="34">
        <v>-8.1999999999999993</v>
      </c>
      <c r="AY432" s="34">
        <v>-12.7</v>
      </c>
      <c r="AZ432" s="34">
        <v>-15.5</v>
      </c>
      <c r="BA432" s="34">
        <v>-4.0999999999999996</v>
      </c>
      <c r="BB432" s="34">
        <v>86.1</v>
      </c>
      <c r="BC432" s="34">
        <v>89.7</v>
      </c>
      <c r="BD432" s="34">
        <v>82.6</v>
      </c>
      <c r="BE432" s="34">
        <v>-68.599999999999994</v>
      </c>
      <c r="BF432" s="34">
        <v>34.700000000000003</v>
      </c>
      <c r="BG432" s="34">
        <v>2.7</v>
      </c>
      <c r="BH432" s="34">
        <v>172.8</v>
      </c>
      <c r="BI432" s="34">
        <v>4.2</v>
      </c>
      <c r="BJ432" s="86">
        <v>49.9</v>
      </c>
      <c r="BK432" s="54">
        <v>35</v>
      </c>
      <c r="BL432" s="34">
        <v>0.47</v>
      </c>
      <c r="BM432" s="34">
        <v>100.8408</v>
      </c>
      <c r="BN432" s="34">
        <v>100.7238</v>
      </c>
      <c r="BO432" s="34">
        <v>-38.1</v>
      </c>
      <c r="BP432" s="34">
        <v>-36.1</v>
      </c>
      <c r="BQ432" s="34">
        <v>16.7</v>
      </c>
      <c r="BR432" s="34">
        <v>-3.4</v>
      </c>
      <c r="BS432" s="34">
        <v>5.9</v>
      </c>
      <c r="BT432" s="34">
        <v>-16.5</v>
      </c>
      <c r="BU432" s="34">
        <v>-19.399999999999999</v>
      </c>
      <c r="BV432" s="34">
        <v>4.5999999999999996</v>
      </c>
      <c r="BW432" s="34">
        <v>-10.4</v>
      </c>
      <c r="BX432" s="34">
        <v>-22</v>
      </c>
      <c r="BY432" s="34">
        <v>-12.7</v>
      </c>
      <c r="BZ432" s="34">
        <v>91.5</v>
      </c>
      <c r="CA432" s="34">
        <v>-10.4</v>
      </c>
      <c r="CB432" s="34">
        <v>-3.1</v>
      </c>
      <c r="CC432" s="34">
        <v>0</v>
      </c>
      <c r="CD432" s="34">
        <v>-37</v>
      </c>
      <c r="CE432" s="34">
        <v>-24.5</v>
      </c>
      <c r="CF432" s="34">
        <v>45</v>
      </c>
      <c r="CG432" s="34">
        <v>31.9</v>
      </c>
      <c r="CH432" s="34">
        <v>33.799999999999997</v>
      </c>
      <c r="CI432" s="34">
        <v>-24.1</v>
      </c>
      <c r="CJ432" s="34">
        <v>-14.2</v>
      </c>
      <c r="CK432" s="34">
        <v>23.1</v>
      </c>
      <c r="CL432" s="34">
        <v>26.6</v>
      </c>
      <c r="CM432" s="34">
        <v>5373.7999520000003</v>
      </c>
      <c r="CN432" s="34">
        <v>43588.58</v>
      </c>
      <c r="CO432" s="34">
        <v>6408.9495239999997</v>
      </c>
      <c r="CP432" s="34">
        <v>4.5229999999999997</v>
      </c>
      <c r="CQ432" s="34">
        <v>4.2300000000000004</v>
      </c>
      <c r="CR432" s="34">
        <v>55.9</v>
      </c>
      <c r="CS432" s="34">
        <v>50.55</v>
      </c>
      <c r="CT432" s="34">
        <v>92.6</v>
      </c>
      <c r="CU432" s="34">
        <v>101.4</v>
      </c>
      <c r="CV432" s="34">
        <v>99.9</v>
      </c>
      <c r="CW432" s="34">
        <v>102.6</v>
      </c>
      <c r="CX432" s="34">
        <v>91.9</v>
      </c>
      <c r="CY432" s="34">
        <v>10.84</v>
      </c>
      <c r="CZ432" s="34">
        <v>63490.62</v>
      </c>
      <c r="DA432" s="34">
        <v>7.99</v>
      </c>
      <c r="DB432" s="34">
        <v>38.89</v>
      </c>
      <c r="DC432" s="34">
        <v>72.459999999999994</v>
      </c>
      <c r="DD432" s="34">
        <v>18.18</v>
      </c>
      <c r="DE432" s="34">
        <v>16622.278999999999</v>
      </c>
      <c r="DF432" s="34">
        <v>2952.6350000000002</v>
      </c>
      <c r="DG432" s="34">
        <v>522.76400000000001</v>
      </c>
      <c r="DH432" s="34">
        <v>1385.94</v>
      </c>
      <c r="DI432" s="34">
        <v>6221.64</v>
      </c>
      <c r="DJ432" s="34">
        <v>99.895899999999997</v>
      </c>
      <c r="DK432" s="34">
        <v>99.897099999999995</v>
      </c>
      <c r="DL432" s="34">
        <v>99.47</v>
      </c>
      <c r="DM432" s="34">
        <v>99.328800000000001</v>
      </c>
      <c r="DN432" s="34">
        <v>100.7238</v>
      </c>
      <c r="DO432" s="34">
        <v>100.8408</v>
      </c>
      <c r="DP432" s="34">
        <v>100.1581</v>
      </c>
      <c r="DQ432" s="34">
        <v>100.1735</v>
      </c>
      <c r="DR432" s="34">
        <v>164861</v>
      </c>
      <c r="DS432" s="73">
        <v>34952</v>
      </c>
      <c r="DT432" s="73">
        <v>93.8</v>
      </c>
      <c r="DU432" s="56">
        <v>413.15994262695313</v>
      </c>
      <c r="DV432" s="56">
        <v>990.49658203125</v>
      </c>
      <c r="DW432">
        <v>2018</v>
      </c>
      <c r="DX432">
        <v>139575</v>
      </c>
      <c r="DY432" s="56">
        <v>93.8</v>
      </c>
    </row>
    <row r="433" spans="1:129" s="56" customFormat="1" x14ac:dyDescent="0.25">
      <c r="A433" s="1">
        <v>45901</v>
      </c>
      <c r="B433" s="54">
        <v>90.4</v>
      </c>
      <c r="C433" s="55">
        <v>1.925</v>
      </c>
      <c r="D433" s="98">
        <v>2.15</v>
      </c>
      <c r="E433" s="54">
        <v>2.0099999999999998</v>
      </c>
      <c r="F433" s="54">
        <v>2.15</v>
      </c>
      <c r="G433" s="54">
        <v>2.39</v>
      </c>
      <c r="H433" s="54">
        <v>2.69</v>
      </c>
      <c r="I433" s="54">
        <f t="shared" ref="I433:I435" si="192">IF(ISNUMBER(C433),IF(ISNUMBER(H433),H433-C433,""),"")</f>
        <v>0.7649999999999999</v>
      </c>
      <c r="J433" s="54">
        <f t="shared" ref="J433:J435" si="193">IF(ISNUMBER(D433),IF(ISNUMBER(H433),H433-D433,""),"")</f>
        <v>0.54</v>
      </c>
      <c r="K433" s="54">
        <f t="shared" ref="K433:K435" si="194">IF(ISNUMBER(H433),IF(ISNUMBER(E433),H433-E433,""),"")</f>
        <v>0.68000000000000016</v>
      </c>
      <c r="L433" s="54">
        <f t="shared" ref="L433:L435" si="195">IF(ISNUMBER(D433),IF(ISNUMBER(C433),D433-C433,""),"")</f>
        <v>0.22499999999999987</v>
      </c>
      <c r="M433" s="54">
        <v>99.1</v>
      </c>
      <c r="N433" s="54">
        <v>24037.33</v>
      </c>
      <c r="O433" s="54">
        <v>16.05</v>
      </c>
      <c r="P433" s="54">
        <v>2811.1</v>
      </c>
      <c r="Q433" s="54">
        <f t="shared" ref="Q433:Q435" si="196">IF(ISNUMBER(P433),IF(ISNUMBER(AH433),P433/AH433,"NA"),"")</f>
        <v>23.251447477253926</v>
      </c>
      <c r="R433" s="54">
        <v>3934</v>
      </c>
      <c r="S433" s="54">
        <f t="shared" ref="S433:S435" si="197">IF(ISNUMBER(R433),IF(ISNUMBER(AH433),R433/AH433*100,""),"")</f>
        <v>3253.9288668320928</v>
      </c>
      <c r="T433" s="54">
        <v>4023.9</v>
      </c>
      <c r="U433" s="54">
        <f t="shared" ref="U433:U435" si="198">IF(ISNUMBER(T433),IF(ISNUMBER(AH433),T433/AH433*100,""),"")</f>
        <v>3328.2878411910665</v>
      </c>
      <c r="V433" s="54">
        <v>274793</v>
      </c>
      <c r="W433" s="54">
        <v>10896148</v>
      </c>
      <c r="X433" s="54">
        <v>15789300</v>
      </c>
      <c r="Y433" s="54">
        <v>1193475</v>
      </c>
      <c r="Z433" s="54">
        <v>84.6</v>
      </c>
      <c r="AA433" s="54">
        <v>86.5</v>
      </c>
      <c r="AB433" s="54">
        <v>96.2</v>
      </c>
      <c r="AC433" s="54">
        <v>87.3</v>
      </c>
      <c r="AD433" s="54">
        <v>45952</v>
      </c>
      <c r="AE433" s="54">
        <v>6.3</v>
      </c>
      <c r="AF433" s="54">
        <v>615</v>
      </c>
      <c r="AG433" s="54">
        <v>122.5</v>
      </c>
      <c r="AH433" s="54">
        <v>120.9</v>
      </c>
      <c r="AI433" s="54">
        <v>110.9</v>
      </c>
      <c r="AJ433" s="54">
        <v>113.9</v>
      </c>
      <c r="AK433" s="54">
        <v>244.728442</v>
      </c>
      <c r="AL433" s="54">
        <v>110.4</v>
      </c>
      <c r="AM433" s="54">
        <v>132.88</v>
      </c>
      <c r="AN433" s="54">
        <v>179.67</v>
      </c>
      <c r="AO433" s="54">
        <v>143.36000000000001</v>
      </c>
      <c r="AP433" s="54">
        <v>57.6</v>
      </c>
      <c r="AQ433" s="54">
        <f t="shared" ref="AQ433:AQ435" si="199">IF(ISNUMBER(AP433),IF(ISNUMBER($AI433),AP433/$AI433,""),"")</f>
        <v>0.51938683498647431</v>
      </c>
      <c r="AR433" s="54">
        <v>87.8</v>
      </c>
      <c r="AS433" s="54">
        <v>92.3</v>
      </c>
      <c r="AT433" s="54">
        <v>83.5</v>
      </c>
      <c r="AU433" s="54">
        <v>87.2</v>
      </c>
      <c r="AV433" s="54">
        <v>93.8</v>
      </c>
      <c r="AW433" s="54">
        <v>81.2</v>
      </c>
      <c r="AX433" s="54">
        <v>-11.9</v>
      </c>
      <c r="AY433" s="54">
        <v>9</v>
      </c>
      <c r="AZ433" s="54">
        <v>-12.4</v>
      </c>
      <c r="BA433" s="54">
        <v>-3.5</v>
      </c>
      <c r="BB433" s="54">
        <v>84.8</v>
      </c>
      <c r="BC433" s="54">
        <v>87.1</v>
      </c>
      <c r="BD433" s="54">
        <v>82.5</v>
      </c>
      <c r="BE433" s="54">
        <v>-76.400000000000006</v>
      </c>
      <c r="BF433" s="54">
        <v>37.299999999999997</v>
      </c>
      <c r="BG433" s="54">
        <v>-1.4</v>
      </c>
      <c r="BH433" s="54">
        <v>177.4</v>
      </c>
      <c r="BI433" s="54">
        <v>3.3</v>
      </c>
      <c r="BJ433" s="127">
        <v>49.5</v>
      </c>
      <c r="BK433" s="54">
        <v>32</v>
      </c>
      <c r="BL433" s="54">
        <v>0.48</v>
      </c>
      <c r="BM433" s="54">
        <v>100.97929999999999</v>
      </c>
      <c r="BN433" s="54">
        <v>100.8428</v>
      </c>
      <c r="BO433" s="54">
        <v>-42</v>
      </c>
      <c r="BP433" s="54">
        <v>-36.6</v>
      </c>
      <c r="BQ433" s="54">
        <v>19.5</v>
      </c>
      <c r="BR433" s="54">
        <v>1.1000000000000001</v>
      </c>
      <c r="BS433" s="54">
        <v>5.7</v>
      </c>
      <c r="BT433" s="54">
        <v>-19</v>
      </c>
      <c r="BU433" s="54">
        <v>-20.100000000000001</v>
      </c>
      <c r="BV433" s="54">
        <v>1.7</v>
      </c>
      <c r="BW433" s="54">
        <v>-9</v>
      </c>
      <c r="BX433" s="54">
        <v>-22.9</v>
      </c>
      <c r="BY433" s="54">
        <v>-14.9</v>
      </c>
      <c r="BZ433" s="54">
        <v>90.9</v>
      </c>
      <c r="CA433" s="54">
        <v>-9</v>
      </c>
      <c r="CB433" s="54">
        <v>-2.2999999999999998</v>
      </c>
      <c r="CC433" s="54">
        <v>2.1</v>
      </c>
      <c r="CD433" s="54">
        <v>-38.299999999999997</v>
      </c>
      <c r="CE433" s="54">
        <v>-24.5</v>
      </c>
      <c r="CF433" s="54">
        <v>47.9</v>
      </c>
      <c r="CG433" s="54">
        <v>33.4</v>
      </c>
      <c r="CH433" s="54">
        <v>34.1</v>
      </c>
      <c r="CI433" s="54">
        <v>-22.6</v>
      </c>
      <c r="CJ433" s="54">
        <v>-11.4</v>
      </c>
      <c r="CK433" s="54">
        <v>20.9</v>
      </c>
      <c r="CL433" s="54">
        <v>28</v>
      </c>
      <c r="CM433" s="54">
        <v>5408.0214089999999</v>
      </c>
      <c r="CN433" s="54">
        <v>45544.88</v>
      </c>
      <c r="CO433" s="54">
        <v>6584.0180950000004</v>
      </c>
      <c r="CP433" s="54">
        <v>4.7590000000000003</v>
      </c>
      <c r="CQ433" s="54">
        <v>4.2300000000000004</v>
      </c>
      <c r="CR433" s="54">
        <v>51.7</v>
      </c>
      <c r="CS433" s="54">
        <v>49.85</v>
      </c>
      <c r="CT433" s="54">
        <v>93.1</v>
      </c>
      <c r="CU433" s="54">
        <v>104.3</v>
      </c>
      <c r="CV433" s="54">
        <v>99.9</v>
      </c>
      <c r="CW433" s="54">
        <v>102.1</v>
      </c>
      <c r="CX433" s="54">
        <v>97.3</v>
      </c>
      <c r="CY433" s="54">
        <v>12.2</v>
      </c>
      <c r="CZ433" s="54">
        <v>78301.888999999996</v>
      </c>
      <c r="DA433" s="54">
        <v>8.66</v>
      </c>
      <c r="DB433" s="54">
        <v>39.1</v>
      </c>
      <c r="DC433" s="54">
        <v>74.28</v>
      </c>
      <c r="DD433" s="54">
        <v>17.98</v>
      </c>
      <c r="DE433" s="54">
        <v>18638.543000000001</v>
      </c>
      <c r="DF433" s="54">
        <v>3209.4119999999998</v>
      </c>
      <c r="DG433" s="54">
        <v>583.25300000000004</v>
      </c>
      <c r="DH433" s="54">
        <v>1565.125</v>
      </c>
      <c r="DI433" s="54">
        <v>6771.6819999999998</v>
      </c>
      <c r="DJ433" s="54">
        <v>99.891000000000005</v>
      </c>
      <c r="DK433" s="54">
        <v>99.892799999999994</v>
      </c>
      <c r="DL433" s="54">
        <v>99.37</v>
      </c>
      <c r="DM433" s="54">
        <v>99.197400000000002</v>
      </c>
      <c r="DN433" s="54">
        <v>100.8428</v>
      </c>
      <c r="DO433" s="54">
        <v>100.97929999999999</v>
      </c>
      <c r="DP433" s="54">
        <v>100.1814</v>
      </c>
      <c r="DQ433" s="54">
        <v>100.1992</v>
      </c>
      <c r="DR433" s="54">
        <v>181955</v>
      </c>
      <c r="DS433" s="96">
        <v>34956</v>
      </c>
      <c r="DT433" s="96">
        <v>92.5</v>
      </c>
      <c r="DU433" s="56">
        <v>468.15267944335938</v>
      </c>
      <c r="DV433" s="56">
        <v>964.36767578125</v>
      </c>
      <c r="DW433" s="56">
        <v>2024</v>
      </c>
      <c r="DX433" s="56">
        <v>158775</v>
      </c>
      <c r="DY433" s="56">
        <v>94.3</v>
      </c>
    </row>
    <row r="434" spans="1:129" x14ac:dyDescent="0.25">
      <c r="A434" s="1">
        <v>45931</v>
      </c>
      <c r="B434" s="34">
        <v>92.2</v>
      </c>
      <c r="C434" s="45">
        <v>1.927</v>
      </c>
      <c r="D434" s="99">
        <v>2.15</v>
      </c>
      <c r="E434" s="34">
        <v>2.0299999999999998</v>
      </c>
      <c r="F434" s="34">
        <v>2.12</v>
      </c>
      <c r="G434" s="34">
        <v>2.34</v>
      </c>
      <c r="H434" s="34">
        <v>2.62</v>
      </c>
      <c r="I434" s="34">
        <f t="shared" si="192"/>
        <v>0.69300000000000006</v>
      </c>
      <c r="J434" s="34">
        <f t="shared" si="193"/>
        <v>0.4700000000000002</v>
      </c>
      <c r="K434" s="34">
        <f t="shared" si="194"/>
        <v>0.5900000000000003</v>
      </c>
      <c r="L434" s="34">
        <f t="shared" si="195"/>
        <v>0.22299999999999986</v>
      </c>
      <c r="M434" s="34">
        <v>99.2</v>
      </c>
      <c r="N434" s="34">
        <v>24113.62</v>
      </c>
      <c r="O434" s="34">
        <v>18.059999999999999</v>
      </c>
      <c r="P434" s="34">
        <v>2859.5</v>
      </c>
      <c r="Q434" s="34">
        <f t="shared" si="196"/>
        <v>23.593234323432341</v>
      </c>
      <c r="R434" s="34">
        <v>3989.8</v>
      </c>
      <c r="S434" s="34">
        <f t="shared" si="197"/>
        <v>3291.9141914191423</v>
      </c>
      <c r="T434" s="34">
        <v>4081.1</v>
      </c>
      <c r="U434" s="34">
        <f t="shared" si="198"/>
        <v>3367.2442244224421</v>
      </c>
      <c r="V434" s="34">
        <v>326081</v>
      </c>
      <c r="W434" s="34">
        <v>10993948</v>
      </c>
      <c r="X434" s="34">
        <v>15901067</v>
      </c>
      <c r="Y434" s="34">
        <v>1172595</v>
      </c>
      <c r="Z434" s="34">
        <v>85.1</v>
      </c>
      <c r="AA434" s="34">
        <v>87.9</v>
      </c>
      <c r="AB434" s="34">
        <v>94.6</v>
      </c>
      <c r="AC434" s="34">
        <v>91.9</v>
      </c>
      <c r="AD434" s="34">
        <v>45948</v>
      </c>
      <c r="AE434" s="34">
        <v>6.3</v>
      </c>
      <c r="AF434" s="34">
        <v>615</v>
      </c>
      <c r="AG434" s="34">
        <v>122.8</v>
      </c>
      <c r="AH434" s="34">
        <v>121.2</v>
      </c>
      <c r="AI434" s="34">
        <v>111</v>
      </c>
      <c r="AJ434" s="34">
        <v>114.1</v>
      </c>
      <c r="AK434" s="34">
        <v>244.923756</v>
      </c>
      <c r="AL434" s="34">
        <v>110.4</v>
      </c>
      <c r="AM434" s="34">
        <v>138.12</v>
      </c>
      <c r="AN434" s="34">
        <v>175.17</v>
      </c>
      <c r="AO434" s="34">
        <v>144.63</v>
      </c>
      <c r="AP434" s="34">
        <v>54.98</v>
      </c>
      <c r="AQ434" s="34">
        <f t="shared" si="199"/>
        <v>0.49531531531531531</v>
      </c>
      <c r="AR434" s="34">
        <v>88.2</v>
      </c>
      <c r="AS434" s="34">
        <v>94.2</v>
      </c>
      <c r="AT434" s="34">
        <v>82.6</v>
      </c>
      <c r="AU434" s="34">
        <v>88.1</v>
      </c>
      <c r="AV434" s="34">
        <v>96.9</v>
      </c>
      <c r="AW434" s="34">
        <v>80.099999999999994</v>
      </c>
      <c r="AX434" s="34">
        <v>-8.8000000000000007</v>
      </c>
      <c r="AY434" s="34">
        <v>3.7</v>
      </c>
      <c r="AZ434" s="34">
        <v>-13.9</v>
      </c>
      <c r="BA434" s="34">
        <v>-3.5</v>
      </c>
      <c r="BB434" s="34">
        <v>85.6</v>
      </c>
      <c r="BC434" s="34">
        <v>90.5</v>
      </c>
      <c r="BD434" s="34">
        <v>81</v>
      </c>
      <c r="BE434" s="34">
        <v>-80</v>
      </c>
      <c r="BF434" s="34">
        <v>39.299999999999997</v>
      </c>
      <c r="BG434" s="34">
        <v>0.8</v>
      </c>
      <c r="BH434" s="34">
        <v>174.4</v>
      </c>
      <c r="BI434" s="34">
        <v>6.4</v>
      </c>
      <c r="BJ434" s="86">
        <v>49.6</v>
      </c>
      <c r="BK434" s="54">
        <v>27</v>
      </c>
      <c r="BL434" s="34">
        <v>0.49</v>
      </c>
      <c r="BM434" s="34">
        <v>101.1049</v>
      </c>
      <c r="BN434" s="34">
        <v>100.9507</v>
      </c>
      <c r="BO434" s="34">
        <v>-38.799999999999997</v>
      </c>
      <c r="BP434" s="34">
        <v>-34.700000000000003</v>
      </c>
      <c r="BQ434" s="34">
        <v>17.5</v>
      </c>
      <c r="BR434" s="34">
        <v>1.9</v>
      </c>
      <c r="BS434" s="34">
        <v>6</v>
      </c>
      <c r="BT434" s="34">
        <v>-21.5</v>
      </c>
      <c r="BU434" s="34">
        <v>-18.100000000000001</v>
      </c>
      <c r="BV434" s="34">
        <v>3.7</v>
      </c>
      <c r="BW434" s="34">
        <v>-10.5</v>
      </c>
      <c r="BX434" s="34">
        <v>-21.2</v>
      </c>
      <c r="BY434" s="34">
        <v>-13.7</v>
      </c>
      <c r="BZ434" s="34">
        <v>91.8</v>
      </c>
      <c r="CA434" s="34">
        <v>-10.5</v>
      </c>
      <c r="CB434" s="34">
        <v>-2.9</v>
      </c>
      <c r="CC434" s="34">
        <v>-0.9</v>
      </c>
      <c r="CD434" s="34">
        <v>-39.299999999999997</v>
      </c>
      <c r="CE434" s="34">
        <v>-25.4</v>
      </c>
      <c r="CF434" s="34">
        <v>46.4</v>
      </c>
      <c r="CG434" s="34">
        <v>33</v>
      </c>
      <c r="CH434" s="34">
        <v>33.5</v>
      </c>
      <c r="CI434" s="34">
        <v>-23.3</v>
      </c>
      <c r="CJ434" s="34">
        <v>-12.9</v>
      </c>
      <c r="CK434" s="34">
        <v>22.2</v>
      </c>
      <c r="CL434" s="34">
        <v>28.3</v>
      </c>
      <c r="CM434" s="34">
        <v>5641.0701300000001</v>
      </c>
      <c r="CN434" s="34">
        <v>46441.1</v>
      </c>
      <c r="CO434" s="34">
        <v>6735.6917389999999</v>
      </c>
      <c r="CP434" s="34">
        <v>4.7679999999999998</v>
      </c>
      <c r="CQ434" s="34">
        <v>4.12</v>
      </c>
      <c r="CR434" s="34">
        <v>50.3</v>
      </c>
      <c r="CS434" s="34">
        <v>48.26</v>
      </c>
      <c r="CT434" s="34">
        <v>95</v>
      </c>
      <c r="CU434" s="34">
        <v>103.7</v>
      </c>
      <c r="CV434" s="34">
        <v>98.4</v>
      </c>
      <c r="CW434" s="34">
        <v>103.2</v>
      </c>
      <c r="CX434" s="34">
        <v>96.8</v>
      </c>
      <c r="CY434" s="34">
        <v>11.26</v>
      </c>
      <c r="CZ434" s="34">
        <v>80890.145000000004</v>
      </c>
      <c r="DA434" s="34">
        <v>7.16</v>
      </c>
      <c r="DB434" s="34">
        <v>40.54</v>
      </c>
      <c r="DC434" s="34">
        <v>76.260000000000005</v>
      </c>
      <c r="DD434" s="34">
        <v>18.39</v>
      </c>
      <c r="DE434" s="34">
        <v>18087.88</v>
      </c>
      <c r="DF434" s="34">
        <v>3362.2779999999998</v>
      </c>
      <c r="DG434" s="34">
        <v>623.02300000000002</v>
      </c>
      <c r="DH434" s="34">
        <v>1455.9770000000001</v>
      </c>
      <c r="DI434" s="34">
        <v>6541.2960000000003</v>
      </c>
      <c r="DJ434" s="34">
        <v>99.896500000000003</v>
      </c>
      <c r="DK434" s="34">
        <v>99.901600000000002</v>
      </c>
      <c r="DL434" s="34">
        <v>99.28</v>
      </c>
      <c r="DM434" s="34">
        <v>99.087699999999998</v>
      </c>
      <c r="DN434" s="34">
        <v>100.9507</v>
      </c>
      <c r="DO434" s="34">
        <v>101.1049</v>
      </c>
      <c r="DP434" s="34">
        <v>100.1999</v>
      </c>
      <c r="DQ434" s="34">
        <v>100.2196</v>
      </c>
      <c r="DR434" s="34">
        <v>198195</v>
      </c>
      <c r="DS434" s="73">
        <v>34959</v>
      </c>
      <c r="DT434" s="73">
        <v>93.5</v>
      </c>
      <c r="DU434" s="56">
        <v>411.90090942382813</v>
      </c>
      <c r="DV434" s="56">
        <v>825.9334716796875</v>
      </c>
      <c r="DW434">
        <v>1980</v>
      </c>
      <c r="DX434">
        <v>140950</v>
      </c>
      <c r="DY434" s="56">
        <v>94.6</v>
      </c>
    </row>
    <row r="435" spans="1:129" x14ac:dyDescent="0.25">
      <c r="A435" s="1">
        <v>45962</v>
      </c>
      <c r="B435" s="34">
        <v>92.9</v>
      </c>
      <c r="C435" s="45">
        <v>1.9319999999999999</v>
      </c>
      <c r="D435" s="99">
        <v>2.15</v>
      </c>
      <c r="E435" s="34">
        <v>2.0299999999999998</v>
      </c>
      <c r="F435" s="34">
        <v>2.17</v>
      </c>
      <c r="G435" s="34">
        <v>2.39</v>
      </c>
      <c r="H435" s="34">
        <v>2.66</v>
      </c>
      <c r="I435" s="34">
        <f t="shared" si="192"/>
        <v>0.7280000000000002</v>
      </c>
      <c r="J435" s="34">
        <f t="shared" si="193"/>
        <v>0.51000000000000023</v>
      </c>
      <c r="K435" s="34">
        <f t="shared" si="194"/>
        <v>0.63000000000000034</v>
      </c>
      <c r="L435" s="34">
        <f t="shared" si="195"/>
        <v>0.21799999999999997</v>
      </c>
      <c r="M435" s="34">
        <v>99.2</v>
      </c>
      <c r="N435" s="34">
        <v>24132.41</v>
      </c>
      <c r="O435" s="34">
        <v>17.690000000000001</v>
      </c>
      <c r="P435" s="34">
        <v>2876</v>
      </c>
      <c r="Q435" s="34">
        <f t="shared" si="196"/>
        <v>23.690280065897856</v>
      </c>
      <c r="R435" s="34">
        <v>4031.3</v>
      </c>
      <c r="S435" s="34">
        <f t="shared" si="197"/>
        <v>3320.675453047776</v>
      </c>
      <c r="T435" s="34">
        <v>4123.2</v>
      </c>
      <c r="U435" s="34">
        <f t="shared" si="198"/>
        <v>3396.375617792422</v>
      </c>
      <c r="V435" s="34">
        <v>341199</v>
      </c>
      <c r="W435" s="34">
        <v>11058080</v>
      </c>
      <c r="X435" s="34">
        <v>16024591</v>
      </c>
      <c r="Y435" s="34">
        <v>1168101</v>
      </c>
      <c r="Z435" s="34">
        <v>84.4</v>
      </c>
      <c r="AA435" s="34">
        <v>92.8</v>
      </c>
      <c r="AB435" s="34">
        <v>102.4</v>
      </c>
      <c r="AC435" s="34">
        <v>99.2</v>
      </c>
      <c r="AD435" s="34">
        <v>45941</v>
      </c>
      <c r="AE435" s="34">
        <v>6.3</v>
      </c>
      <c r="AF435" s="34">
        <v>623</v>
      </c>
      <c r="AG435" s="34">
        <v>123</v>
      </c>
      <c r="AH435" s="34">
        <v>121.4</v>
      </c>
      <c r="AI435" s="34">
        <v>111.6</v>
      </c>
      <c r="AJ435" s="34">
        <v>114.4</v>
      </c>
      <c r="AK435" s="34">
        <v>244.923756</v>
      </c>
      <c r="AL435" s="34">
        <v>168.5</v>
      </c>
      <c r="AM435" s="34" t="s">
        <v>312</v>
      </c>
      <c r="AN435" s="34" t="s">
        <v>312</v>
      </c>
      <c r="AO435" s="34" t="s">
        <v>312</v>
      </c>
      <c r="AP435" s="34">
        <v>55.09</v>
      </c>
      <c r="AQ435" s="34">
        <f t="shared" si="199"/>
        <v>0.49363799283154125</v>
      </c>
      <c r="AR435" s="34">
        <v>87.3</v>
      </c>
      <c r="AS435" s="34">
        <v>91.9</v>
      </c>
      <c r="AT435" s="34">
        <v>82.9</v>
      </c>
      <c r="AU435" s="34">
        <v>87.1</v>
      </c>
      <c r="AV435" s="34">
        <v>94.1</v>
      </c>
      <c r="AW435" s="34">
        <v>80.599999999999994</v>
      </c>
      <c r="AX435" s="34">
        <v>-10.199999999999999</v>
      </c>
      <c r="AY435" s="34">
        <v>-5.9</v>
      </c>
      <c r="AZ435" s="34">
        <v>-15.7</v>
      </c>
      <c r="BA435" s="34">
        <v>0.5</v>
      </c>
      <c r="BB435" s="34">
        <v>86.1</v>
      </c>
      <c r="BC435" s="34">
        <v>90.2</v>
      </c>
      <c r="BD435" s="34">
        <v>82.2</v>
      </c>
      <c r="BE435" s="34">
        <v>-78.7</v>
      </c>
      <c r="BF435" s="34">
        <v>38.5</v>
      </c>
      <c r="BG435" s="34">
        <v>-1.1000000000000001</v>
      </c>
      <c r="BH435" s="34">
        <v>175.6</v>
      </c>
      <c r="BI435" s="34">
        <v>9.3000000000000007</v>
      </c>
      <c r="BJ435" s="86">
        <v>48.4</v>
      </c>
      <c r="BK435" s="54">
        <v>20</v>
      </c>
      <c r="BL435" s="34">
        <v>0.48</v>
      </c>
      <c r="BM435" s="34">
        <v>101.2033</v>
      </c>
      <c r="BN435" s="34">
        <v>101.03530000000001</v>
      </c>
      <c r="BO435" s="34">
        <v>-37</v>
      </c>
      <c r="BP435" s="34">
        <v>-32.299999999999997</v>
      </c>
      <c r="BQ435" s="34">
        <v>17</v>
      </c>
      <c r="BR435" s="34">
        <v>-2.5</v>
      </c>
      <c r="BS435" s="34">
        <v>9.8000000000000007</v>
      </c>
      <c r="BT435" s="34">
        <v>-21.3</v>
      </c>
      <c r="BU435" s="34">
        <v>-18.8</v>
      </c>
      <c r="BV435" s="34">
        <v>4.5999999999999996</v>
      </c>
      <c r="BW435" s="34">
        <v>-11.1</v>
      </c>
      <c r="BX435" s="34">
        <v>-23.6</v>
      </c>
      <c r="BY435" s="34">
        <v>-12.4</v>
      </c>
      <c r="BZ435" s="34">
        <v>91.5</v>
      </c>
      <c r="CA435" s="34">
        <v>-11.1</v>
      </c>
      <c r="CB435" s="34">
        <v>-5</v>
      </c>
      <c r="CC435" s="34">
        <v>-0.5</v>
      </c>
      <c r="CD435" s="34">
        <v>-40.1</v>
      </c>
      <c r="CE435" s="34">
        <v>-24.7</v>
      </c>
      <c r="CF435" s="34">
        <v>47.2</v>
      </c>
      <c r="CG435" s="34">
        <v>33.299999999999997</v>
      </c>
      <c r="CH435" s="34">
        <v>32.6</v>
      </c>
      <c r="CI435" s="34">
        <v>-20.3</v>
      </c>
      <c r="CJ435" s="34">
        <v>-14.4</v>
      </c>
      <c r="CK435" s="34">
        <v>24.2</v>
      </c>
      <c r="CL435" s="34">
        <v>28.2</v>
      </c>
      <c r="CM435" s="34">
        <v>5634.1263499999995</v>
      </c>
      <c r="CN435" s="34">
        <v>47336.68</v>
      </c>
      <c r="CO435" s="34">
        <v>6740.8857889999999</v>
      </c>
      <c r="CP435" s="34">
        <v>4.5049999999999999</v>
      </c>
      <c r="CQ435" s="34">
        <v>4.13</v>
      </c>
      <c r="CR435" s="34">
        <v>51</v>
      </c>
      <c r="CS435" s="34">
        <v>46.13</v>
      </c>
      <c r="CT435" s="34">
        <v>95.5</v>
      </c>
      <c r="CU435" s="34">
        <v>104.9</v>
      </c>
      <c r="CV435" s="34">
        <v>99.3</v>
      </c>
      <c r="CW435" s="34">
        <v>100.5</v>
      </c>
      <c r="CX435" s="34">
        <v>95.4</v>
      </c>
      <c r="CY435" s="34">
        <v>10.79</v>
      </c>
      <c r="CZ435" s="34">
        <v>74267.767999999996</v>
      </c>
      <c r="DA435" s="34">
        <v>7.67</v>
      </c>
      <c r="DB435" s="34">
        <v>39.26</v>
      </c>
      <c r="DC435" s="34">
        <v>73.040000000000006</v>
      </c>
      <c r="DD435" s="34">
        <v>18</v>
      </c>
      <c r="DE435" s="34">
        <v>18246.344000000001</v>
      </c>
      <c r="DF435" s="34">
        <v>3454.375</v>
      </c>
      <c r="DG435" s="34">
        <v>600.84699999999998</v>
      </c>
      <c r="DH435" s="34">
        <v>1644.114</v>
      </c>
      <c r="DI435" s="34">
        <v>6453.9139999999998</v>
      </c>
      <c r="DJ435" s="34">
        <v>99.914400000000001</v>
      </c>
      <c r="DK435" s="34">
        <v>99.9255</v>
      </c>
      <c r="DL435" s="34">
        <v>99.22</v>
      </c>
      <c r="DM435" s="34">
        <v>99.011799999999994</v>
      </c>
      <c r="DN435" s="34">
        <v>101.03530000000001</v>
      </c>
      <c r="DO435" s="34">
        <v>101.2033</v>
      </c>
      <c r="DP435" s="34">
        <v>100.2178</v>
      </c>
      <c r="DQ435" s="34">
        <v>100.2393</v>
      </c>
      <c r="DR435" s="34">
        <v>204138</v>
      </c>
      <c r="DS435" s="73">
        <v>34954</v>
      </c>
      <c r="DT435" s="73">
        <v>92.5</v>
      </c>
      <c r="DU435" s="56" t="s">
        <v>243</v>
      </c>
      <c r="DV435" s="56" t="s">
        <v>243</v>
      </c>
      <c r="DW435">
        <v>1945</v>
      </c>
      <c r="DX435">
        <v>133900</v>
      </c>
      <c r="DY435" s="56">
        <v>93.8</v>
      </c>
    </row>
    <row r="436" spans="1:129" s="56" customFormat="1" x14ac:dyDescent="0.25">
      <c r="A436" s="1">
        <v>45992</v>
      </c>
      <c r="B436" s="54" t="s">
        <v>312</v>
      </c>
      <c r="C436" s="55">
        <v>1.93</v>
      </c>
      <c r="D436" s="98">
        <v>2.15</v>
      </c>
      <c r="E436" s="54">
        <v>2.04</v>
      </c>
      <c r="F436" s="54">
        <v>2.34</v>
      </c>
      <c r="G436" s="54">
        <v>2.5499999999999998</v>
      </c>
      <c r="H436" s="54">
        <v>2.81</v>
      </c>
      <c r="I436" s="54">
        <f t="shared" ref="I436:I437" si="200">IF(ISNUMBER(C436),IF(ISNUMBER(H436),H436-C436,""),"")</f>
        <v>0.88000000000000012</v>
      </c>
      <c r="J436" s="54">
        <f t="shared" ref="J436:J437" si="201">IF(ISNUMBER(D436),IF(ISNUMBER(H436),H436-D436,""),"")</f>
        <v>0.66000000000000014</v>
      </c>
      <c r="K436" s="54">
        <f t="shared" ref="K436:K437" si="202">IF(ISNUMBER(H436),IF(ISNUMBER(E436),H436-E436,""),"")</f>
        <v>0.77</v>
      </c>
      <c r="L436" s="54">
        <f t="shared" ref="L436:L437" si="203">IF(ISNUMBER(D436),IF(ISNUMBER(C436),D436-C436,""),"")</f>
        <v>0.21999999999999997</v>
      </c>
      <c r="M436" s="54">
        <v>99.1</v>
      </c>
      <c r="N436" s="54">
        <v>23589.439999999999</v>
      </c>
      <c r="O436" s="54">
        <v>14.78</v>
      </c>
      <c r="P436" s="54" t="s">
        <v>312</v>
      </c>
      <c r="Q436" s="54" t="str">
        <f t="shared" ref="Q436:Q437" si="204">IF(ISNUMBER(P436),IF(ISNUMBER(AH436),P436/AH436,"NA"),"")</f>
        <v/>
      </c>
      <c r="R436" s="54" t="s">
        <v>312</v>
      </c>
      <c r="S436" s="54" t="str">
        <f t="shared" ref="S436:S437" si="205">IF(ISNUMBER(R436),IF(ISNUMBER(AH436),R436/AH436*100,""),"")</f>
        <v/>
      </c>
      <c r="T436" s="54" t="s">
        <v>312</v>
      </c>
      <c r="U436" s="54" t="str">
        <f t="shared" ref="U436:U437" si="206">IF(ISNUMBER(T436),IF(ISNUMBER(AH436),T436/AH436*100,""),"")</f>
        <v/>
      </c>
      <c r="V436" s="54" t="s">
        <v>312</v>
      </c>
      <c r="W436" s="54">
        <v>11087922</v>
      </c>
      <c r="X436" s="54">
        <v>16073522</v>
      </c>
      <c r="Y436" s="54">
        <v>1157181</v>
      </c>
      <c r="Z436" s="54" t="s">
        <v>312</v>
      </c>
      <c r="AA436" s="54" t="s">
        <v>312</v>
      </c>
      <c r="AB436" s="54" t="s">
        <v>312</v>
      </c>
      <c r="AC436" s="54" t="s">
        <v>312</v>
      </c>
      <c r="AD436" s="54">
        <v>45935</v>
      </c>
      <c r="AE436" s="54">
        <v>6.3</v>
      </c>
      <c r="AF436" s="54">
        <v>629</v>
      </c>
      <c r="AG436" s="54">
        <v>123</v>
      </c>
      <c r="AH436" s="54">
        <v>121.5</v>
      </c>
      <c r="AI436" s="54">
        <v>111.4</v>
      </c>
      <c r="AJ436" s="54">
        <v>114.5</v>
      </c>
      <c r="AK436" s="54">
        <v>244.33781400000001</v>
      </c>
      <c r="AL436" s="54" t="s">
        <v>312</v>
      </c>
      <c r="AM436" s="54" t="s">
        <v>312</v>
      </c>
      <c r="AN436" s="54" t="s">
        <v>312</v>
      </c>
      <c r="AO436" s="54" t="s">
        <v>312</v>
      </c>
      <c r="AP436" s="54">
        <v>52.72</v>
      </c>
      <c r="AQ436" s="54">
        <f t="shared" ref="AQ436:AQ437" si="207">IF(ISNUMBER(AP436),IF(ISNUMBER($AI436),AP436/$AI436,""),"")</f>
        <v>0.47324955116696588</v>
      </c>
      <c r="AR436" s="54">
        <v>86.9</v>
      </c>
      <c r="AS436" s="54">
        <v>91.2</v>
      </c>
      <c r="AT436" s="54">
        <v>82.9</v>
      </c>
      <c r="AU436" s="54">
        <v>86.7</v>
      </c>
      <c r="AV436" s="54">
        <v>93</v>
      </c>
      <c r="AW436" s="54">
        <v>80.900000000000006</v>
      </c>
      <c r="AX436" s="54">
        <v>-10.9</v>
      </c>
      <c r="AY436" s="54">
        <v>-2.4</v>
      </c>
      <c r="AZ436" s="54">
        <v>-15.1</v>
      </c>
      <c r="BA436" s="54">
        <v>-7</v>
      </c>
      <c r="BB436" s="54">
        <v>84.8</v>
      </c>
      <c r="BC436" s="54">
        <v>88.3</v>
      </c>
      <c r="BD436" s="54">
        <v>81.400000000000006</v>
      </c>
      <c r="BE436" s="54">
        <v>-81</v>
      </c>
      <c r="BF436" s="54">
        <v>45.8</v>
      </c>
      <c r="BG436" s="54">
        <v>1.2</v>
      </c>
      <c r="BH436" s="54">
        <v>174.8</v>
      </c>
      <c r="BI436" s="54">
        <v>18.899999999999999</v>
      </c>
      <c r="BJ436" s="86">
        <v>47</v>
      </c>
      <c r="BK436" s="54">
        <v>11</v>
      </c>
      <c r="BL436" s="54">
        <v>0.52</v>
      </c>
      <c r="BM436" s="54">
        <v>101.27670000000001</v>
      </c>
      <c r="BN436" s="54">
        <v>101.09829999999999</v>
      </c>
      <c r="BO436" s="54">
        <v>-41.1</v>
      </c>
      <c r="BP436" s="54">
        <v>-35.799999999999997</v>
      </c>
      <c r="BQ436" s="54">
        <v>17.5</v>
      </c>
      <c r="BR436" s="54">
        <v>-3.9</v>
      </c>
      <c r="BS436" s="54">
        <v>9</v>
      </c>
      <c r="BT436" s="54">
        <v>-21.4</v>
      </c>
      <c r="BU436" s="54">
        <v>-20.8</v>
      </c>
      <c r="BV436" s="54">
        <v>3.3</v>
      </c>
      <c r="BW436" s="54">
        <v>-11.5</v>
      </c>
      <c r="BX436" s="54">
        <v>-25.1</v>
      </c>
      <c r="BY436" s="54">
        <v>-11.9</v>
      </c>
      <c r="BZ436" s="54">
        <v>90.2</v>
      </c>
      <c r="CA436" s="54">
        <v>-11.5</v>
      </c>
      <c r="CB436" s="54">
        <v>-3.9</v>
      </c>
      <c r="CC436" s="54">
        <v>-2.2999999999999998</v>
      </c>
      <c r="CD436" s="54">
        <v>-38.6</v>
      </c>
      <c r="CE436" s="54">
        <v>-25.6</v>
      </c>
      <c r="CF436" s="54">
        <v>47.7</v>
      </c>
      <c r="CG436" s="54">
        <v>35.1</v>
      </c>
      <c r="CH436" s="54">
        <v>32.5</v>
      </c>
      <c r="CI436" s="54">
        <v>-21.7</v>
      </c>
      <c r="CJ436" s="54">
        <v>-14.4</v>
      </c>
      <c r="CK436" s="54">
        <v>21.5</v>
      </c>
      <c r="CL436" s="54">
        <v>27</v>
      </c>
      <c r="CM436" s="54">
        <v>5730.9314290000002</v>
      </c>
      <c r="CN436" s="54">
        <v>47289.33</v>
      </c>
      <c r="CO436" s="54">
        <v>6853.025455</v>
      </c>
      <c r="CP436" s="54">
        <v>4.5519999999999996</v>
      </c>
      <c r="CQ436" s="54">
        <v>4.09</v>
      </c>
      <c r="CR436" s="54">
        <v>54.6</v>
      </c>
      <c r="CS436" s="54">
        <v>47.25</v>
      </c>
      <c r="CT436" s="54">
        <v>94.6</v>
      </c>
      <c r="CU436" s="54">
        <v>104.5</v>
      </c>
      <c r="CV436" s="54">
        <v>100.3</v>
      </c>
      <c r="CW436" s="54">
        <v>98.8</v>
      </c>
      <c r="CX436" s="54">
        <v>100</v>
      </c>
      <c r="CY436" s="54" t="s">
        <v>312</v>
      </c>
      <c r="CZ436" s="54" t="s">
        <v>312</v>
      </c>
      <c r="DA436" s="54" t="s">
        <v>312</v>
      </c>
      <c r="DB436" s="54" t="s">
        <v>312</v>
      </c>
      <c r="DC436" s="54" t="s">
        <v>312</v>
      </c>
      <c r="DD436" s="54" t="s">
        <v>312</v>
      </c>
      <c r="DE436" s="54" t="s">
        <v>312</v>
      </c>
      <c r="DF436" s="54" t="s">
        <v>312</v>
      </c>
      <c r="DG436" s="54" t="s">
        <v>312</v>
      </c>
      <c r="DH436" s="54" t="s">
        <v>312</v>
      </c>
      <c r="DI436" s="54" t="s">
        <v>312</v>
      </c>
      <c r="DJ436" s="54">
        <v>99.939099999999996</v>
      </c>
      <c r="DK436" s="54">
        <v>99.957300000000004</v>
      </c>
      <c r="DL436" s="54">
        <v>99.18</v>
      </c>
      <c r="DM436" s="54">
        <v>98.960599999999999</v>
      </c>
      <c r="DN436" s="54">
        <v>101.09829999999999</v>
      </c>
      <c r="DO436" s="54">
        <v>101.27670000000001</v>
      </c>
      <c r="DP436" s="54">
        <v>100.2371</v>
      </c>
      <c r="DQ436" s="54">
        <v>100.2604</v>
      </c>
      <c r="DR436" s="54" t="s">
        <v>312</v>
      </c>
      <c r="DS436" s="96" t="s">
        <v>312</v>
      </c>
      <c r="DT436" s="96">
        <v>91.9</v>
      </c>
      <c r="DU436" s="56" t="s">
        <v>243</v>
      </c>
      <c r="DV436" s="56" t="s">
        <v>243</v>
      </c>
      <c r="DW436" s="56">
        <v>2583</v>
      </c>
      <c r="DX436" s="56">
        <v>161800</v>
      </c>
      <c r="DY436" s="56">
        <v>96.8</v>
      </c>
    </row>
    <row r="437" spans="1:129" x14ac:dyDescent="0.25">
      <c r="A437" s="1">
        <v>46023</v>
      </c>
      <c r="B437" s="34" t="s">
        <v>312</v>
      </c>
      <c r="C437" s="45">
        <v>1.921</v>
      </c>
      <c r="D437" s="99">
        <v>2.149999999999999</v>
      </c>
      <c r="E437" s="34">
        <v>2.0281818181818179</v>
      </c>
      <c r="F437" s="34" t="s">
        <v>312</v>
      </c>
      <c r="G437" s="34" t="s">
        <v>312</v>
      </c>
      <c r="H437" s="34">
        <v>2.9710000000000019</v>
      </c>
      <c r="I437" s="34">
        <f t="shared" si="200"/>
        <v>1.0500000000000018</v>
      </c>
      <c r="J437" s="34">
        <f t="shared" si="201"/>
        <v>0.82100000000000284</v>
      </c>
      <c r="K437" s="34">
        <f t="shared" si="202"/>
        <v>0.942818181818184</v>
      </c>
      <c r="L437" s="34">
        <f t="shared" si="203"/>
        <v>0.22899999999999898</v>
      </c>
      <c r="M437" s="34" t="s">
        <v>312</v>
      </c>
      <c r="N437" s="34">
        <v>24490.41</v>
      </c>
      <c r="O437" s="34">
        <v>19.62</v>
      </c>
      <c r="P437" s="34" t="s">
        <v>312</v>
      </c>
      <c r="Q437" s="34" t="str">
        <f t="shared" si="204"/>
        <v/>
      </c>
      <c r="R437" s="34" t="s">
        <v>312</v>
      </c>
      <c r="S437" s="34" t="str">
        <f t="shared" si="205"/>
        <v/>
      </c>
      <c r="T437" s="34" t="s">
        <v>312</v>
      </c>
      <c r="U437" s="34" t="str">
        <f t="shared" si="206"/>
        <v/>
      </c>
      <c r="V437" s="34" t="s">
        <v>312</v>
      </c>
      <c r="W437" s="34" t="s">
        <v>312</v>
      </c>
      <c r="X437" s="34" t="s">
        <v>312</v>
      </c>
      <c r="Y437" s="34" t="s">
        <v>312</v>
      </c>
      <c r="Z437" s="34" t="s">
        <v>312</v>
      </c>
      <c r="AA437" s="34" t="s">
        <v>312</v>
      </c>
      <c r="AB437" s="34" t="s">
        <v>312</v>
      </c>
      <c r="AC437" s="34" t="s">
        <v>312</v>
      </c>
      <c r="AD437" s="34" t="s">
        <v>312</v>
      </c>
      <c r="AE437" s="34">
        <v>6.3</v>
      </c>
      <c r="AF437" s="34">
        <v>623</v>
      </c>
      <c r="AG437" s="34">
        <v>123.3</v>
      </c>
      <c r="AH437" s="34">
        <v>121.8</v>
      </c>
      <c r="AI437" s="34" t="s">
        <v>312</v>
      </c>
      <c r="AJ437" s="34" t="s">
        <v>312</v>
      </c>
      <c r="AK437" s="34" t="s">
        <v>312</v>
      </c>
      <c r="AL437" s="34" t="s">
        <v>312</v>
      </c>
      <c r="AM437" s="34" t="s">
        <v>312</v>
      </c>
      <c r="AN437" s="34" t="s">
        <v>312</v>
      </c>
      <c r="AO437" s="34" t="s">
        <v>312</v>
      </c>
      <c r="AP437" s="34">
        <v>55.01</v>
      </c>
      <c r="AQ437" s="34" t="str">
        <f t="shared" si="207"/>
        <v/>
      </c>
      <c r="AR437" s="34">
        <v>88</v>
      </c>
      <c r="AS437" s="34">
        <v>92.2</v>
      </c>
      <c r="AT437" s="34">
        <v>83.9</v>
      </c>
      <c r="AU437" s="34">
        <v>87.8</v>
      </c>
      <c r="AV437" s="34">
        <v>94.4</v>
      </c>
      <c r="AW437" s="34">
        <v>81.7</v>
      </c>
      <c r="AX437" s="34">
        <v>-8.6</v>
      </c>
      <c r="AY437" s="34">
        <v>-2</v>
      </c>
      <c r="AZ437" s="34">
        <v>-14.2</v>
      </c>
      <c r="BA437" s="34">
        <v>-8.9</v>
      </c>
      <c r="BB437" s="34">
        <v>86.5</v>
      </c>
      <c r="BC437" s="34">
        <v>88.9</v>
      </c>
      <c r="BD437" s="34">
        <v>84.1</v>
      </c>
      <c r="BE437" s="34">
        <v>-72.7</v>
      </c>
      <c r="BF437" s="34">
        <v>59.6</v>
      </c>
      <c r="BG437" s="34">
        <v>6.6</v>
      </c>
      <c r="BH437" s="34">
        <v>168.7</v>
      </c>
      <c r="BI437" s="34">
        <v>51.8</v>
      </c>
      <c r="BJ437" s="86">
        <v>48.7</v>
      </c>
      <c r="BK437" s="54" t="s">
        <v>312</v>
      </c>
      <c r="BL437" s="34" t="s">
        <v>312</v>
      </c>
      <c r="BM437" s="34" t="s">
        <v>312</v>
      </c>
      <c r="BN437" s="34" t="s">
        <v>312</v>
      </c>
      <c r="BO437" s="34">
        <v>-36.1</v>
      </c>
      <c r="BP437" s="34">
        <v>-32.799999999999997</v>
      </c>
      <c r="BQ437" s="34">
        <v>13.7</v>
      </c>
      <c r="BR437" s="34">
        <v>-2.7</v>
      </c>
      <c r="BS437" s="34">
        <v>9.5</v>
      </c>
      <c r="BT437" s="34">
        <v>-19.3</v>
      </c>
      <c r="BU437" s="34">
        <v>-17.5</v>
      </c>
      <c r="BV437" s="34">
        <v>5.8</v>
      </c>
      <c r="BW437" s="34">
        <v>-9.1999999999999993</v>
      </c>
      <c r="BX437" s="34">
        <v>-24.9</v>
      </c>
      <c r="BY437" s="34">
        <v>-11</v>
      </c>
      <c r="BZ437" s="34">
        <v>93.2</v>
      </c>
      <c r="CA437" s="34">
        <v>-9.1999999999999993</v>
      </c>
      <c r="CB437" s="34">
        <v>-1.8</v>
      </c>
      <c r="CC437" s="34">
        <v>0.8</v>
      </c>
      <c r="CD437" s="34">
        <v>-36.799999999999997</v>
      </c>
      <c r="CE437" s="34">
        <v>-23.2</v>
      </c>
      <c r="CF437" s="34">
        <v>41.5</v>
      </c>
      <c r="CG437" s="34">
        <v>29.7</v>
      </c>
      <c r="CH437" s="34">
        <v>32.6</v>
      </c>
      <c r="CI437" s="34">
        <v>-21.6</v>
      </c>
      <c r="CJ437" s="34">
        <v>-12.6</v>
      </c>
      <c r="CK437" s="34">
        <v>25.4</v>
      </c>
      <c r="CL437" s="34">
        <v>29.7</v>
      </c>
      <c r="CM437" s="34">
        <v>5951.5963330000004</v>
      </c>
      <c r="CN437" s="34">
        <v>48063.29</v>
      </c>
      <c r="CO437" s="34">
        <v>6929.1220000000003</v>
      </c>
      <c r="CP437" s="34">
        <v>4.55</v>
      </c>
      <c r="CQ437" s="34">
        <v>4.18</v>
      </c>
      <c r="CR437" s="34">
        <v>57</v>
      </c>
      <c r="CS437" s="34">
        <v>49.22</v>
      </c>
      <c r="CT437" s="34">
        <v>100.4</v>
      </c>
      <c r="CU437" s="34">
        <v>106.2</v>
      </c>
      <c r="CV437" s="34">
        <v>103.2</v>
      </c>
      <c r="CW437" s="34">
        <v>101.4</v>
      </c>
      <c r="CX437" s="34">
        <v>95.1</v>
      </c>
      <c r="CY437" s="34" t="s">
        <v>312</v>
      </c>
      <c r="CZ437" s="34" t="s">
        <v>312</v>
      </c>
      <c r="DA437" s="34" t="s">
        <v>312</v>
      </c>
      <c r="DB437" s="34" t="s">
        <v>312</v>
      </c>
      <c r="DC437" s="34" t="s">
        <v>312</v>
      </c>
      <c r="DD437" s="34" t="s">
        <v>312</v>
      </c>
      <c r="DE437" s="34" t="s">
        <v>312</v>
      </c>
      <c r="DF437" s="34" t="s">
        <v>312</v>
      </c>
      <c r="DG437" s="34" t="s">
        <v>312</v>
      </c>
      <c r="DH437" s="34" t="s">
        <v>312</v>
      </c>
      <c r="DI437" s="34" t="s">
        <v>312</v>
      </c>
      <c r="DJ437" s="34" t="s">
        <v>312</v>
      </c>
      <c r="DK437" s="34" t="s">
        <v>312</v>
      </c>
      <c r="DL437" s="34" t="s">
        <v>312</v>
      </c>
      <c r="DM437" s="34" t="s">
        <v>312</v>
      </c>
      <c r="DN437" s="34" t="s">
        <v>312</v>
      </c>
      <c r="DO437" s="34" t="s">
        <v>312</v>
      </c>
      <c r="DP437" s="34" t="s">
        <v>312</v>
      </c>
      <c r="DQ437" s="34" t="s">
        <v>312</v>
      </c>
      <c r="DR437" s="34" t="s">
        <v>312</v>
      </c>
      <c r="DS437" s="73" t="s">
        <v>312</v>
      </c>
      <c r="DT437" s="73">
        <v>93.4</v>
      </c>
      <c r="DU437" s="56" t="s">
        <v>243</v>
      </c>
      <c r="DV437" s="56" t="s">
        <v>243</v>
      </c>
      <c r="DW437">
        <v>1877</v>
      </c>
      <c r="DX437">
        <v>145325</v>
      </c>
      <c r="DY437" s="56" t="s">
        <v>312</v>
      </c>
    </row>
    <row r="438" spans="1:129" x14ac:dyDescent="0.25">
      <c r="A438" s="1">
        <v>46054</v>
      </c>
      <c r="B438" s="34" t="s">
        <v>312</v>
      </c>
      <c r="C438" s="45">
        <v>1.9259999999999999</v>
      </c>
      <c r="D438" s="99" t="s">
        <v>312</v>
      </c>
      <c r="E438" s="34" t="s">
        <v>312</v>
      </c>
      <c r="F438" s="34" t="s">
        <v>312</v>
      </c>
      <c r="G438" s="34" t="s">
        <v>312</v>
      </c>
      <c r="H438" s="34" t="s">
        <v>312</v>
      </c>
      <c r="I438" s="34" t="str">
        <f t="shared" ref="I438" si="208">IF(ISNUMBER(C438),IF(ISNUMBER(H438),H438-C438,""),"")</f>
        <v/>
      </c>
      <c r="J438" s="34" t="str">
        <f t="shared" ref="J438" si="209">IF(ISNUMBER(D438),IF(ISNUMBER(H438),H438-D438,""),"")</f>
        <v/>
      </c>
      <c r="K438" s="34" t="str">
        <f t="shared" ref="K438" si="210">IF(ISNUMBER(H438),IF(ISNUMBER(E438),H438-E438,""),"")</f>
        <v/>
      </c>
      <c r="L438" s="34" t="str">
        <f t="shared" ref="L438" si="211">IF(ISNUMBER(D438),IF(ISNUMBER(C438),D438-C438,""),"")</f>
        <v/>
      </c>
      <c r="M438" s="34" t="s">
        <v>312</v>
      </c>
      <c r="N438" s="34">
        <v>24538.81</v>
      </c>
      <c r="O438" s="34" t="s">
        <v>312</v>
      </c>
      <c r="P438" s="34" t="s">
        <v>312</v>
      </c>
      <c r="Q438" s="34" t="str">
        <f t="shared" ref="Q438" si="212">IF(ISNUMBER(P438),IF(ISNUMBER(AH438),P438/AH438,"NA"),"")</f>
        <v/>
      </c>
      <c r="R438" s="34" t="s">
        <v>312</v>
      </c>
      <c r="S438" s="34" t="str">
        <f t="shared" ref="S438" si="213">IF(ISNUMBER(R438),IF(ISNUMBER(AH438),R438/AH438*100,""),"")</f>
        <v/>
      </c>
      <c r="T438" s="34" t="s">
        <v>312</v>
      </c>
      <c r="U438" s="34" t="str">
        <f t="shared" ref="U438" si="214">IF(ISNUMBER(T438),IF(ISNUMBER(AH438),T438/AH438*100,""),"")</f>
        <v/>
      </c>
      <c r="V438" s="34" t="s">
        <v>312</v>
      </c>
      <c r="W438" s="34" t="s">
        <v>312</v>
      </c>
      <c r="X438" s="34" t="s">
        <v>312</v>
      </c>
      <c r="Y438" s="34" t="s">
        <v>312</v>
      </c>
      <c r="Z438" s="34" t="s">
        <v>312</v>
      </c>
      <c r="AA438" s="34" t="s">
        <v>312</v>
      </c>
      <c r="AB438" s="34" t="s">
        <v>312</v>
      </c>
      <c r="AC438" s="34" t="s">
        <v>312</v>
      </c>
      <c r="AD438" s="34" t="s">
        <v>312</v>
      </c>
      <c r="AE438" s="34" t="s">
        <v>312</v>
      </c>
      <c r="AF438" s="34" t="s">
        <v>312</v>
      </c>
      <c r="AG438" s="34" t="s">
        <v>312</v>
      </c>
      <c r="AH438" s="34" t="s">
        <v>312</v>
      </c>
      <c r="AI438" s="34" t="s">
        <v>312</v>
      </c>
      <c r="AJ438" s="34" t="s">
        <v>312</v>
      </c>
      <c r="AK438" s="34" t="s">
        <v>312</v>
      </c>
      <c r="AL438" s="34" t="s">
        <v>312</v>
      </c>
      <c r="AM438" s="34" t="s">
        <v>312</v>
      </c>
      <c r="AN438" s="34" t="s">
        <v>312</v>
      </c>
      <c r="AO438" s="34" t="s">
        <v>312</v>
      </c>
      <c r="AP438" s="34" t="s">
        <v>312</v>
      </c>
      <c r="AQ438" s="34" t="str">
        <f t="shared" ref="AQ438" si="215">IF(ISNUMBER(AP438),IF(ISNUMBER($AI438),AP438/$AI438,""),"")</f>
        <v/>
      </c>
      <c r="AR438" s="34" t="s">
        <v>312</v>
      </c>
      <c r="AS438" s="34" t="s">
        <v>312</v>
      </c>
      <c r="AT438" s="34" t="s">
        <v>312</v>
      </c>
      <c r="AU438" s="34" t="s">
        <v>312</v>
      </c>
      <c r="AV438" s="34" t="s">
        <v>312</v>
      </c>
      <c r="AW438" s="34" t="s">
        <v>312</v>
      </c>
      <c r="AX438" s="34" t="s">
        <v>312</v>
      </c>
      <c r="AY438" s="34" t="s">
        <v>312</v>
      </c>
      <c r="AZ438" s="34" t="s">
        <v>312</v>
      </c>
      <c r="BA438" s="34" t="s">
        <v>312</v>
      </c>
      <c r="BB438" s="34" t="s">
        <v>312</v>
      </c>
      <c r="BC438" s="34" t="s">
        <v>312</v>
      </c>
      <c r="BD438" s="34" t="s">
        <v>312</v>
      </c>
      <c r="BE438" s="34" t="s">
        <v>312</v>
      </c>
      <c r="BF438" s="34" t="s">
        <v>312</v>
      </c>
      <c r="BG438" s="34" t="s">
        <v>312</v>
      </c>
      <c r="BH438" s="34" t="s">
        <v>312</v>
      </c>
      <c r="BI438" s="34" t="s">
        <v>312</v>
      </c>
      <c r="BJ438" s="86" t="s">
        <v>243</v>
      </c>
      <c r="BK438" s="54" t="s">
        <v>312</v>
      </c>
      <c r="BL438" s="34" t="s">
        <v>312</v>
      </c>
      <c r="BM438" s="34" t="s">
        <v>312</v>
      </c>
      <c r="BN438" s="34" t="s">
        <v>312</v>
      </c>
      <c r="BO438" s="34" t="s">
        <v>312</v>
      </c>
      <c r="BP438" s="34" t="s">
        <v>312</v>
      </c>
      <c r="BQ438" s="34" t="s">
        <v>312</v>
      </c>
      <c r="BR438" s="34" t="s">
        <v>312</v>
      </c>
      <c r="BS438" s="34" t="s">
        <v>312</v>
      </c>
      <c r="BT438" s="34" t="s">
        <v>312</v>
      </c>
      <c r="BU438" s="34" t="s">
        <v>312</v>
      </c>
      <c r="BV438" s="34" t="s">
        <v>312</v>
      </c>
      <c r="BW438" s="34" t="s">
        <v>312</v>
      </c>
      <c r="BX438" s="34" t="s">
        <v>312</v>
      </c>
      <c r="BY438" s="34" t="s">
        <v>312</v>
      </c>
      <c r="BZ438" s="34" t="s">
        <v>312</v>
      </c>
      <c r="CA438" s="34" t="s">
        <v>312</v>
      </c>
      <c r="CB438" s="34" t="s">
        <v>312</v>
      </c>
      <c r="CC438" s="34" t="s">
        <v>312</v>
      </c>
      <c r="CD438" s="34" t="s">
        <v>312</v>
      </c>
      <c r="CE438" s="34" t="s">
        <v>312</v>
      </c>
      <c r="CF438" s="34" t="s">
        <v>312</v>
      </c>
      <c r="CG438" s="34" t="s">
        <v>312</v>
      </c>
      <c r="CH438" s="34" t="s">
        <v>312</v>
      </c>
      <c r="CI438" s="34" t="s">
        <v>312</v>
      </c>
      <c r="CJ438" s="34" t="s">
        <v>312</v>
      </c>
      <c r="CK438" s="34" t="s">
        <v>312</v>
      </c>
      <c r="CL438" s="34" t="s">
        <v>312</v>
      </c>
      <c r="CM438" s="34" t="s">
        <v>312</v>
      </c>
      <c r="CN438" s="34">
        <v>48892.47</v>
      </c>
      <c r="CO438" s="34" t="s">
        <v>312</v>
      </c>
      <c r="CP438" s="34">
        <v>4.5910000000000002</v>
      </c>
      <c r="CQ438" s="34">
        <v>4.26</v>
      </c>
      <c r="CR438" s="34" t="s">
        <v>312</v>
      </c>
      <c r="CS438" s="34" t="s">
        <v>312</v>
      </c>
      <c r="CT438" s="34" t="s">
        <v>312</v>
      </c>
      <c r="CU438" s="34" t="s">
        <v>312</v>
      </c>
      <c r="CV438" s="34" t="s">
        <v>312</v>
      </c>
      <c r="CW438" s="34" t="s">
        <v>312</v>
      </c>
      <c r="CX438" s="34" t="s">
        <v>312</v>
      </c>
      <c r="CY438" s="34" t="s">
        <v>312</v>
      </c>
      <c r="CZ438" s="34" t="s">
        <v>312</v>
      </c>
      <c r="DA438" s="34" t="s">
        <v>312</v>
      </c>
      <c r="DB438" s="34" t="s">
        <v>312</v>
      </c>
      <c r="DC438" s="34" t="s">
        <v>312</v>
      </c>
      <c r="DD438" s="34" t="s">
        <v>312</v>
      </c>
      <c r="DE438" s="34" t="s">
        <v>312</v>
      </c>
      <c r="DF438" s="34" t="s">
        <v>312</v>
      </c>
      <c r="DG438" s="34" t="s">
        <v>312</v>
      </c>
      <c r="DH438" s="34" t="s">
        <v>312</v>
      </c>
      <c r="DI438" s="34" t="s">
        <v>312</v>
      </c>
      <c r="DJ438" s="34" t="s">
        <v>312</v>
      </c>
      <c r="DK438" s="34" t="s">
        <v>312</v>
      </c>
      <c r="DL438" s="34" t="s">
        <v>312</v>
      </c>
      <c r="DM438" s="34" t="s">
        <v>312</v>
      </c>
      <c r="DN438" s="34" t="s">
        <v>312</v>
      </c>
      <c r="DO438" s="34" t="s">
        <v>312</v>
      </c>
      <c r="DP438" s="34" t="s">
        <v>312</v>
      </c>
      <c r="DQ438" s="34" t="s">
        <v>312</v>
      </c>
      <c r="DR438" s="34" t="s">
        <v>312</v>
      </c>
      <c r="DS438" s="73" t="s">
        <v>312</v>
      </c>
      <c r="DT438" s="73" t="s">
        <v>312</v>
      </c>
      <c r="DU438" s="56" t="s">
        <v>243</v>
      </c>
      <c r="DV438" s="56" t="s">
        <v>243</v>
      </c>
      <c r="DW438">
        <v>2148</v>
      </c>
      <c r="DX438">
        <v>174975</v>
      </c>
      <c r="DY438" s="56" t="s">
        <v>312</v>
      </c>
    </row>
    <row r="439" spans="1:129" x14ac:dyDescent="0.25">
      <c r="A439" s="1"/>
      <c r="B439" s="34"/>
      <c r="C439" s="45"/>
      <c r="D439" s="99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  <c r="CO439" s="34"/>
      <c r="CP439" s="34"/>
      <c r="CQ439" s="34"/>
      <c r="CR439" s="34"/>
      <c r="CS439" s="34"/>
      <c r="CT439" s="34"/>
      <c r="CU439" s="34"/>
      <c r="CV439" s="34"/>
      <c r="CW439" s="34"/>
      <c r="CX439" s="34"/>
      <c r="CY439" s="34"/>
      <c r="CZ439" s="34"/>
      <c r="DA439" s="34"/>
      <c r="DB439" s="34"/>
      <c r="DC439" s="34"/>
      <c r="DD439" s="34"/>
      <c r="DE439" s="34"/>
      <c r="DF439" s="34"/>
      <c r="DG439" s="34"/>
      <c r="DH439" s="34"/>
      <c r="DI439" s="34"/>
      <c r="DJ439" s="34"/>
      <c r="DK439" s="34"/>
      <c r="DL439" s="34"/>
      <c r="DM439" s="34"/>
      <c r="DN439" s="34"/>
      <c r="DO439" s="34"/>
      <c r="DP439" s="34"/>
      <c r="DQ439" s="34"/>
      <c r="DR439" s="73"/>
      <c r="DS439" s="73"/>
      <c r="DT439" s="97"/>
      <c r="DY439" s="34"/>
    </row>
    <row r="440" spans="1:129" x14ac:dyDescent="0.25">
      <c r="A440" s="1"/>
      <c r="AK440" s="33"/>
      <c r="AL440" s="33"/>
    </row>
    <row r="441" spans="1:129" x14ac:dyDescent="0.25">
      <c r="A441" s="1"/>
      <c r="AK441" s="33"/>
      <c r="AL441" s="33"/>
    </row>
    <row r="442" spans="1:129" x14ac:dyDescent="0.25">
      <c r="A442" s="1"/>
      <c r="AK442" s="33"/>
      <c r="AL442" s="33"/>
    </row>
    <row r="443" spans="1:129" x14ac:dyDescent="0.25">
      <c r="A443" s="1"/>
      <c r="AK443" s="33"/>
      <c r="AL443" s="33"/>
    </row>
    <row r="444" spans="1:129" x14ac:dyDescent="0.25">
      <c r="A444" s="1"/>
      <c r="AK444" s="33"/>
      <c r="AL444" s="33"/>
    </row>
    <row r="445" spans="1:129" x14ac:dyDescent="0.25">
      <c r="A445" s="1"/>
      <c r="AK445" s="33"/>
      <c r="AL445" s="33"/>
    </row>
    <row r="446" spans="1:129" x14ac:dyDescent="0.25">
      <c r="A446" s="1"/>
      <c r="AK446" s="33"/>
      <c r="AL446" s="33"/>
    </row>
    <row r="447" spans="1:129" x14ac:dyDescent="0.25">
      <c r="A447" s="1"/>
      <c r="AK447" s="33"/>
      <c r="AL447" s="33"/>
    </row>
    <row r="448" spans="1:129" x14ac:dyDescent="0.25">
      <c r="A448" s="1"/>
      <c r="AK448" s="33"/>
      <c r="AL448" s="33"/>
    </row>
    <row r="449" spans="1:38" x14ac:dyDescent="0.25">
      <c r="A449" s="1"/>
      <c r="AK449" s="33"/>
      <c r="AL449" s="33"/>
    </row>
    <row r="450" spans="1:38" x14ac:dyDescent="0.25">
      <c r="A450" s="1"/>
      <c r="AK450" s="33"/>
      <c r="AL450" s="33"/>
    </row>
    <row r="451" spans="1:38" x14ac:dyDescent="0.25">
      <c r="A451" s="1"/>
      <c r="AK451" s="33"/>
      <c r="AL451" s="33"/>
    </row>
    <row r="452" spans="1:38" x14ac:dyDescent="0.25">
      <c r="A452" s="1"/>
      <c r="AK452" s="33"/>
      <c r="AL452" s="33"/>
    </row>
    <row r="453" spans="1:38" x14ac:dyDescent="0.25">
      <c r="A453" s="1"/>
      <c r="AK453" s="33"/>
      <c r="AL453" s="33"/>
    </row>
    <row r="454" spans="1:38" x14ac:dyDescent="0.25">
      <c r="A454" s="1"/>
      <c r="AK454" s="33"/>
      <c r="AL454" s="33"/>
    </row>
    <row r="455" spans="1:38" x14ac:dyDescent="0.25">
      <c r="A455" s="1"/>
      <c r="AK455" s="33"/>
      <c r="AL455" s="33"/>
    </row>
    <row r="456" spans="1:38" x14ac:dyDescent="0.25">
      <c r="A456" s="1"/>
      <c r="AK456" s="33"/>
      <c r="AL456" s="33"/>
    </row>
    <row r="457" spans="1:38" x14ac:dyDescent="0.25">
      <c r="A457" s="1"/>
      <c r="AK457" s="33"/>
      <c r="AL457" s="33"/>
    </row>
    <row r="458" spans="1:38" x14ac:dyDescent="0.25">
      <c r="A458" s="1"/>
      <c r="AK458" s="33"/>
      <c r="AL458" s="33"/>
    </row>
    <row r="459" spans="1:38" x14ac:dyDescent="0.25">
      <c r="A459" s="1"/>
      <c r="AK459" s="33"/>
      <c r="AL459" s="33"/>
    </row>
    <row r="460" spans="1:38" x14ac:dyDescent="0.25">
      <c r="A460" s="1"/>
      <c r="AK460" s="33"/>
      <c r="AL460" s="33"/>
    </row>
    <row r="461" spans="1:38" x14ac:dyDescent="0.25">
      <c r="A461" s="1"/>
      <c r="AK461" s="33"/>
      <c r="AL461" s="33"/>
    </row>
    <row r="462" spans="1:38" x14ac:dyDescent="0.25">
      <c r="A462" s="1"/>
      <c r="AK462" s="33"/>
      <c r="AL462" s="33"/>
    </row>
    <row r="463" spans="1:38" x14ac:dyDescent="0.25">
      <c r="A463" s="1"/>
      <c r="AK463" s="33"/>
      <c r="AL463" s="33"/>
    </row>
    <row r="464" spans="1:38" x14ac:dyDescent="0.25">
      <c r="A464" s="1"/>
      <c r="AK464" s="33"/>
      <c r="AL464" s="33"/>
    </row>
    <row r="465" spans="1:38" x14ac:dyDescent="0.25">
      <c r="A465" s="1"/>
      <c r="AK465" s="33"/>
      <c r="AL465" s="33"/>
    </row>
    <row r="466" spans="1:38" x14ac:dyDescent="0.25">
      <c r="A466" s="1"/>
      <c r="AK466" s="33"/>
      <c r="AL466" s="33"/>
    </row>
    <row r="467" spans="1:38" x14ac:dyDescent="0.25">
      <c r="A467" s="1"/>
      <c r="AK467" s="33"/>
      <c r="AL467" s="33"/>
    </row>
    <row r="468" spans="1:38" x14ac:dyDescent="0.25">
      <c r="A468" s="1"/>
      <c r="AK468" s="33"/>
      <c r="AL468" s="33"/>
    </row>
    <row r="469" spans="1:38" x14ac:dyDescent="0.25">
      <c r="A469" s="1"/>
      <c r="AK469" s="33"/>
      <c r="AL469" s="33"/>
    </row>
    <row r="470" spans="1:38" x14ac:dyDescent="0.25">
      <c r="A470" s="1"/>
      <c r="AK470" s="33"/>
      <c r="AL470" s="33"/>
    </row>
    <row r="471" spans="1:38" x14ac:dyDescent="0.25">
      <c r="A471" s="1"/>
      <c r="AK471" s="33"/>
      <c r="AL471" s="33"/>
    </row>
    <row r="472" spans="1:38" x14ac:dyDescent="0.25">
      <c r="A472" s="1"/>
      <c r="AK472" s="33"/>
      <c r="AL472" s="33"/>
    </row>
    <row r="473" spans="1:38" x14ac:dyDescent="0.25">
      <c r="A473" s="1"/>
      <c r="AK473" s="33"/>
      <c r="AL473" s="33"/>
    </row>
    <row r="474" spans="1:38" x14ac:dyDescent="0.25">
      <c r="A474" s="1"/>
      <c r="AK474" s="33"/>
      <c r="AL474" s="33"/>
    </row>
    <row r="475" spans="1:38" x14ac:dyDescent="0.25">
      <c r="A475" s="1"/>
      <c r="AK475" s="33"/>
      <c r="AL475" s="33"/>
    </row>
    <row r="476" spans="1:38" x14ac:dyDescent="0.25">
      <c r="A476" s="1"/>
      <c r="AK476" s="33"/>
      <c r="AL476" s="33"/>
    </row>
    <row r="477" spans="1:38" x14ac:dyDescent="0.25">
      <c r="A477" s="1"/>
      <c r="AK477" s="33"/>
      <c r="AL477" s="33"/>
    </row>
    <row r="478" spans="1:38" x14ac:dyDescent="0.25">
      <c r="A478" s="1"/>
      <c r="AK478" s="33"/>
      <c r="AL478" s="33"/>
    </row>
    <row r="479" spans="1:38" x14ac:dyDescent="0.25">
      <c r="A479" s="1"/>
      <c r="AK479" s="33"/>
      <c r="AL479" s="33"/>
    </row>
    <row r="480" spans="1:38" x14ac:dyDescent="0.25">
      <c r="A480" s="1"/>
      <c r="AK480" s="33"/>
      <c r="AL480" s="33"/>
    </row>
    <row r="481" spans="1:38" x14ac:dyDescent="0.25">
      <c r="A481" s="1"/>
      <c r="AK481" s="33"/>
      <c r="AL481" s="33"/>
    </row>
    <row r="482" spans="1:38" x14ac:dyDescent="0.25">
      <c r="A482" s="1"/>
      <c r="AK482" s="33"/>
      <c r="AL482" s="33"/>
    </row>
    <row r="483" spans="1:38" x14ac:dyDescent="0.25">
      <c r="A483" s="1"/>
      <c r="AK483" s="33"/>
      <c r="AL483" s="33"/>
    </row>
    <row r="484" spans="1:38" x14ac:dyDescent="0.25">
      <c r="A484" s="1"/>
      <c r="AK484" s="33"/>
      <c r="AL484" s="33"/>
    </row>
    <row r="485" spans="1:38" x14ac:dyDescent="0.25">
      <c r="A485" s="1"/>
      <c r="AK485" s="33"/>
      <c r="AL485" s="33"/>
    </row>
    <row r="486" spans="1:38" x14ac:dyDescent="0.25">
      <c r="A486" s="1"/>
      <c r="AK486" s="33"/>
      <c r="AL486" s="33"/>
    </row>
    <row r="487" spans="1:38" x14ac:dyDescent="0.25">
      <c r="A487" s="1"/>
      <c r="AK487" s="33"/>
      <c r="AL487" s="33"/>
    </row>
    <row r="488" spans="1:38" x14ac:dyDescent="0.25">
      <c r="A488" s="1"/>
      <c r="AK488" s="33"/>
      <c r="AL488" s="33"/>
    </row>
    <row r="489" spans="1:38" x14ac:dyDescent="0.25">
      <c r="A489" s="1"/>
      <c r="AK489" s="33"/>
      <c r="AL489" s="33"/>
    </row>
    <row r="490" spans="1:38" x14ac:dyDescent="0.25">
      <c r="A490" s="1"/>
      <c r="AK490" s="33"/>
      <c r="AL490" s="33"/>
    </row>
    <row r="491" spans="1:38" x14ac:dyDescent="0.25">
      <c r="A491" s="1"/>
      <c r="AK491" s="33"/>
      <c r="AL491" s="33"/>
    </row>
    <row r="492" spans="1:38" x14ac:dyDescent="0.25">
      <c r="A492" s="1"/>
      <c r="AK492" s="33"/>
      <c r="AL492" s="33"/>
    </row>
    <row r="493" spans="1:38" x14ac:dyDescent="0.25">
      <c r="A493" s="1"/>
      <c r="AK493" s="33"/>
      <c r="AL493" s="33"/>
    </row>
    <row r="494" spans="1:38" x14ac:dyDescent="0.25">
      <c r="A494" s="1"/>
      <c r="AK494" s="33"/>
      <c r="AL494" s="33"/>
    </row>
    <row r="495" spans="1:38" x14ac:dyDescent="0.25">
      <c r="A495" s="1"/>
      <c r="AK495" s="33"/>
      <c r="AL495" s="33"/>
    </row>
    <row r="496" spans="1:38" x14ac:dyDescent="0.25">
      <c r="A496" s="1"/>
      <c r="AK496" s="33"/>
      <c r="AL496" s="33"/>
    </row>
    <row r="497" spans="1:38" x14ac:dyDescent="0.25">
      <c r="A497" s="1"/>
      <c r="AK497" s="33"/>
      <c r="AL497" s="33"/>
    </row>
    <row r="498" spans="1:38" x14ac:dyDescent="0.25">
      <c r="A498" s="1"/>
      <c r="AK498" s="33"/>
      <c r="AL498" s="33"/>
    </row>
    <row r="499" spans="1:38" x14ac:dyDescent="0.25">
      <c r="A499" s="1"/>
      <c r="AK499" s="33"/>
      <c r="AL499" s="33"/>
    </row>
    <row r="500" spans="1:38" x14ac:dyDescent="0.25">
      <c r="A500" s="1"/>
      <c r="AK500" s="33"/>
      <c r="AL500" s="33"/>
    </row>
    <row r="501" spans="1:38" x14ac:dyDescent="0.25">
      <c r="A501" s="1"/>
      <c r="AK501" s="33"/>
      <c r="AL501" s="33"/>
    </row>
    <row r="502" spans="1:38" x14ac:dyDescent="0.25">
      <c r="A502" s="1"/>
      <c r="AK502" s="33"/>
      <c r="AL502" s="33"/>
    </row>
    <row r="503" spans="1:38" x14ac:dyDescent="0.25">
      <c r="A503" s="1"/>
      <c r="AK503" s="33"/>
      <c r="AL503" s="33"/>
    </row>
    <row r="504" spans="1:38" x14ac:dyDescent="0.25">
      <c r="A504" s="1"/>
      <c r="AK504" s="33"/>
      <c r="AL504" s="33"/>
    </row>
    <row r="505" spans="1:38" x14ac:dyDescent="0.25">
      <c r="A505" s="1"/>
      <c r="AK505" s="33"/>
      <c r="AL505" s="33"/>
    </row>
    <row r="506" spans="1:38" x14ac:dyDescent="0.25">
      <c r="A506" s="1"/>
      <c r="AK506" s="33"/>
      <c r="AL506" s="33"/>
    </row>
    <row r="507" spans="1:38" x14ac:dyDescent="0.25">
      <c r="A507" s="1"/>
      <c r="AK507" s="33"/>
      <c r="AL507" s="33"/>
    </row>
    <row r="508" spans="1:38" x14ac:dyDescent="0.25">
      <c r="A508" s="1"/>
      <c r="AK508" s="33"/>
      <c r="AL508" s="33"/>
    </row>
    <row r="509" spans="1:38" x14ac:dyDescent="0.25">
      <c r="A509" s="1"/>
      <c r="AK509" s="33"/>
      <c r="AL509" s="33"/>
    </row>
    <row r="510" spans="1:38" x14ac:dyDescent="0.25">
      <c r="A510" s="1"/>
      <c r="AK510" s="33"/>
      <c r="AL510" s="33"/>
    </row>
    <row r="511" spans="1:38" x14ac:dyDescent="0.25">
      <c r="A511" s="1"/>
      <c r="AK511" s="33"/>
      <c r="AL511" s="33"/>
    </row>
    <row r="512" spans="1:38" x14ac:dyDescent="0.25">
      <c r="A512" s="1"/>
      <c r="AK512" s="33"/>
      <c r="AL512" s="33"/>
    </row>
    <row r="513" spans="1:38" x14ac:dyDescent="0.25">
      <c r="A513" s="1"/>
      <c r="AK513" s="33"/>
      <c r="AL513" s="33"/>
    </row>
    <row r="514" spans="1:38" x14ac:dyDescent="0.25">
      <c r="A514" s="1"/>
      <c r="AK514" s="33"/>
      <c r="AL514" s="33"/>
    </row>
    <row r="515" spans="1:38" x14ac:dyDescent="0.25">
      <c r="A515" s="1"/>
      <c r="AK515" s="33"/>
      <c r="AL515" s="33"/>
    </row>
    <row r="516" spans="1:38" x14ac:dyDescent="0.25">
      <c r="A516" s="1"/>
      <c r="AK516" s="33"/>
      <c r="AL516" s="33"/>
    </row>
    <row r="517" spans="1:38" x14ac:dyDescent="0.25">
      <c r="A517" s="1"/>
      <c r="AK517" s="33"/>
      <c r="AL517" s="33"/>
    </row>
    <row r="518" spans="1:38" x14ac:dyDescent="0.25">
      <c r="A518" s="1"/>
      <c r="AK518" s="33"/>
      <c r="AL518" s="33"/>
    </row>
    <row r="519" spans="1:38" x14ac:dyDescent="0.25">
      <c r="A519" s="1"/>
      <c r="AK519" s="33"/>
      <c r="AL519" s="33"/>
    </row>
    <row r="520" spans="1:38" x14ac:dyDescent="0.25">
      <c r="A520" s="1"/>
      <c r="AK520" s="33"/>
      <c r="AL520" s="33"/>
    </row>
    <row r="521" spans="1:38" x14ac:dyDescent="0.25">
      <c r="A521" s="1"/>
      <c r="AK521" s="33"/>
      <c r="AL521" s="33"/>
    </row>
    <row r="522" spans="1:38" x14ac:dyDescent="0.25">
      <c r="A522" s="1"/>
      <c r="AK522" s="33"/>
      <c r="AL522" s="33"/>
    </row>
    <row r="523" spans="1:38" x14ac:dyDescent="0.25">
      <c r="A523" s="1"/>
      <c r="AK523" s="33"/>
      <c r="AL523" s="33"/>
    </row>
    <row r="524" spans="1:38" x14ac:dyDescent="0.25">
      <c r="A524" s="1"/>
      <c r="AK524" s="33"/>
      <c r="AL524" s="33"/>
    </row>
    <row r="525" spans="1:38" x14ac:dyDescent="0.25">
      <c r="A525" s="1"/>
      <c r="AK525" s="33"/>
      <c r="AL525" s="33"/>
    </row>
    <row r="526" spans="1:38" x14ac:dyDescent="0.25">
      <c r="A526" s="1"/>
      <c r="AK526" s="33"/>
      <c r="AL526" s="33"/>
    </row>
    <row r="527" spans="1:38" x14ac:dyDescent="0.25">
      <c r="A527" s="1"/>
      <c r="AK527" s="33"/>
      <c r="AL527" s="33"/>
    </row>
    <row r="528" spans="1:38" x14ac:dyDescent="0.25">
      <c r="A528" s="1"/>
      <c r="AK528" s="33"/>
      <c r="AL528" s="33"/>
    </row>
    <row r="529" spans="1:38" x14ac:dyDescent="0.25">
      <c r="A529" s="1"/>
      <c r="AK529" s="33"/>
      <c r="AL529" s="33"/>
    </row>
    <row r="530" spans="1:38" x14ac:dyDescent="0.25">
      <c r="A530" s="1"/>
      <c r="AK530" s="33"/>
      <c r="AL530" s="33"/>
    </row>
    <row r="531" spans="1:38" x14ac:dyDescent="0.25">
      <c r="A531" s="1"/>
      <c r="AK531" s="33"/>
      <c r="AL531" s="33"/>
    </row>
    <row r="532" spans="1:38" x14ac:dyDescent="0.25">
      <c r="A532" s="1"/>
      <c r="AK532" s="33"/>
      <c r="AL532" s="33"/>
    </row>
    <row r="533" spans="1:38" x14ac:dyDescent="0.25">
      <c r="A533" s="1"/>
      <c r="AK533" s="33"/>
      <c r="AL533" s="33"/>
    </row>
    <row r="534" spans="1:38" x14ac:dyDescent="0.25">
      <c r="A534" s="1"/>
      <c r="AK534" s="33"/>
      <c r="AL534" s="33"/>
    </row>
    <row r="535" spans="1:38" x14ac:dyDescent="0.25">
      <c r="A535" s="1"/>
      <c r="AK535" s="33"/>
      <c r="AL535" s="33"/>
    </row>
    <row r="536" spans="1:38" x14ac:dyDescent="0.25">
      <c r="A536" s="1"/>
      <c r="AK536" s="33"/>
      <c r="AL536" s="33"/>
    </row>
    <row r="537" spans="1:38" x14ac:dyDescent="0.25">
      <c r="A537" s="1"/>
      <c r="AK537" s="33"/>
      <c r="AL537" s="33"/>
    </row>
    <row r="538" spans="1:38" x14ac:dyDescent="0.25">
      <c r="A538" s="1"/>
      <c r="AK538" s="33"/>
      <c r="AL538" s="33"/>
    </row>
    <row r="539" spans="1:38" x14ac:dyDescent="0.25">
      <c r="A539" s="1"/>
      <c r="AK539" s="33"/>
      <c r="AL539" s="33"/>
    </row>
    <row r="540" spans="1:38" x14ac:dyDescent="0.25">
      <c r="A540" s="1"/>
      <c r="AK540" s="33"/>
      <c r="AL540" s="33"/>
    </row>
    <row r="541" spans="1:38" x14ac:dyDescent="0.25">
      <c r="A541" s="1"/>
      <c r="AK541" s="33"/>
      <c r="AL541" s="33"/>
    </row>
    <row r="542" spans="1:38" x14ac:dyDescent="0.25">
      <c r="A542" s="1"/>
      <c r="AK542" s="33"/>
      <c r="AL542" s="33"/>
    </row>
    <row r="543" spans="1:38" x14ac:dyDescent="0.25">
      <c r="A543" s="1"/>
      <c r="AK543" s="33"/>
      <c r="AL543" s="33"/>
    </row>
    <row r="544" spans="1:38" x14ac:dyDescent="0.25">
      <c r="A544" s="1"/>
      <c r="AK544" s="33"/>
      <c r="AL544" s="33"/>
    </row>
    <row r="545" spans="1:38" x14ac:dyDescent="0.25">
      <c r="A545" s="1"/>
      <c r="AK545" s="33"/>
      <c r="AL545" s="33"/>
    </row>
    <row r="546" spans="1:38" x14ac:dyDescent="0.25">
      <c r="A546" s="1"/>
      <c r="AK546" s="33"/>
      <c r="AL546" s="33"/>
    </row>
    <row r="547" spans="1:38" x14ac:dyDescent="0.25">
      <c r="A547" s="1"/>
      <c r="AK547" s="33"/>
      <c r="AL547" s="33"/>
    </row>
    <row r="548" spans="1:38" x14ac:dyDescent="0.25">
      <c r="A548" s="1"/>
      <c r="AK548" s="33"/>
      <c r="AL548" s="33"/>
    </row>
    <row r="549" spans="1:38" x14ac:dyDescent="0.25">
      <c r="A549" s="1"/>
      <c r="AK549" s="33"/>
      <c r="AL549" s="33"/>
    </row>
    <row r="550" spans="1:38" x14ac:dyDescent="0.25">
      <c r="A550" s="1"/>
      <c r="AK550" s="33"/>
      <c r="AL550" s="33"/>
    </row>
    <row r="551" spans="1:38" x14ac:dyDescent="0.25">
      <c r="A551" s="1"/>
      <c r="AK551" s="33"/>
      <c r="AL551" s="33"/>
    </row>
    <row r="552" spans="1:38" x14ac:dyDescent="0.25">
      <c r="A552" s="1"/>
      <c r="AK552" s="33"/>
      <c r="AL552" s="33"/>
    </row>
    <row r="553" spans="1:38" x14ac:dyDescent="0.25">
      <c r="A553" s="1"/>
      <c r="AK553" s="33"/>
      <c r="AL553" s="33"/>
    </row>
    <row r="554" spans="1:38" x14ac:dyDescent="0.25">
      <c r="A554" s="1"/>
      <c r="AK554" s="33"/>
      <c r="AL554" s="33"/>
    </row>
    <row r="555" spans="1:38" x14ac:dyDescent="0.25">
      <c r="A555" s="1"/>
      <c r="AK555" s="33"/>
      <c r="AL555" s="33"/>
    </row>
    <row r="556" spans="1:38" x14ac:dyDescent="0.25">
      <c r="A556" s="1"/>
      <c r="AK556" s="33"/>
      <c r="AL556" s="33"/>
    </row>
    <row r="557" spans="1:38" x14ac:dyDescent="0.25">
      <c r="A557" s="1"/>
      <c r="AK557" s="33"/>
      <c r="AL557" s="33"/>
    </row>
    <row r="558" spans="1:38" x14ac:dyDescent="0.25">
      <c r="A558" s="1"/>
      <c r="AK558" s="33"/>
      <c r="AL558" s="33"/>
    </row>
    <row r="559" spans="1:38" x14ac:dyDescent="0.25">
      <c r="A559" s="1"/>
      <c r="AK559" s="33"/>
      <c r="AL559" s="33"/>
    </row>
    <row r="560" spans="1:38" x14ac:dyDescent="0.25">
      <c r="A560" s="1"/>
      <c r="AK560" s="33"/>
      <c r="AL560" s="33"/>
    </row>
    <row r="561" spans="1:38" x14ac:dyDescent="0.25">
      <c r="A561" s="1"/>
      <c r="AK561" s="33"/>
      <c r="AL561" s="33"/>
    </row>
    <row r="562" spans="1:38" x14ac:dyDescent="0.25">
      <c r="A562" s="1"/>
      <c r="AK562" s="33"/>
      <c r="AL562" s="33"/>
    </row>
    <row r="563" spans="1:38" x14ac:dyDescent="0.25">
      <c r="A563" s="1"/>
      <c r="AK563" s="33"/>
      <c r="AL563" s="33"/>
    </row>
    <row r="564" spans="1:38" x14ac:dyDescent="0.25">
      <c r="A564" s="1"/>
      <c r="AK564" s="33"/>
      <c r="AL564" s="33"/>
    </row>
    <row r="565" spans="1:38" x14ac:dyDescent="0.25">
      <c r="A565" s="1"/>
      <c r="AK565" s="33"/>
      <c r="AL565" s="33"/>
    </row>
    <row r="566" spans="1:38" x14ac:dyDescent="0.25">
      <c r="A566" s="1"/>
      <c r="AK566" s="33"/>
      <c r="AL566" s="33"/>
    </row>
    <row r="567" spans="1:38" x14ac:dyDescent="0.25">
      <c r="A567" s="1"/>
      <c r="AK567" s="33"/>
      <c r="AL567" s="33"/>
    </row>
    <row r="568" spans="1:38" x14ac:dyDescent="0.25">
      <c r="A568" s="1"/>
      <c r="AK568" s="33"/>
      <c r="AL568" s="33"/>
    </row>
    <row r="569" spans="1:38" x14ac:dyDescent="0.25">
      <c r="A569" s="1"/>
      <c r="AK569" s="33"/>
      <c r="AL569" s="33"/>
    </row>
    <row r="570" spans="1:38" x14ac:dyDescent="0.25">
      <c r="A570" s="1"/>
      <c r="AK570" s="33"/>
      <c r="AL570" s="33"/>
    </row>
    <row r="571" spans="1:38" x14ac:dyDescent="0.25">
      <c r="A571" s="1"/>
      <c r="AK571" s="33"/>
      <c r="AL571" s="33"/>
    </row>
    <row r="572" spans="1:38" x14ac:dyDescent="0.25">
      <c r="A572" s="1"/>
      <c r="AK572" s="33"/>
      <c r="AL572" s="33"/>
    </row>
    <row r="573" spans="1:38" x14ac:dyDescent="0.25">
      <c r="A573" s="1"/>
      <c r="AK573" s="33"/>
      <c r="AL573" s="33"/>
    </row>
    <row r="574" spans="1:38" x14ac:dyDescent="0.25">
      <c r="A574" s="1"/>
    </row>
    <row r="575" spans="1:38" x14ac:dyDescent="0.25">
      <c r="A575" s="1"/>
    </row>
    <row r="576" spans="1:38" x14ac:dyDescent="0.25">
      <c r="A576" s="1"/>
    </row>
    <row r="577" spans="1:1" x14ac:dyDescent="0.25">
      <c r="A577" s="1"/>
    </row>
    <row r="578" spans="1:1" x14ac:dyDescent="0.25">
      <c r="A578" s="1"/>
    </row>
  </sheetData>
  <mergeCells count="4">
    <mergeCell ref="DJ2:DK2"/>
    <mergeCell ref="DL2:DM2"/>
    <mergeCell ref="DN2:DO2"/>
    <mergeCell ref="DP2:DQ2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AJ159"/>
  <sheetViews>
    <sheetView zoomScale="85" zoomScaleNormal="85" workbookViewId="0">
      <pane xSplit="3" ySplit="10" topLeftCell="D139" activePane="bottomRight" state="frozen"/>
      <selection pane="topRight" activeCell="D1" sqref="D1"/>
      <selection pane="bottomLeft" activeCell="A11" sqref="A11"/>
      <selection pane="bottomRight" activeCell="D154" sqref="D154:D160"/>
    </sheetView>
  </sheetViews>
  <sheetFormatPr baseColWidth="10" defaultRowHeight="15" x14ac:dyDescent="0.25"/>
  <cols>
    <col min="1" max="23" width="11.42578125" customWidth="1"/>
    <col min="24" max="24" width="11.42578125" style="77" customWidth="1"/>
  </cols>
  <sheetData>
    <row r="1" spans="1:36" x14ac:dyDescent="0.25">
      <c r="A1" t="s">
        <v>137</v>
      </c>
      <c r="D1" s="2" t="s">
        <v>57</v>
      </c>
      <c r="I1" s="76" t="s">
        <v>244</v>
      </c>
      <c r="J1" s="76" t="s">
        <v>245</v>
      </c>
      <c r="K1" s="76" t="s">
        <v>246</v>
      </c>
      <c r="L1" s="76" t="s">
        <v>247</v>
      </c>
      <c r="M1" s="76"/>
      <c r="Y1" s="78" t="s">
        <v>248</v>
      </c>
    </row>
    <row r="2" spans="1:36" ht="163.5" customHeight="1" x14ac:dyDescent="0.45">
      <c r="A2" s="31">
        <f>COUNTIF(Y3:AJ3,"*")</f>
        <v>12</v>
      </c>
      <c r="D2" t="s">
        <v>249</v>
      </c>
      <c r="E2" t="s">
        <v>250</v>
      </c>
      <c r="F2" t="s">
        <v>309</v>
      </c>
      <c r="G2" t="s">
        <v>251</v>
      </c>
      <c r="H2" t="s">
        <v>252</v>
      </c>
      <c r="I2" t="s">
        <v>253</v>
      </c>
      <c r="J2" t="s">
        <v>254</v>
      </c>
      <c r="K2" t="s">
        <v>255</v>
      </c>
      <c r="L2" t="s">
        <v>256</v>
      </c>
      <c r="M2" s="79" t="s">
        <v>257</v>
      </c>
      <c r="Y2" t="s">
        <v>258</v>
      </c>
      <c r="Z2" t="s">
        <v>259</v>
      </c>
      <c r="AA2" s="80" t="s">
        <v>289</v>
      </c>
      <c r="AB2" s="80" t="s">
        <v>311</v>
      </c>
      <c r="AC2" s="80" t="s">
        <v>290</v>
      </c>
      <c r="AD2" s="80" t="s">
        <v>291</v>
      </c>
      <c r="AE2" s="80" t="s">
        <v>292</v>
      </c>
      <c r="AF2" s="80" t="s">
        <v>293</v>
      </c>
      <c r="AG2" s="80" t="s">
        <v>294</v>
      </c>
      <c r="AH2" s="80" t="s">
        <v>295</v>
      </c>
      <c r="AI2" s="80" t="s">
        <v>296</v>
      </c>
      <c r="AJ2" s="80" t="s">
        <v>297</v>
      </c>
    </row>
    <row r="3" spans="1:36" x14ac:dyDescent="0.25">
      <c r="A3" s="35"/>
      <c r="B3" s="36" t="s">
        <v>138</v>
      </c>
      <c r="C3" s="36" t="s">
        <v>135</v>
      </c>
      <c r="D3" s="81" t="s">
        <v>260</v>
      </c>
      <c r="E3" s="81" t="s">
        <v>261</v>
      </c>
      <c r="F3" s="81" t="s">
        <v>308</v>
      </c>
      <c r="G3" s="81" t="s">
        <v>262</v>
      </c>
      <c r="H3" s="81" t="s">
        <v>263</v>
      </c>
      <c r="I3" s="81" t="s">
        <v>264</v>
      </c>
      <c r="J3" s="82" t="s">
        <v>254</v>
      </c>
      <c r="K3" s="81" t="s">
        <v>255</v>
      </c>
      <c r="L3" s="81" t="s">
        <v>256</v>
      </c>
      <c r="M3" s="79" t="s">
        <v>257</v>
      </c>
      <c r="N3" s="79" t="s">
        <v>265</v>
      </c>
      <c r="O3" s="79" t="s">
        <v>266</v>
      </c>
      <c r="P3" s="79" t="s">
        <v>267</v>
      </c>
      <c r="Q3" s="79" t="s">
        <v>268</v>
      </c>
      <c r="R3" s="79" t="s">
        <v>269</v>
      </c>
      <c r="S3" s="79" t="s">
        <v>270</v>
      </c>
      <c r="T3" s="79" t="s">
        <v>271</v>
      </c>
      <c r="U3" s="79" t="s">
        <v>272</v>
      </c>
      <c r="V3" s="79" t="s">
        <v>273</v>
      </c>
      <c r="W3" s="79" t="s">
        <v>274</v>
      </c>
      <c r="X3" s="83" t="s">
        <v>275</v>
      </c>
      <c r="Y3" s="81" t="s">
        <v>276</v>
      </c>
      <c r="Z3" s="81" t="s">
        <v>277</v>
      </c>
      <c r="AA3" s="81" t="s">
        <v>278</v>
      </c>
      <c r="AB3" s="81" t="s">
        <v>279</v>
      </c>
      <c r="AC3" s="81" t="s">
        <v>280</v>
      </c>
      <c r="AD3" s="81" t="s">
        <v>281</v>
      </c>
      <c r="AE3" s="81" t="s">
        <v>282</v>
      </c>
      <c r="AF3" s="81" t="s">
        <v>283</v>
      </c>
      <c r="AG3" s="81" t="s">
        <v>284</v>
      </c>
      <c r="AH3" s="81" t="s">
        <v>285</v>
      </c>
      <c r="AI3" s="81" t="s">
        <v>286</v>
      </c>
      <c r="AJ3" s="81" t="s">
        <v>287</v>
      </c>
    </row>
    <row r="4" spans="1:36" x14ac:dyDescent="0.25">
      <c r="A4" s="38" t="s">
        <v>84</v>
      </c>
      <c r="B4" s="30">
        <f>$A$2</f>
        <v>12</v>
      </c>
      <c r="C4" s="39" t="s">
        <v>288</v>
      </c>
      <c r="J4" s="77"/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38" t="s">
        <v>85</v>
      </c>
      <c r="B5" s="30">
        <f t="shared" ref="B5:B19" si="0">$A$2</f>
        <v>12</v>
      </c>
      <c r="C5" s="39" t="s">
        <v>288</v>
      </c>
      <c r="J5" s="77"/>
      <c r="Y5">
        <v>3</v>
      </c>
      <c r="Z5">
        <v>3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s="38" t="s">
        <v>86</v>
      </c>
      <c r="B6" s="30">
        <f t="shared" si="0"/>
        <v>12</v>
      </c>
      <c r="C6" s="39" t="s">
        <v>288</v>
      </c>
      <c r="J6" s="77"/>
      <c r="Y6">
        <v>0</v>
      </c>
      <c r="Z6">
        <v>0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</row>
    <row r="7" spans="1:36" x14ac:dyDescent="0.25">
      <c r="A7" s="38" t="s">
        <v>154</v>
      </c>
      <c r="B7" s="30">
        <f t="shared" si="0"/>
        <v>12</v>
      </c>
      <c r="C7" s="39" t="s">
        <v>288</v>
      </c>
      <c r="J7" s="77"/>
      <c r="Y7">
        <v>0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s="38" t="s">
        <v>171</v>
      </c>
      <c r="B8" s="30">
        <f t="shared" si="0"/>
        <v>12</v>
      </c>
      <c r="C8" s="39" t="s">
        <v>288</v>
      </c>
      <c r="J8" s="77"/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s="58" customFormat="1" ht="15.75" x14ac:dyDescent="0.25">
      <c r="A9" s="57" t="s">
        <v>201</v>
      </c>
      <c r="B9" s="58">
        <f t="shared" si="0"/>
        <v>12</v>
      </c>
      <c r="C9" s="57" t="s">
        <v>288</v>
      </c>
      <c r="J9" s="84"/>
      <c r="X9" s="84"/>
      <c r="Y9" s="58">
        <v>1</v>
      </c>
      <c r="Z9" s="58">
        <v>3</v>
      </c>
      <c r="AA9" s="58">
        <v>3</v>
      </c>
      <c r="AB9" s="58">
        <v>3</v>
      </c>
      <c r="AC9" s="58">
        <v>3</v>
      </c>
      <c r="AD9" s="58">
        <v>3</v>
      </c>
      <c r="AE9" s="58">
        <v>3</v>
      </c>
      <c r="AF9" s="58">
        <v>3</v>
      </c>
      <c r="AG9" s="58">
        <v>3</v>
      </c>
      <c r="AH9" s="58">
        <v>3</v>
      </c>
      <c r="AI9" s="58">
        <v>3</v>
      </c>
      <c r="AJ9" s="58">
        <v>3</v>
      </c>
    </row>
    <row r="10" spans="1:36" ht="15.75" x14ac:dyDescent="0.25">
      <c r="A10" s="38"/>
      <c r="B10" s="30">
        <f t="shared" si="0"/>
        <v>12</v>
      </c>
      <c r="C10" s="39" t="s">
        <v>288</v>
      </c>
      <c r="J10" s="77"/>
      <c r="Z10" s="58">
        <v>1</v>
      </c>
      <c r="AA10" s="58">
        <v>1</v>
      </c>
      <c r="AB10" s="58">
        <v>1</v>
      </c>
      <c r="AC10" s="58">
        <v>1</v>
      </c>
      <c r="AD10" s="58">
        <v>1</v>
      </c>
      <c r="AE10" s="58">
        <v>1</v>
      </c>
      <c r="AF10" s="58">
        <v>1</v>
      </c>
      <c r="AG10" s="58">
        <v>1</v>
      </c>
      <c r="AH10" s="58">
        <v>1</v>
      </c>
      <c r="AI10" s="58">
        <v>1</v>
      </c>
      <c r="AJ10" s="58">
        <v>1</v>
      </c>
    </row>
    <row r="11" spans="1:36" x14ac:dyDescent="0.25">
      <c r="A11" t="s">
        <v>323</v>
      </c>
      <c r="B11" s="30">
        <f t="shared" si="0"/>
        <v>12</v>
      </c>
      <c r="C11" s="32" t="s">
        <v>276</v>
      </c>
      <c r="D11">
        <v>610.84199999999998</v>
      </c>
      <c r="E11">
        <v>340.70393000000001</v>
      </c>
      <c r="F11">
        <v>101.74464999999999</v>
      </c>
      <c r="G11">
        <v>111.20786</v>
      </c>
      <c r="H11">
        <v>100.73269000000001</v>
      </c>
      <c r="I11" s="25">
        <v>134.42527000000001</v>
      </c>
      <c r="J11" s="85">
        <v>37.723309999999998</v>
      </c>
      <c r="K11" s="85">
        <v>84.614630000000005</v>
      </c>
      <c r="L11" s="85">
        <v>15.44139</v>
      </c>
      <c r="M11">
        <v>546.05999999999995</v>
      </c>
      <c r="N11">
        <v>7.48</v>
      </c>
      <c r="O11">
        <v>50.94</v>
      </c>
      <c r="P11">
        <v>36.159999999999997</v>
      </c>
      <c r="Q11" s="106">
        <v>148.03703999999999</v>
      </c>
      <c r="R11">
        <v>128.86000000000001</v>
      </c>
      <c r="S11">
        <v>83.64</v>
      </c>
      <c r="T11">
        <v>26.82</v>
      </c>
      <c r="U11">
        <v>9.51</v>
      </c>
      <c r="V11">
        <v>42.71</v>
      </c>
      <c r="W11">
        <v>54.06</v>
      </c>
      <c r="X11" s="77">
        <v>104.88</v>
      </c>
      <c r="Y11">
        <v>88.7</v>
      </c>
      <c r="Z11">
        <v>398.2</v>
      </c>
      <c r="AA11">
        <v>349050</v>
      </c>
      <c r="AB11">
        <v>689.18100000000004</v>
      </c>
      <c r="AC11">
        <v>1454152</v>
      </c>
      <c r="AD11">
        <v>343421</v>
      </c>
      <c r="AE11">
        <v>70914</v>
      </c>
      <c r="AF11">
        <v>238813</v>
      </c>
      <c r="AG11">
        <v>170250</v>
      </c>
      <c r="AH11">
        <v>23717</v>
      </c>
      <c r="AI11">
        <v>2249964</v>
      </c>
      <c r="AJ11">
        <v>864282</v>
      </c>
    </row>
    <row r="12" spans="1:36" x14ac:dyDescent="0.25">
      <c r="A12" t="s">
        <v>324</v>
      </c>
      <c r="B12" s="30">
        <f t="shared" si="0"/>
        <v>12</v>
      </c>
      <c r="C12" s="32" t="s">
        <v>277</v>
      </c>
      <c r="D12">
        <v>607.90899999999999</v>
      </c>
      <c r="E12">
        <v>340.39787999999999</v>
      </c>
      <c r="F12">
        <v>103.34041999999999</v>
      </c>
      <c r="G12">
        <v>104.69401999999999</v>
      </c>
      <c r="H12">
        <v>101.31614</v>
      </c>
      <c r="I12" s="25">
        <v>135.80617000000001</v>
      </c>
      <c r="J12" s="85">
        <v>38.799529999999997</v>
      </c>
      <c r="K12" s="85">
        <v>84.277559999999994</v>
      </c>
      <c r="L12" s="85">
        <v>15.55034</v>
      </c>
      <c r="M12">
        <v>540.55999999999995</v>
      </c>
      <c r="N12">
        <v>7.47</v>
      </c>
      <c r="O12">
        <v>51.17</v>
      </c>
      <c r="P12">
        <v>35.89</v>
      </c>
      <c r="Q12" s="106">
        <v>145.26213000000001</v>
      </c>
      <c r="R12">
        <v>126.7</v>
      </c>
      <c r="S12">
        <v>83.38</v>
      </c>
      <c r="T12">
        <v>27.05</v>
      </c>
      <c r="U12">
        <v>9.2200000000000006</v>
      </c>
      <c r="V12">
        <v>40.4</v>
      </c>
      <c r="W12">
        <v>54.5</v>
      </c>
      <c r="X12" s="77">
        <v>105.68</v>
      </c>
      <c r="Y12">
        <v>88.1</v>
      </c>
      <c r="Z12">
        <v>369.3</v>
      </c>
      <c r="AA12">
        <v>354648</v>
      </c>
      <c r="AB12">
        <v>696.26400000000001</v>
      </c>
      <c r="AC12">
        <v>1498791</v>
      </c>
      <c r="AD12">
        <v>354490</v>
      </c>
      <c r="AE12">
        <v>73636</v>
      </c>
      <c r="AF12">
        <v>245158</v>
      </c>
      <c r="AG12">
        <v>174469</v>
      </c>
      <c r="AH12">
        <v>25805</v>
      </c>
      <c r="AI12">
        <v>2309449</v>
      </c>
      <c r="AJ12">
        <v>874371</v>
      </c>
    </row>
    <row r="13" spans="1:36" x14ac:dyDescent="0.25">
      <c r="A13" t="s">
        <v>325</v>
      </c>
      <c r="B13" s="30">
        <f t="shared" si="0"/>
        <v>12</v>
      </c>
      <c r="C13" s="32" t="s">
        <v>278</v>
      </c>
      <c r="D13">
        <v>606.96</v>
      </c>
      <c r="E13">
        <v>334.84554000000003</v>
      </c>
      <c r="F13">
        <v>106.22434</v>
      </c>
      <c r="G13">
        <v>109.75659</v>
      </c>
      <c r="H13">
        <v>102.65808</v>
      </c>
      <c r="I13" s="25">
        <v>135.75094000000001</v>
      </c>
      <c r="J13" s="85">
        <v>38.214019999999998</v>
      </c>
      <c r="K13" s="85">
        <v>85.153940000000006</v>
      </c>
      <c r="L13" s="85">
        <v>15.652900000000001</v>
      </c>
      <c r="M13">
        <v>539.86</v>
      </c>
      <c r="N13">
        <v>7.43</v>
      </c>
      <c r="O13">
        <v>52.27</v>
      </c>
      <c r="P13">
        <v>36.020000000000003</v>
      </c>
      <c r="Q13" s="106">
        <v>142.37980999999999</v>
      </c>
      <c r="R13">
        <v>124.05</v>
      </c>
      <c r="S13">
        <v>81.55</v>
      </c>
      <c r="T13">
        <v>27.08</v>
      </c>
      <c r="U13">
        <v>9</v>
      </c>
      <c r="V13">
        <v>42.69</v>
      </c>
      <c r="W13">
        <v>54.56</v>
      </c>
      <c r="X13" s="77">
        <v>107.62</v>
      </c>
      <c r="Y13">
        <v>86.9</v>
      </c>
      <c r="Z13">
        <v>397.6</v>
      </c>
      <c r="AA13">
        <v>358762</v>
      </c>
      <c r="AB13">
        <v>706.81100000000004</v>
      </c>
      <c r="AC13">
        <v>1529001</v>
      </c>
      <c r="AD13">
        <v>357925</v>
      </c>
      <c r="AE13">
        <v>75193</v>
      </c>
      <c r="AF13">
        <v>251039</v>
      </c>
      <c r="AG13">
        <v>177040</v>
      </c>
      <c r="AH13">
        <v>25053</v>
      </c>
      <c r="AI13">
        <v>2358557</v>
      </c>
      <c r="AJ13">
        <v>886938</v>
      </c>
    </row>
    <row r="14" spans="1:36" x14ac:dyDescent="0.25">
      <c r="A14" t="s">
        <v>326</v>
      </c>
      <c r="B14" s="30">
        <f t="shared" si="0"/>
        <v>12</v>
      </c>
      <c r="C14" s="32" t="s">
        <v>279</v>
      </c>
      <c r="D14">
        <v>615.673</v>
      </c>
      <c r="E14">
        <v>340.09183999999999</v>
      </c>
      <c r="F14">
        <v>107.24332</v>
      </c>
      <c r="G14">
        <v>109.99285</v>
      </c>
      <c r="H14">
        <v>102.45386999999999</v>
      </c>
      <c r="I14" s="25">
        <v>139.2492</v>
      </c>
      <c r="J14" s="85">
        <v>38.537439999999997</v>
      </c>
      <c r="K14" s="85">
        <v>89.054349999999999</v>
      </c>
      <c r="L14" s="85">
        <v>15.65611</v>
      </c>
      <c r="M14">
        <v>547.23</v>
      </c>
      <c r="N14">
        <v>7.44</v>
      </c>
      <c r="O14">
        <v>53.9</v>
      </c>
      <c r="P14">
        <v>36.520000000000003</v>
      </c>
      <c r="Q14" s="106">
        <v>143.86572000000001</v>
      </c>
      <c r="R14">
        <v>125.47</v>
      </c>
      <c r="S14">
        <v>82.5</v>
      </c>
      <c r="T14">
        <v>27.19</v>
      </c>
      <c r="U14">
        <v>9.42</v>
      </c>
      <c r="V14">
        <v>42.89</v>
      </c>
      <c r="W14">
        <v>54.45</v>
      </c>
      <c r="X14" s="77">
        <v>110.32</v>
      </c>
      <c r="Y14">
        <v>86</v>
      </c>
      <c r="Z14">
        <v>388.4</v>
      </c>
      <c r="AA14">
        <v>367619</v>
      </c>
      <c r="AB14">
        <v>727.03800000000001</v>
      </c>
      <c r="AC14">
        <v>1596278</v>
      </c>
      <c r="AD14">
        <v>359871</v>
      </c>
      <c r="AE14">
        <v>76278</v>
      </c>
      <c r="AF14">
        <v>252771</v>
      </c>
      <c r="AG14">
        <v>182289</v>
      </c>
      <c r="AH14">
        <v>27497</v>
      </c>
      <c r="AI14">
        <v>2451491</v>
      </c>
      <c r="AJ14">
        <v>911783</v>
      </c>
    </row>
    <row r="15" spans="1:36" x14ac:dyDescent="0.25">
      <c r="A15" t="s">
        <v>327</v>
      </c>
      <c r="B15" s="30">
        <f t="shared" si="0"/>
        <v>12</v>
      </c>
      <c r="C15" s="30" t="s">
        <v>280</v>
      </c>
      <c r="D15">
        <v>624.149</v>
      </c>
      <c r="E15">
        <v>347.13064000000003</v>
      </c>
      <c r="F15">
        <v>109.27656</v>
      </c>
      <c r="G15">
        <v>111.32550000000001</v>
      </c>
      <c r="H15">
        <v>106.00533</v>
      </c>
      <c r="I15" s="25">
        <v>143.57599999999999</v>
      </c>
      <c r="J15" s="85">
        <v>38.607230000000001</v>
      </c>
      <c r="K15" s="85">
        <v>94.319649999999996</v>
      </c>
      <c r="L15" s="85">
        <v>15.81076</v>
      </c>
      <c r="M15">
        <v>556.20000000000005</v>
      </c>
      <c r="N15">
        <v>7.26</v>
      </c>
      <c r="O15">
        <v>54.34</v>
      </c>
      <c r="P15">
        <v>36.94</v>
      </c>
      <c r="Q15" s="106">
        <v>144.97981999999999</v>
      </c>
      <c r="R15">
        <v>126.42</v>
      </c>
      <c r="S15">
        <v>83.64</v>
      </c>
      <c r="T15">
        <v>28.74</v>
      </c>
      <c r="U15">
        <v>9.8800000000000008</v>
      </c>
      <c r="V15">
        <v>43.78</v>
      </c>
      <c r="W15">
        <v>56.99</v>
      </c>
      <c r="X15" s="77">
        <v>110.99</v>
      </c>
      <c r="Y15">
        <v>85.8</v>
      </c>
      <c r="Z15">
        <v>403.2</v>
      </c>
      <c r="AA15">
        <v>373433</v>
      </c>
      <c r="AB15">
        <v>738.95399999999995</v>
      </c>
      <c r="AC15">
        <v>1628367</v>
      </c>
      <c r="AD15">
        <v>355988</v>
      </c>
      <c r="AE15">
        <v>79906</v>
      </c>
      <c r="AF15">
        <v>259344</v>
      </c>
      <c r="AG15">
        <v>185278</v>
      </c>
      <c r="AH15">
        <v>27204</v>
      </c>
      <c r="AI15">
        <v>2493251</v>
      </c>
      <c r="AJ15">
        <v>922410</v>
      </c>
    </row>
    <row r="16" spans="1:36" x14ac:dyDescent="0.25">
      <c r="A16" t="s">
        <v>328</v>
      </c>
      <c r="B16" s="30">
        <f t="shared" si="0"/>
        <v>12</v>
      </c>
      <c r="C16" s="30" t="s">
        <v>281</v>
      </c>
      <c r="D16">
        <v>620.26700000000005</v>
      </c>
      <c r="E16">
        <v>346.29998999999998</v>
      </c>
      <c r="F16">
        <v>110.39163000000001</v>
      </c>
      <c r="G16">
        <v>105.96001</v>
      </c>
      <c r="H16">
        <v>102.97161</v>
      </c>
      <c r="I16" s="25">
        <v>142.02939000000001</v>
      </c>
      <c r="J16" s="85">
        <v>37.954770000000003</v>
      </c>
      <c r="K16" s="85">
        <v>93.520330000000001</v>
      </c>
      <c r="L16" s="85">
        <v>15.82038</v>
      </c>
      <c r="M16">
        <v>552.32000000000005</v>
      </c>
      <c r="N16">
        <v>7.24</v>
      </c>
      <c r="O16">
        <v>54.63</v>
      </c>
      <c r="P16">
        <v>36.68</v>
      </c>
      <c r="Q16" s="106">
        <v>141.56075999999999</v>
      </c>
      <c r="R16">
        <v>123.23</v>
      </c>
      <c r="S16">
        <v>82.09</v>
      </c>
      <c r="T16">
        <v>28.4</v>
      </c>
      <c r="U16">
        <v>10.210000000000001</v>
      </c>
      <c r="V16">
        <v>43.9</v>
      </c>
      <c r="W16">
        <v>57.75</v>
      </c>
      <c r="X16" s="77">
        <v>111.54</v>
      </c>
      <c r="Y16">
        <v>80.400000000000006</v>
      </c>
      <c r="Z16">
        <v>371</v>
      </c>
      <c r="AA16">
        <v>382140</v>
      </c>
      <c r="AB16">
        <v>753.25099999999998</v>
      </c>
      <c r="AC16">
        <v>1680463</v>
      </c>
      <c r="AD16">
        <v>364204</v>
      </c>
      <c r="AE16">
        <v>83677</v>
      </c>
      <c r="AF16">
        <v>263707</v>
      </c>
      <c r="AG16">
        <v>188701</v>
      </c>
      <c r="AH16">
        <v>29488</v>
      </c>
      <c r="AI16">
        <v>2564575</v>
      </c>
      <c r="AJ16">
        <v>940206</v>
      </c>
    </row>
    <row r="17" spans="1:36" x14ac:dyDescent="0.25">
      <c r="A17" t="s">
        <v>329</v>
      </c>
      <c r="B17" s="30">
        <f t="shared" si="0"/>
        <v>12</v>
      </c>
      <c r="C17" s="30" t="s">
        <v>282</v>
      </c>
      <c r="D17">
        <v>618.79999999999995</v>
      </c>
      <c r="E17">
        <v>347.87385999999998</v>
      </c>
      <c r="F17">
        <v>112.02578</v>
      </c>
      <c r="G17">
        <v>108.89584000000001</v>
      </c>
      <c r="H17">
        <v>102.53404999999999</v>
      </c>
      <c r="I17" s="25">
        <v>137.92354</v>
      </c>
      <c r="J17" s="85">
        <v>35.841209999999997</v>
      </c>
      <c r="K17" s="85">
        <v>92.018000000000001</v>
      </c>
      <c r="L17" s="85">
        <v>15.881270000000001</v>
      </c>
      <c r="M17">
        <v>551.24</v>
      </c>
      <c r="N17">
        <v>7.25</v>
      </c>
      <c r="O17">
        <v>54.65</v>
      </c>
      <c r="P17">
        <v>37.43</v>
      </c>
      <c r="Q17" s="106">
        <v>138.10586000000001</v>
      </c>
      <c r="R17">
        <v>120</v>
      </c>
      <c r="S17">
        <v>82.34</v>
      </c>
      <c r="T17">
        <v>28.37</v>
      </c>
      <c r="U17">
        <v>10.39</v>
      </c>
      <c r="V17">
        <v>44.55</v>
      </c>
      <c r="W17">
        <v>57.96</v>
      </c>
      <c r="X17" s="77">
        <v>112.5</v>
      </c>
      <c r="Y17">
        <v>79.400000000000006</v>
      </c>
      <c r="Z17">
        <v>399.2</v>
      </c>
      <c r="AA17">
        <v>391914</v>
      </c>
      <c r="AB17">
        <v>770.73400000000004</v>
      </c>
      <c r="AC17">
        <v>1704697</v>
      </c>
      <c r="AD17">
        <v>359371</v>
      </c>
      <c r="AE17">
        <v>85211</v>
      </c>
      <c r="AF17">
        <v>265956</v>
      </c>
      <c r="AG17">
        <v>195617</v>
      </c>
      <c r="AH17">
        <v>29424</v>
      </c>
      <c r="AI17">
        <v>2606541</v>
      </c>
      <c r="AJ17">
        <v>960036</v>
      </c>
    </row>
    <row r="18" spans="1:36" x14ac:dyDescent="0.25">
      <c r="A18" t="s">
        <v>330</v>
      </c>
      <c r="B18" s="30">
        <f t="shared" si="0"/>
        <v>12</v>
      </c>
      <c r="C18" s="30" t="s">
        <v>283</v>
      </c>
      <c r="D18">
        <v>617.07500000000005</v>
      </c>
      <c r="E18">
        <v>350.27843999999999</v>
      </c>
      <c r="F18">
        <v>112.25649</v>
      </c>
      <c r="G18">
        <v>103.8678</v>
      </c>
      <c r="H18">
        <v>103.99257</v>
      </c>
      <c r="I18" s="25">
        <v>138.42066</v>
      </c>
      <c r="J18" s="85">
        <v>34.134749999999997</v>
      </c>
      <c r="K18" s="85">
        <v>95.64864</v>
      </c>
      <c r="L18" s="85">
        <v>15.98704</v>
      </c>
      <c r="M18">
        <v>548.05999999999995</v>
      </c>
      <c r="N18">
        <v>7.24</v>
      </c>
      <c r="O18">
        <v>56.44</v>
      </c>
      <c r="P18">
        <v>37.799999999999997</v>
      </c>
      <c r="Q18" s="106">
        <v>134.72259</v>
      </c>
      <c r="R18">
        <v>116.99</v>
      </c>
      <c r="S18">
        <v>82.54</v>
      </c>
      <c r="T18">
        <v>28.07</v>
      </c>
      <c r="U18">
        <v>10.32</v>
      </c>
      <c r="V18">
        <v>44.78</v>
      </c>
      <c r="W18">
        <v>57.28</v>
      </c>
      <c r="X18" s="77">
        <v>112.37</v>
      </c>
      <c r="Y18">
        <v>77.599999999999994</v>
      </c>
      <c r="Z18">
        <v>391.4</v>
      </c>
      <c r="AA18">
        <v>393452</v>
      </c>
      <c r="AB18">
        <v>778.53099999999995</v>
      </c>
      <c r="AC18">
        <v>1729263</v>
      </c>
      <c r="AD18">
        <v>339926</v>
      </c>
      <c r="AE18">
        <v>84452</v>
      </c>
      <c r="AF18">
        <v>269122</v>
      </c>
      <c r="AG18">
        <v>196113</v>
      </c>
      <c r="AH18">
        <v>30714</v>
      </c>
      <c r="AI18">
        <v>2648169</v>
      </c>
      <c r="AJ18">
        <v>970246</v>
      </c>
    </row>
    <row r="19" spans="1:36" x14ac:dyDescent="0.25">
      <c r="A19" t="s">
        <v>331</v>
      </c>
      <c r="B19" s="30">
        <f t="shared" si="0"/>
        <v>12</v>
      </c>
      <c r="C19" s="30" t="s">
        <v>284</v>
      </c>
      <c r="D19">
        <v>612.17899999999997</v>
      </c>
      <c r="E19">
        <v>348.71544</v>
      </c>
      <c r="F19">
        <v>112.72277</v>
      </c>
      <c r="G19">
        <v>100.36618</v>
      </c>
      <c r="H19">
        <v>94.052639999999997</v>
      </c>
      <c r="I19" s="25">
        <v>135.29065</v>
      </c>
      <c r="J19" s="85">
        <v>32.365720000000003</v>
      </c>
      <c r="K19" s="85">
        <v>94.87097</v>
      </c>
      <c r="L19" s="85">
        <v>15.80756</v>
      </c>
      <c r="M19">
        <v>544.94000000000005</v>
      </c>
      <c r="N19">
        <v>7.1</v>
      </c>
      <c r="O19">
        <v>54.25</v>
      </c>
      <c r="P19">
        <v>38.5</v>
      </c>
      <c r="Q19" s="106">
        <v>131.11497</v>
      </c>
      <c r="R19">
        <v>112.91</v>
      </c>
      <c r="S19">
        <v>81.37</v>
      </c>
      <c r="T19">
        <v>28.22</v>
      </c>
      <c r="U19">
        <v>10.66</v>
      </c>
      <c r="V19">
        <v>45.27</v>
      </c>
      <c r="W19">
        <v>58.8</v>
      </c>
      <c r="X19" s="77">
        <v>112.78</v>
      </c>
      <c r="Y19">
        <v>76.400000000000006</v>
      </c>
      <c r="Z19">
        <v>393.5</v>
      </c>
      <c r="AA19">
        <v>401551</v>
      </c>
      <c r="AB19">
        <v>794.83199999999999</v>
      </c>
      <c r="AC19">
        <v>1737548</v>
      </c>
      <c r="AD19">
        <v>332151</v>
      </c>
      <c r="AE19">
        <v>87142</v>
      </c>
      <c r="AF19">
        <v>271054</v>
      </c>
      <c r="AG19">
        <v>197596</v>
      </c>
      <c r="AH19">
        <v>30103</v>
      </c>
      <c r="AI19">
        <v>2667497</v>
      </c>
      <c r="AJ19">
        <v>986239</v>
      </c>
    </row>
    <row r="20" spans="1:36" x14ac:dyDescent="0.25">
      <c r="A20" t="s">
        <v>332</v>
      </c>
      <c r="C20" s="30" t="s">
        <v>285</v>
      </c>
      <c r="D20">
        <v>612.26599999999996</v>
      </c>
      <c r="E20">
        <v>346.74803000000003</v>
      </c>
      <c r="F20">
        <v>112.20366</v>
      </c>
      <c r="G20">
        <v>98.071330000000003</v>
      </c>
      <c r="H20">
        <v>94.811139999999995</v>
      </c>
      <c r="I20" s="25">
        <v>134.25957</v>
      </c>
      <c r="J20" s="85">
        <v>31.306190000000001</v>
      </c>
      <c r="K20" s="85">
        <v>95.352500000000006</v>
      </c>
      <c r="L20" s="85">
        <v>15.87486</v>
      </c>
      <c r="M20">
        <v>544.4</v>
      </c>
      <c r="N20">
        <v>7.11</v>
      </c>
      <c r="O20">
        <v>54.26</v>
      </c>
      <c r="P20">
        <v>39.33</v>
      </c>
      <c r="Q20" s="106">
        <v>129.00253000000001</v>
      </c>
      <c r="R20">
        <v>111.24</v>
      </c>
      <c r="S20">
        <v>80.849999999999994</v>
      </c>
      <c r="T20">
        <v>28.1</v>
      </c>
      <c r="U20">
        <v>10.76</v>
      </c>
      <c r="V20">
        <v>46.04</v>
      </c>
      <c r="W20">
        <v>59.33</v>
      </c>
      <c r="X20" s="77">
        <v>113.2</v>
      </c>
      <c r="Y20">
        <v>76</v>
      </c>
      <c r="Z20">
        <v>365</v>
      </c>
      <c r="AA20">
        <v>409615</v>
      </c>
      <c r="AB20">
        <v>818.524</v>
      </c>
      <c r="AC20">
        <v>1762247</v>
      </c>
      <c r="AD20">
        <v>329389</v>
      </c>
      <c r="AE20">
        <v>91335</v>
      </c>
      <c r="AF20">
        <v>274184</v>
      </c>
      <c r="AG20">
        <v>203432</v>
      </c>
      <c r="AH20">
        <v>31795</v>
      </c>
      <c r="AI20">
        <v>2710469</v>
      </c>
      <c r="AJ20">
        <v>1007174</v>
      </c>
    </row>
    <row r="21" spans="1:36" x14ac:dyDescent="0.25">
      <c r="A21" t="s">
        <v>333</v>
      </c>
      <c r="C21" s="30" t="s">
        <v>286</v>
      </c>
      <c r="D21">
        <v>615.88900000000001</v>
      </c>
      <c r="E21">
        <v>349.0652</v>
      </c>
      <c r="F21">
        <v>111.93449</v>
      </c>
      <c r="G21">
        <v>98.341300000000004</v>
      </c>
      <c r="H21">
        <v>96.211410000000001</v>
      </c>
      <c r="I21" s="25">
        <v>134.86716000000001</v>
      </c>
      <c r="J21" s="85">
        <v>31.105440000000002</v>
      </c>
      <c r="K21" s="85">
        <v>96.382959999999997</v>
      </c>
      <c r="L21" s="85">
        <v>15.94537</v>
      </c>
      <c r="M21">
        <v>546.17999999999995</v>
      </c>
      <c r="N21">
        <v>7.16</v>
      </c>
      <c r="O21">
        <v>55.32</v>
      </c>
      <c r="P21">
        <v>39.82</v>
      </c>
      <c r="Q21" s="106">
        <v>128.87721999999999</v>
      </c>
      <c r="R21">
        <v>111.12</v>
      </c>
      <c r="S21">
        <v>81.2</v>
      </c>
      <c r="T21">
        <v>27.92</v>
      </c>
      <c r="U21">
        <v>10.89</v>
      </c>
      <c r="V21">
        <v>46.48</v>
      </c>
      <c r="W21">
        <v>59.31</v>
      </c>
      <c r="X21" s="77">
        <v>113.08</v>
      </c>
      <c r="Y21">
        <v>76</v>
      </c>
      <c r="Z21">
        <v>393.2</v>
      </c>
      <c r="AA21">
        <v>420051</v>
      </c>
      <c r="AB21">
        <v>849.11599999999999</v>
      </c>
      <c r="AC21">
        <v>1788301</v>
      </c>
      <c r="AD21">
        <v>323782</v>
      </c>
      <c r="AE21">
        <v>93096</v>
      </c>
      <c r="AF21">
        <v>278840</v>
      </c>
      <c r="AG21">
        <v>208766</v>
      </c>
      <c r="AH21">
        <v>32943</v>
      </c>
      <c r="AI21">
        <v>2761157</v>
      </c>
      <c r="AJ21">
        <v>1035048</v>
      </c>
    </row>
    <row r="22" spans="1:36" x14ac:dyDescent="0.25">
      <c r="A22" t="s">
        <v>334</v>
      </c>
      <c r="C22" s="30" t="s">
        <v>287</v>
      </c>
      <c r="D22">
        <v>615.37099999999998</v>
      </c>
      <c r="E22">
        <v>351.90706999999998</v>
      </c>
      <c r="F22">
        <v>111.76146</v>
      </c>
      <c r="G22">
        <v>100.16369</v>
      </c>
      <c r="H22">
        <v>96.386449999999996</v>
      </c>
      <c r="I22" s="25">
        <v>133.09962999999999</v>
      </c>
      <c r="J22" s="85">
        <v>30.168600000000001</v>
      </c>
      <c r="K22" s="85">
        <v>95.718459999999993</v>
      </c>
      <c r="L22" s="85">
        <v>16.006270000000001</v>
      </c>
      <c r="M22">
        <v>545.71</v>
      </c>
      <c r="N22">
        <v>7.15</v>
      </c>
      <c r="O22">
        <v>54.34</v>
      </c>
      <c r="P22">
        <v>39.31</v>
      </c>
      <c r="Q22" s="106">
        <v>129.77232000000001</v>
      </c>
      <c r="R22">
        <v>111.84</v>
      </c>
      <c r="S22">
        <v>80.73</v>
      </c>
      <c r="T22">
        <v>27.8</v>
      </c>
      <c r="U22">
        <v>10.95</v>
      </c>
      <c r="V22">
        <v>46.84</v>
      </c>
      <c r="W22">
        <v>59.13</v>
      </c>
      <c r="X22" s="77">
        <v>112.73</v>
      </c>
      <c r="Y22">
        <v>77</v>
      </c>
      <c r="Z22">
        <v>387</v>
      </c>
      <c r="AA22">
        <v>437003</v>
      </c>
      <c r="AB22">
        <v>896.07399999999996</v>
      </c>
      <c r="AC22">
        <v>1834672</v>
      </c>
      <c r="AD22">
        <v>317082</v>
      </c>
      <c r="AE22">
        <v>96015</v>
      </c>
      <c r="AF22">
        <v>283387</v>
      </c>
      <c r="AG22">
        <v>214535</v>
      </c>
      <c r="AH22">
        <v>34235</v>
      </c>
      <c r="AI22">
        <v>2848403</v>
      </c>
      <c r="AJ22">
        <v>1085044</v>
      </c>
    </row>
    <row r="23" spans="1:36" x14ac:dyDescent="0.25">
      <c r="A23" t="s">
        <v>335</v>
      </c>
      <c r="C23" s="30"/>
      <c r="D23">
        <v>624.06299999999999</v>
      </c>
      <c r="E23">
        <v>352.19121000000001</v>
      </c>
      <c r="F23">
        <v>115.13081</v>
      </c>
      <c r="G23">
        <v>103.48730999999999</v>
      </c>
      <c r="H23">
        <v>98.340459999999993</v>
      </c>
      <c r="I23" s="25">
        <v>137.13636</v>
      </c>
      <c r="J23" s="85">
        <v>30.302430000000001</v>
      </c>
      <c r="K23" s="85">
        <v>100.66605</v>
      </c>
      <c r="L23" s="85">
        <v>15.878069999999999</v>
      </c>
      <c r="M23">
        <v>550.58000000000004</v>
      </c>
      <c r="N23">
        <v>5.52</v>
      </c>
      <c r="O23">
        <v>56.01</v>
      </c>
      <c r="P23">
        <v>39.75</v>
      </c>
      <c r="Q23" s="106">
        <v>130.41678999999999</v>
      </c>
      <c r="R23">
        <v>113.02</v>
      </c>
      <c r="S23">
        <v>82.06</v>
      </c>
      <c r="T23">
        <v>30.22</v>
      </c>
      <c r="U23">
        <v>10.58</v>
      </c>
      <c r="V23">
        <v>47.72</v>
      </c>
      <c r="W23">
        <v>58.01</v>
      </c>
      <c r="X23" s="77">
        <v>114.54</v>
      </c>
      <c r="Y23">
        <v>78.599999999999994</v>
      </c>
      <c r="Z23">
        <v>394.2</v>
      </c>
      <c r="AA23">
        <v>444210</v>
      </c>
      <c r="AB23">
        <v>924.13800000000003</v>
      </c>
      <c r="AC23">
        <v>1845745</v>
      </c>
      <c r="AD23">
        <v>315554</v>
      </c>
      <c r="AE23">
        <v>99277</v>
      </c>
      <c r="AF23">
        <v>284092</v>
      </c>
      <c r="AG23">
        <v>216594</v>
      </c>
      <c r="AH23">
        <v>35854</v>
      </c>
      <c r="AI23">
        <v>2875704</v>
      </c>
      <c r="AJ23">
        <v>1106970</v>
      </c>
    </row>
    <row r="24" spans="1:36" x14ac:dyDescent="0.25">
      <c r="A24" t="s">
        <v>336</v>
      </c>
      <c r="C24" s="30"/>
      <c r="D24">
        <v>627.51300000000003</v>
      </c>
      <c r="E24">
        <v>353.59019000000001</v>
      </c>
      <c r="F24">
        <v>115.95756</v>
      </c>
      <c r="G24">
        <v>108.31401</v>
      </c>
      <c r="H24">
        <v>102.57047</v>
      </c>
      <c r="I24" s="25">
        <v>138.71983</v>
      </c>
      <c r="J24" s="85">
        <v>30.3582</v>
      </c>
      <c r="K24" s="85">
        <v>102.47655</v>
      </c>
      <c r="L24" s="85">
        <v>15.932550000000001</v>
      </c>
      <c r="M24">
        <v>555.91999999999996</v>
      </c>
      <c r="N24">
        <v>5.56</v>
      </c>
      <c r="O24">
        <v>57.23</v>
      </c>
      <c r="P24">
        <v>39.89</v>
      </c>
      <c r="Q24" s="106">
        <v>132.20699999999999</v>
      </c>
      <c r="R24">
        <v>114.66</v>
      </c>
      <c r="S24">
        <v>81.99</v>
      </c>
      <c r="T24">
        <v>30.1</v>
      </c>
      <c r="U24">
        <v>10.66</v>
      </c>
      <c r="V24">
        <v>48.53</v>
      </c>
      <c r="W24">
        <v>58.65</v>
      </c>
      <c r="X24" s="77">
        <v>115.62</v>
      </c>
      <c r="Y24">
        <v>80.3</v>
      </c>
      <c r="Z24">
        <v>363.5</v>
      </c>
      <c r="AA24">
        <v>453340</v>
      </c>
      <c r="AB24">
        <v>952.64200000000005</v>
      </c>
      <c r="AC24">
        <v>1867826</v>
      </c>
      <c r="AD24">
        <v>317901</v>
      </c>
      <c r="AE24">
        <v>102860</v>
      </c>
      <c r="AF24">
        <v>286078</v>
      </c>
      <c r="AG24">
        <v>222418</v>
      </c>
      <c r="AH24">
        <v>35351</v>
      </c>
      <c r="AI24">
        <v>2923699</v>
      </c>
      <c r="AJ24">
        <v>1137356</v>
      </c>
    </row>
    <row r="25" spans="1:36" x14ac:dyDescent="0.25">
      <c r="A25" t="s">
        <v>337</v>
      </c>
      <c r="D25">
        <v>631.22299999999996</v>
      </c>
      <c r="E25">
        <v>354.90170999999998</v>
      </c>
      <c r="F25">
        <v>116.01524000000001</v>
      </c>
      <c r="G25">
        <v>107.77395</v>
      </c>
      <c r="H25">
        <v>104.6709</v>
      </c>
      <c r="I25" s="25">
        <v>139.19856999999999</v>
      </c>
      <c r="J25" s="85">
        <v>30.95487</v>
      </c>
      <c r="K25" s="85">
        <v>101.99504</v>
      </c>
      <c r="L25" s="85">
        <v>15.993449999999999</v>
      </c>
      <c r="M25">
        <v>559.17999999999995</v>
      </c>
      <c r="N25">
        <v>5.58</v>
      </c>
      <c r="O25">
        <v>57.16</v>
      </c>
      <c r="P25">
        <v>39.65</v>
      </c>
      <c r="Q25" s="106">
        <v>132.24280999999999</v>
      </c>
      <c r="R25">
        <v>114.71</v>
      </c>
      <c r="S25">
        <v>82.85</v>
      </c>
      <c r="T25">
        <v>30.25</v>
      </c>
      <c r="U25">
        <v>10.86</v>
      </c>
      <c r="V25">
        <v>49.1</v>
      </c>
      <c r="W25">
        <v>59.47</v>
      </c>
      <c r="X25" s="77">
        <v>116.33</v>
      </c>
      <c r="Y25">
        <v>82.1</v>
      </c>
      <c r="Z25">
        <v>391.9</v>
      </c>
      <c r="AA25">
        <v>468998</v>
      </c>
      <c r="AB25">
        <v>983.17</v>
      </c>
      <c r="AC25">
        <v>1891235</v>
      </c>
      <c r="AD25">
        <v>316636</v>
      </c>
      <c r="AE25">
        <v>106172</v>
      </c>
      <c r="AF25">
        <v>288983</v>
      </c>
      <c r="AG25">
        <v>229211</v>
      </c>
      <c r="AH25">
        <v>36149</v>
      </c>
      <c r="AI25">
        <v>2976982</v>
      </c>
      <c r="AJ25">
        <v>1176447</v>
      </c>
    </row>
    <row r="26" spans="1:36" x14ac:dyDescent="0.25">
      <c r="A26" t="s">
        <v>338</v>
      </c>
      <c r="D26">
        <v>638.21100000000001</v>
      </c>
      <c r="E26">
        <v>356.34442000000001</v>
      </c>
      <c r="F26">
        <v>117.47648</v>
      </c>
      <c r="G26">
        <v>108.48278000000001</v>
      </c>
      <c r="H26">
        <v>106.59627</v>
      </c>
      <c r="I26" s="25">
        <v>142.42075</v>
      </c>
      <c r="J26" s="85">
        <v>31.724419999999999</v>
      </c>
      <c r="K26" s="85">
        <v>104.66265</v>
      </c>
      <c r="L26" s="85">
        <v>16.03191</v>
      </c>
      <c r="M26">
        <v>566.08000000000004</v>
      </c>
      <c r="N26">
        <v>5.62</v>
      </c>
      <c r="O26">
        <v>58.77</v>
      </c>
      <c r="P26">
        <v>38.97</v>
      </c>
      <c r="Q26" s="106">
        <v>135.59049999999999</v>
      </c>
      <c r="R26">
        <v>118.08</v>
      </c>
      <c r="S26">
        <v>84.21</v>
      </c>
      <c r="T26">
        <v>30.28</v>
      </c>
      <c r="U26">
        <v>10.95</v>
      </c>
      <c r="V26">
        <v>49.45</v>
      </c>
      <c r="W26">
        <v>59.63</v>
      </c>
      <c r="X26" s="77">
        <v>116.72</v>
      </c>
      <c r="Y26">
        <v>83.2</v>
      </c>
      <c r="Z26">
        <v>384.6</v>
      </c>
      <c r="AA26">
        <v>462639</v>
      </c>
      <c r="AB26">
        <v>1020.477</v>
      </c>
      <c r="AC26">
        <v>1884564</v>
      </c>
      <c r="AD26">
        <v>315258</v>
      </c>
      <c r="AE26">
        <v>106837</v>
      </c>
      <c r="AF26">
        <v>291882</v>
      </c>
      <c r="AG26">
        <v>213057</v>
      </c>
      <c r="AH26">
        <v>37656</v>
      </c>
      <c r="AI26">
        <v>3007273</v>
      </c>
      <c r="AJ26">
        <v>1201425</v>
      </c>
    </row>
    <row r="27" spans="1:36" x14ac:dyDescent="0.25">
      <c r="A27" t="s">
        <v>339</v>
      </c>
      <c r="D27">
        <v>635.68700000000001</v>
      </c>
      <c r="E27">
        <v>355.87450000000001</v>
      </c>
      <c r="F27">
        <v>116.09202999999999</v>
      </c>
      <c r="G27">
        <v>112.7179</v>
      </c>
      <c r="H27">
        <v>107.04125999999999</v>
      </c>
      <c r="I27" s="25">
        <v>138.70142999999999</v>
      </c>
      <c r="J27" s="85">
        <v>31.184889999999999</v>
      </c>
      <c r="K27" s="85">
        <v>100.62752</v>
      </c>
      <c r="L27" s="85">
        <v>16.30114</v>
      </c>
      <c r="M27">
        <v>563.5</v>
      </c>
      <c r="N27">
        <v>5.82</v>
      </c>
      <c r="O27">
        <v>55.25</v>
      </c>
      <c r="P27">
        <v>38</v>
      </c>
      <c r="Q27" s="106">
        <v>132.79329000000001</v>
      </c>
      <c r="R27">
        <v>115.06</v>
      </c>
      <c r="S27">
        <v>83.65</v>
      </c>
      <c r="T27">
        <v>29.91</v>
      </c>
      <c r="U27">
        <v>11.08</v>
      </c>
      <c r="V27">
        <v>52.24</v>
      </c>
      <c r="W27">
        <v>60.19</v>
      </c>
      <c r="X27" s="77">
        <v>116.84</v>
      </c>
      <c r="Y27">
        <v>84.3</v>
      </c>
      <c r="Z27">
        <v>395.9</v>
      </c>
      <c r="AA27">
        <v>455278</v>
      </c>
      <c r="AB27">
        <v>1036.17</v>
      </c>
      <c r="AC27">
        <v>1862633</v>
      </c>
      <c r="AD27">
        <v>312744</v>
      </c>
      <c r="AE27">
        <v>108937</v>
      </c>
      <c r="AF27">
        <v>298539</v>
      </c>
      <c r="AG27">
        <v>211015</v>
      </c>
      <c r="AH27">
        <v>39916</v>
      </c>
      <c r="AI27">
        <v>2995570</v>
      </c>
      <c r="AJ27">
        <v>1205979</v>
      </c>
    </row>
    <row r="28" spans="1:36" x14ac:dyDescent="0.25">
      <c r="A28" t="s">
        <v>340</v>
      </c>
      <c r="D28">
        <v>640.77700000000004</v>
      </c>
      <c r="E28">
        <v>358.84739000000002</v>
      </c>
      <c r="F28">
        <v>118.14932</v>
      </c>
      <c r="G28">
        <v>113.73034</v>
      </c>
      <c r="H28">
        <v>109.98708999999999</v>
      </c>
      <c r="I28" s="25">
        <v>140.30331000000001</v>
      </c>
      <c r="J28" s="85">
        <v>31.017589999999998</v>
      </c>
      <c r="K28" s="85">
        <v>102.83288</v>
      </c>
      <c r="L28" s="85">
        <v>16.34601</v>
      </c>
      <c r="M28">
        <v>568.69000000000005</v>
      </c>
      <c r="N28">
        <v>5.89</v>
      </c>
      <c r="O28">
        <v>56.64</v>
      </c>
      <c r="P28">
        <v>37.92</v>
      </c>
      <c r="Q28" s="106">
        <v>133.52724000000001</v>
      </c>
      <c r="R28">
        <v>115.56</v>
      </c>
      <c r="S28">
        <v>84.47</v>
      </c>
      <c r="T28">
        <v>29.75</v>
      </c>
      <c r="U28">
        <v>11.25</v>
      </c>
      <c r="V28">
        <v>52.95</v>
      </c>
      <c r="W28">
        <v>60.82</v>
      </c>
      <c r="X28" s="77">
        <v>117.96</v>
      </c>
      <c r="Y28">
        <v>84.6</v>
      </c>
      <c r="Z28">
        <v>360.9</v>
      </c>
      <c r="AA28">
        <v>458790</v>
      </c>
      <c r="AB28">
        <v>1059.4079999999999</v>
      </c>
      <c r="AC28">
        <v>1896726</v>
      </c>
      <c r="AD28">
        <v>316337</v>
      </c>
      <c r="AE28">
        <v>113956</v>
      </c>
      <c r="AF28">
        <v>302992</v>
      </c>
      <c r="AG28">
        <v>213019</v>
      </c>
      <c r="AH28">
        <v>41432</v>
      </c>
      <c r="AI28">
        <v>3051755</v>
      </c>
      <c r="AJ28">
        <v>1229347</v>
      </c>
    </row>
    <row r="29" spans="1:36" x14ac:dyDescent="0.25">
      <c r="A29" t="s">
        <v>341</v>
      </c>
      <c r="D29">
        <v>642.07100000000003</v>
      </c>
      <c r="E29">
        <v>360.15899000000002</v>
      </c>
      <c r="F29">
        <v>119.95663999999999</v>
      </c>
      <c r="G29">
        <v>114.43904999999999</v>
      </c>
      <c r="H29">
        <v>110.80374</v>
      </c>
      <c r="I29" s="25">
        <v>139.78775999999999</v>
      </c>
      <c r="J29" s="85">
        <v>31.647749999999998</v>
      </c>
      <c r="K29" s="85">
        <v>101.07053000000001</v>
      </c>
      <c r="L29" s="85">
        <v>16.403700000000001</v>
      </c>
      <c r="M29">
        <v>570.16999999999996</v>
      </c>
      <c r="N29">
        <v>5.95</v>
      </c>
      <c r="O29">
        <v>55.39</v>
      </c>
      <c r="P29">
        <v>38.14</v>
      </c>
      <c r="Q29" s="106">
        <v>132.57848999999999</v>
      </c>
      <c r="R29">
        <v>114.54</v>
      </c>
      <c r="S29">
        <v>85.24</v>
      </c>
      <c r="T29">
        <v>29.76</v>
      </c>
      <c r="U29">
        <v>11.45</v>
      </c>
      <c r="V29">
        <v>53.5</v>
      </c>
      <c r="W29">
        <v>61.47</v>
      </c>
      <c r="X29" s="77">
        <v>118.79</v>
      </c>
      <c r="Y29">
        <v>84</v>
      </c>
      <c r="Z29">
        <v>390.3</v>
      </c>
      <c r="AA29">
        <v>463009</v>
      </c>
      <c r="AB29">
        <v>1085.8530000000001</v>
      </c>
      <c r="AC29">
        <v>1919313</v>
      </c>
      <c r="AD29">
        <v>318480</v>
      </c>
      <c r="AE29">
        <v>117463</v>
      </c>
      <c r="AF29">
        <v>307733</v>
      </c>
      <c r="AG29">
        <v>210325</v>
      </c>
      <c r="AH29">
        <v>40826</v>
      </c>
      <c r="AI29">
        <v>3098145</v>
      </c>
      <c r="AJ29">
        <v>1253915</v>
      </c>
    </row>
    <row r="30" spans="1:36" x14ac:dyDescent="0.25">
      <c r="A30" t="s">
        <v>342</v>
      </c>
      <c r="D30">
        <v>642.33000000000004</v>
      </c>
      <c r="E30">
        <v>361.42684000000003</v>
      </c>
      <c r="F30">
        <v>121.72551</v>
      </c>
      <c r="G30">
        <v>116.29518</v>
      </c>
      <c r="H30">
        <v>112.05791000000001</v>
      </c>
      <c r="I30" s="25">
        <v>138.73824999999999</v>
      </c>
      <c r="J30" s="85">
        <v>32.071579999999997</v>
      </c>
      <c r="K30" s="85">
        <v>98.980739999999997</v>
      </c>
      <c r="L30" s="85">
        <v>16.46781</v>
      </c>
      <c r="M30">
        <v>571.41</v>
      </c>
      <c r="N30">
        <v>5.96</v>
      </c>
      <c r="O30">
        <v>54.17</v>
      </c>
      <c r="P30">
        <v>38.46</v>
      </c>
      <c r="Q30" s="106">
        <v>131.89823000000001</v>
      </c>
      <c r="R30">
        <v>113.71</v>
      </c>
      <c r="S30">
        <v>85.31</v>
      </c>
      <c r="T30">
        <v>29.56</v>
      </c>
      <c r="U30">
        <v>11.71</v>
      </c>
      <c r="V30">
        <v>54.13</v>
      </c>
      <c r="W30">
        <v>61.82</v>
      </c>
      <c r="X30" s="77">
        <v>120.08</v>
      </c>
      <c r="Y30">
        <v>83.6</v>
      </c>
      <c r="Z30">
        <v>381.8</v>
      </c>
      <c r="AA30">
        <v>481786</v>
      </c>
      <c r="AB30">
        <v>1118.9680000000001</v>
      </c>
      <c r="AC30">
        <v>1965286</v>
      </c>
      <c r="AD30">
        <v>316910</v>
      </c>
      <c r="AE30">
        <v>117165</v>
      </c>
      <c r="AF30">
        <v>310635</v>
      </c>
      <c r="AG30">
        <v>217564</v>
      </c>
      <c r="AH30">
        <v>41295</v>
      </c>
      <c r="AI30">
        <v>3175916</v>
      </c>
      <c r="AJ30">
        <v>1303810</v>
      </c>
    </row>
    <row r="31" spans="1:36" x14ac:dyDescent="0.25">
      <c r="A31" t="s">
        <v>343</v>
      </c>
      <c r="D31">
        <v>637.75800000000004</v>
      </c>
      <c r="E31">
        <v>363.01159999999999</v>
      </c>
      <c r="F31">
        <v>120.43245</v>
      </c>
      <c r="G31">
        <v>117.9406</v>
      </c>
      <c r="H31">
        <v>112.44482000000001</v>
      </c>
      <c r="I31" s="25">
        <v>131.42413999999999</v>
      </c>
      <c r="J31" s="85">
        <v>31.56964</v>
      </c>
      <c r="K31" s="85">
        <v>90.494190000000003</v>
      </c>
      <c r="L31" s="85">
        <v>16.737030000000001</v>
      </c>
      <c r="M31">
        <v>563.05999999999995</v>
      </c>
      <c r="N31">
        <v>6.14</v>
      </c>
      <c r="O31">
        <v>49.01</v>
      </c>
      <c r="P31">
        <v>38.31</v>
      </c>
      <c r="Q31" s="106">
        <v>128.32225</v>
      </c>
      <c r="R31">
        <v>110.31</v>
      </c>
      <c r="S31">
        <v>82.7</v>
      </c>
      <c r="T31">
        <v>29.72</v>
      </c>
      <c r="U31">
        <v>11.55</v>
      </c>
      <c r="V31">
        <v>56.42</v>
      </c>
      <c r="W31">
        <v>61.18</v>
      </c>
      <c r="X31" s="77">
        <v>120.14</v>
      </c>
      <c r="Y31">
        <v>82.1</v>
      </c>
      <c r="Z31">
        <v>389</v>
      </c>
      <c r="AA31">
        <v>487339</v>
      </c>
      <c r="AB31">
        <v>1139.0229999999999</v>
      </c>
      <c r="AC31">
        <v>1989429</v>
      </c>
      <c r="AD31">
        <v>322407</v>
      </c>
      <c r="AE31">
        <v>118981</v>
      </c>
      <c r="AF31">
        <v>310148</v>
      </c>
      <c r="AG31">
        <v>221554</v>
      </c>
      <c r="AH31">
        <v>44445</v>
      </c>
      <c r="AI31">
        <v>3209433</v>
      </c>
      <c r="AJ31">
        <v>1320443</v>
      </c>
    </row>
    <row r="32" spans="1:36" x14ac:dyDescent="0.25">
      <c r="A32" t="s">
        <v>344</v>
      </c>
      <c r="D32">
        <v>646.471</v>
      </c>
      <c r="E32">
        <v>364.71670999999998</v>
      </c>
      <c r="F32">
        <v>121.73983</v>
      </c>
      <c r="G32">
        <v>118.3793</v>
      </c>
      <c r="H32">
        <v>113.2032</v>
      </c>
      <c r="I32" s="25">
        <v>141.69799</v>
      </c>
      <c r="J32" s="85">
        <v>32.618049999999997</v>
      </c>
      <c r="K32" s="85">
        <v>101.38584</v>
      </c>
      <c r="L32" s="85">
        <v>16.797930000000001</v>
      </c>
      <c r="M32">
        <v>573.91</v>
      </c>
      <c r="N32">
        <v>6.2</v>
      </c>
      <c r="O32">
        <v>54.16</v>
      </c>
      <c r="P32">
        <v>38.68</v>
      </c>
      <c r="Q32" s="106">
        <v>129.87975</v>
      </c>
      <c r="R32">
        <v>111.93</v>
      </c>
      <c r="S32">
        <v>84.56</v>
      </c>
      <c r="T32">
        <v>29.78</v>
      </c>
      <c r="U32">
        <v>11.76</v>
      </c>
      <c r="V32">
        <v>57.24</v>
      </c>
      <c r="W32">
        <v>61.98</v>
      </c>
      <c r="X32" s="77">
        <v>121.42</v>
      </c>
      <c r="Y32">
        <v>82</v>
      </c>
      <c r="Z32">
        <v>358.7</v>
      </c>
      <c r="AA32">
        <v>495608</v>
      </c>
      <c r="AB32">
        <v>1161.788</v>
      </c>
      <c r="AC32">
        <v>2020086</v>
      </c>
      <c r="AD32">
        <v>327162</v>
      </c>
      <c r="AE32">
        <v>122031</v>
      </c>
      <c r="AF32">
        <v>311186</v>
      </c>
      <c r="AG32">
        <v>227725</v>
      </c>
      <c r="AH32">
        <v>44989</v>
      </c>
      <c r="AI32">
        <v>3261049</v>
      </c>
      <c r="AJ32">
        <v>1344783</v>
      </c>
    </row>
    <row r="33" spans="1:36" x14ac:dyDescent="0.25">
      <c r="A33" t="s">
        <v>345</v>
      </c>
      <c r="D33">
        <v>648.97299999999996</v>
      </c>
      <c r="E33">
        <v>365.24133</v>
      </c>
      <c r="F33">
        <v>123.56631</v>
      </c>
      <c r="G33">
        <v>121.24766</v>
      </c>
      <c r="H33">
        <v>113.96159</v>
      </c>
      <c r="I33" s="25">
        <v>141.34815</v>
      </c>
      <c r="J33" s="85">
        <v>32.640360000000001</v>
      </c>
      <c r="K33" s="85">
        <v>100.83692000000001</v>
      </c>
      <c r="L33" s="85">
        <v>16.86523</v>
      </c>
      <c r="M33">
        <v>574.14</v>
      </c>
      <c r="N33">
        <v>6.23</v>
      </c>
      <c r="O33">
        <v>53.12</v>
      </c>
      <c r="P33">
        <v>38.31</v>
      </c>
      <c r="Q33" s="106">
        <v>129.84393</v>
      </c>
      <c r="R33">
        <v>111.8</v>
      </c>
      <c r="S33">
        <v>84.34</v>
      </c>
      <c r="T33">
        <v>29.65</v>
      </c>
      <c r="U33">
        <v>12.07</v>
      </c>
      <c r="V33">
        <v>57.92</v>
      </c>
      <c r="W33">
        <v>62.15</v>
      </c>
      <c r="X33" s="77">
        <v>121.46</v>
      </c>
      <c r="Y33">
        <v>81.900000000000006</v>
      </c>
      <c r="Z33">
        <v>388.6</v>
      </c>
      <c r="AA33">
        <v>508866</v>
      </c>
      <c r="AB33">
        <v>1187.0250000000001</v>
      </c>
      <c r="AC33">
        <v>2043969</v>
      </c>
      <c r="AD33">
        <v>322761</v>
      </c>
      <c r="AE33">
        <v>121594</v>
      </c>
      <c r="AF33">
        <v>317516</v>
      </c>
      <c r="AG33">
        <v>235405</v>
      </c>
      <c r="AH33">
        <v>45154</v>
      </c>
      <c r="AI33">
        <v>3309216</v>
      </c>
      <c r="AJ33">
        <v>1376579</v>
      </c>
    </row>
    <row r="34" spans="1:36" x14ac:dyDescent="0.25">
      <c r="A34" t="s">
        <v>346</v>
      </c>
      <c r="D34">
        <v>654.92499999999995</v>
      </c>
      <c r="E34">
        <v>366.37806999999998</v>
      </c>
      <c r="F34">
        <v>123.47018</v>
      </c>
      <c r="G34">
        <v>126.78193</v>
      </c>
      <c r="H34">
        <v>118.36604</v>
      </c>
      <c r="I34" s="25">
        <v>141.62433999999999</v>
      </c>
      <c r="J34" s="85">
        <v>33.170140000000004</v>
      </c>
      <c r="K34" s="85">
        <v>100.21097</v>
      </c>
      <c r="L34" s="85">
        <v>16.94857</v>
      </c>
      <c r="M34">
        <v>581.89</v>
      </c>
      <c r="N34">
        <v>6.32</v>
      </c>
      <c r="O34">
        <v>53.12</v>
      </c>
      <c r="P34">
        <v>38.96</v>
      </c>
      <c r="Q34" s="106">
        <v>131.47302999999999</v>
      </c>
      <c r="R34">
        <v>113.14</v>
      </c>
      <c r="S34">
        <v>85.59</v>
      </c>
      <c r="T34">
        <v>29.76</v>
      </c>
      <c r="U34">
        <v>12.46</v>
      </c>
      <c r="V34">
        <v>59.18</v>
      </c>
      <c r="W34">
        <v>63.21</v>
      </c>
      <c r="X34" s="77">
        <v>122.5</v>
      </c>
      <c r="Y34">
        <v>82</v>
      </c>
      <c r="Z34">
        <v>379.1</v>
      </c>
      <c r="AA34">
        <v>534749</v>
      </c>
      <c r="AB34">
        <v>1227.184</v>
      </c>
      <c r="AC34">
        <v>2111143</v>
      </c>
      <c r="AD34">
        <v>320636</v>
      </c>
      <c r="AE34">
        <v>120970</v>
      </c>
      <c r="AF34">
        <v>323199</v>
      </c>
      <c r="AG34">
        <v>249863</v>
      </c>
      <c r="AH34">
        <v>47630</v>
      </c>
      <c r="AI34">
        <v>3417435</v>
      </c>
      <c r="AJ34">
        <v>1433655</v>
      </c>
    </row>
    <row r="35" spans="1:36" x14ac:dyDescent="0.25">
      <c r="A35" t="s">
        <v>347</v>
      </c>
      <c r="D35">
        <v>651.58199999999999</v>
      </c>
      <c r="E35">
        <v>367.76614000000001</v>
      </c>
      <c r="F35">
        <v>123.7778</v>
      </c>
      <c r="G35">
        <v>129.11936</v>
      </c>
      <c r="H35">
        <v>121.85983</v>
      </c>
      <c r="I35" s="25">
        <v>137.03525999999999</v>
      </c>
      <c r="J35" s="85">
        <v>33.231430000000003</v>
      </c>
      <c r="K35" s="85">
        <v>94.538799999999995</v>
      </c>
      <c r="L35" s="85">
        <v>16.872440000000001</v>
      </c>
      <c r="M35">
        <v>577.08000000000004</v>
      </c>
      <c r="N35">
        <v>6.29</v>
      </c>
      <c r="O35">
        <v>50.29</v>
      </c>
      <c r="P35">
        <v>38.92</v>
      </c>
      <c r="Q35" s="106">
        <v>132.03238999999999</v>
      </c>
      <c r="R35">
        <v>114.23</v>
      </c>
      <c r="S35">
        <v>85.38</v>
      </c>
      <c r="T35">
        <v>29.23</v>
      </c>
      <c r="U35">
        <v>12.78</v>
      </c>
      <c r="V35">
        <v>57.86</v>
      </c>
      <c r="W35">
        <v>60.83</v>
      </c>
      <c r="X35" s="77">
        <v>122.86</v>
      </c>
      <c r="Y35">
        <v>83.4</v>
      </c>
      <c r="Z35">
        <v>379.8</v>
      </c>
      <c r="AA35">
        <v>540119</v>
      </c>
      <c r="AB35">
        <v>1247.2819999999999</v>
      </c>
      <c r="AC35">
        <v>2121998</v>
      </c>
      <c r="AD35">
        <v>322016</v>
      </c>
      <c r="AE35">
        <v>122731</v>
      </c>
      <c r="AF35">
        <v>322319</v>
      </c>
      <c r="AG35">
        <v>253274</v>
      </c>
      <c r="AH35">
        <v>48773</v>
      </c>
      <c r="AI35">
        <v>3435022</v>
      </c>
      <c r="AJ35">
        <v>1449123</v>
      </c>
    </row>
    <row r="36" spans="1:36" x14ac:dyDescent="0.25">
      <c r="A36" t="s">
        <v>348</v>
      </c>
      <c r="D36">
        <v>658.82899999999995</v>
      </c>
      <c r="E36">
        <v>368.59679</v>
      </c>
      <c r="F36">
        <v>124.56607</v>
      </c>
      <c r="G36">
        <v>132.86537999999999</v>
      </c>
      <c r="H36">
        <v>122.99735</v>
      </c>
      <c r="I36" s="25">
        <v>139.99949000000001</v>
      </c>
      <c r="J36" s="85">
        <v>33.421050000000001</v>
      </c>
      <c r="K36" s="85">
        <v>97.851550000000003</v>
      </c>
      <c r="L36" s="85">
        <v>16.907699999999998</v>
      </c>
      <c r="M36">
        <v>584.37</v>
      </c>
      <c r="N36">
        <v>6.19</v>
      </c>
      <c r="O36">
        <v>52.05</v>
      </c>
      <c r="P36">
        <v>39.07</v>
      </c>
      <c r="Q36" s="106">
        <v>133.30349000000001</v>
      </c>
      <c r="R36">
        <v>115.5</v>
      </c>
      <c r="S36">
        <v>85.92</v>
      </c>
      <c r="T36">
        <v>29.3</v>
      </c>
      <c r="U36">
        <v>13.14</v>
      </c>
      <c r="V36">
        <v>59.49</v>
      </c>
      <c r="W36">
        <v>62.19</v>
      </c>
      <c r="X36" s="77">
        <v>123.3</v>
      </c>
      <c r="Y36">
        <v>83.9</v>
      </c>
      <c r="Z36">
        <v>361.6</v>
      </c>
      <c r="AA36">
        <v>548359</v>
      </c>
      <c r="AB36">
        <v>1272.473</v>
      </c>
      <c r="AC36">
        <v>2156721</v>
      </c>
      <c r="AD36">
        <v>322527</v>
      </c>
      <c r="AE36">
        <v>124499</v>
      </c>
      <c r="AF36">
        <v>324045</v>
      </c>
      <c r="AG36">
        <v>258845</v>
      </c>
      <c r="AH36">
        <v>52224</v>
      </c>
      <c r="AI36">
        <v>3493042</v>
      </c>
      <c r="AJ36">
        <v>1474508</v>
      </c>
    </row>
    <row r="37" spans="1:36" x14ac:dyDescent="0.25">
      <c r="A37" t="s">
        <v>349</v>
      </c>
      <c r="D37">
        <v>661.41700000000003</v>
      </c>
      <c r="E37">
        <v>367.72239999999999</v>
      </c>
      <c r="F37">
        <v>124.64297000000001</v>
      </c>
      <c r="G37">
        <v>139.91867999999999</v>
      </c>
      <c r="H37">
        <v>127.08073</v>
      </c>
      <c r="I37" s="25">
        <v>140.23883000000001</v>
      </c>
      <c r="J37" s="85">
        <v>33.69988</v>
      </c>
      <c r="K37" s="85">
        <v>97.562650000000005</v>
      </c>
      <c r="L37" s="85">
        <v>17.02309</v>
      </c>
      <c r="M37">
        <v>586.92999999999995</v>
      </c>
      <c r="N37">
        <v>6.26</v>
      </c>
      <c r="O37">
        <v>51.37</v>
      </c>
      <c r="P37">
        <v>39.14</v>
      </c>
      <c r="Q37" s="106">
        <v>134.16282000000001</v>
      </c>
      <c r="R37">
        <v>116.74</v>
      </c>
      <c r="S37">
        <v>86.22</v>
      </c>
      <c r="T37">
        <v>29.05</v>
      </c>
      <c r="U37">
        <v>13.31</v>
      </c>
      <c r="V37">
        <v>60.08</v>
      </c>
      <c r="W37">
        <v>62.63</v>
      </c>
      <c r="X37" s="77">
        <v>123.8</v>
      </c>
      <c r="Y37">
        <v>84.8</v>
      </c>
      <c r="Z37">
        <v>386.3</v>
      </c>
      <c r="AA37">
        <v>559293</v>
      </c>
      <c r="AB37">
        <v>1302.317</v>
      </c>
      <c r="AC37">
        <v>2170951</v>
      </c>
      <c r="AD37">
        <v>317403</v>
      </c>
      <c r="AE37">
        <v>124385</v>
      </c>
      <c r="AF37">
        <v>326919</v>
      </c>
      <c r="AG37">
        <v>266228</v>
      </c>
      <c r="AH37">
        <v>54469</v>
      </c>
      <c r="AI37">
        <v>3532248</v>
      </c>
      <c r="AJ37">
        <v>1504556</v>
      </c>
    </row>
    <row r="38" spans="1:36" x14ac:dyDescent="0.25">
      <c r="A38" t="s">
        <v>350</v>
      </c>
      <c r="D38">
        <v>666.33399999999995</v>
      </c>
      <c r="E38">
        <v>370.38927000000001</v>
      </c>
      <c r="F38">
        <v>122.43196</v>
      </c>
      <c r="G38">
        <v>141.90979999999999</v>
      </c>
      <c r="H38">
        <v>128.74325999999999</v>
      </c>
      <c r="I38" s="25">
        <v>141.84061</v>
      </c>
      <c r="J38" s="85">
        <v>34.820790000000002</v>
      </c>
      <c r="K38" s="85">
        <v>97.456720000000004</v>
      </c>
      <c r="L38" s="85">
        <v>17.225020000000001</v>
      </c>
      <c r="M38">
        <v>594.05999999999995</v>
      </c>
      <c r="N38">
        <v>6.36</v>
      </c>
      <c r="O38">
        <v>51.34</v>
      </c>
      <c r="P38">
        <v>39.68</v>
      </c>
      <c r="Q38" s="106">
        <v>137.11675</v>
      </c>
      <c r="R38">
        <v>119.43</v>
      </c>
      <c r="S38">
        <v>86.83</v>
      </c>
      <c r="T38">
        <v>29.04</v>
      </c>
      <c r="U38">
        <v>13.43</v>
      </c>
      <c r="V38">
        <v>61.01</v>
      </c>
      <c r="W38">
        <v>63.94</v>
      </c>
      <c r="X38" s="77">
        <v>124.16</v>
      </c>
      <c r="Y38">
        <v>85.6</v>
      </c>
      <c r="Z38">
        <v>378.5</v>
      </c>
      <c r="AA38">
        <v>574410</v>
      </c>
      <c r="AB38">
        <v>1335.6759999999999</v>
      </c>
      <c r="AC38">
        <v>2225204</v>
      </c>
      <c r="AD38">
        <v>318549</v>
      </c>
      <c r="AE38">
        <v>122683</v>
      </c>
      <c r="AF38">
        <v>334855</v>
      </c>
      <c r="AG38">
        <v>277570</v>
      </c>
      <c r="AH38">
        <v>56300</v>
      </c>
      <c r="AI38">
        <v>3614145</v>
      </c>
      <c r="AJ38">
        <v>1543904</v>
      </c>
    </row>
    <row r="39" spans="1:36" x14ac:dyDescent="0.25">
      <c r="A39" t="s">
        <v>351</v>
      </c>
      <c r="D39">
        <v>672.69600000000003</v>
      </c>
      <c r="E39">
        <v>372.31290999999999</v>
      </c>
      <c r="F39">
        <v>126.98856000000001</v>
      </c>
      <c r="G39">
        <v>144.97246000000001</v>
      </c>
      <c r="H39">
        <v>133.62971999999999</v>
      </c>
      <c r="I39" s="25">
        <v>145.4862</v>
      </c>
      <c r="J39" s="85">
        <v>36.580159999999999</v>
      </c>
      <c r="K39" s="85">
        <v>98.200680000000006</v>
      </c>
      <c r="L39" s="85">
        <v>17.96217</v>
      </c>
      <c r="M39">
        <v>597.42999999999995</v>
      </c>
      <c r="N39">
        <v>6.1</v>
      </c>
      <c r="O39">
        <v>51.04</v>
      </c>
      <c r="P39">
        <v>39.57</v>
      </c>
      <c r="Q39" s="106">
        <v>136.43190999999999</v>
      </c>
      <c r="R39">
        <v>118.55</v>
      </c>
      <c r="S39">
        <v>89.52</v>
      </c>
      <c r="T39">
        <v>28.99</v>
      </c>
      <c r="U39">
        <v>14.53</v>
      </c>
      <c r="V39">
        <v>60.93</v>
      </c>
      <c r="W39">
        <v>63.9</v>
      </c>
      <c r="X39" s="77">
        <v>124.16</v>
      </c>
      <c r="Y39">
        <v>85.7</v>
      </c>
      <c r="Z39">
        <v>384.2</v>
      </c>
      <c r="AA39">
        <v>582057</v>
      </c>
      <c r="AB39">
        <v>1352.598</v>
      </c>
      <c r="AC39">
        <v>2233945</v>
      </c>
      <c r="AD39">
        <v>321337</v>
      </c>
      <c r="AE39">
        <v>123417</v>
      </c>
      <c r="AF39">
        <v>330287</v>
      </c>
      <c r="AG39">
        <v>285020</v>
      </c>
      <c r="AH39">
        <v>61006</v>
      </c>
      <c r="AI39">
        <v>3629926</v>
      </c>
      <c r="AJ39">
        <v>1560882</v>
      </c>
    </row>
    <row r="40" spans="1:36" x14ac:dyDescent="0.25">
      <c r="A40" t="s">
        <v>352</v>
      </c>
      <c r="D40">
        <v>669.59100000000001</v>
      </c>
      <c r="E40">
        <v>371.08875999999998</v>
      </c>
      <c r="F40">
        <v>127.60379</v>
      </c>
      <c r="G40">
        <v>147.36841999999999</v>
      </c>
      <c r="H40">
        <v>136.78013000000001</v>
      </c>
      <c r="I40" s="25">
        <v>143.82919000000001</v>
      </c>
      <c r="J40" s="85">
        <v>37.048560000000002</v>
      </c>
      <c r="K40" s="85">
        <v>95.157489999999996</v>
      </c>
      <c r="L40" s="85">
        <v>18.167310000000001</v>
      </c>
      <c r="M40">
        <v>594.72</v>
      </c>
      <c r="N40">
        <v>6.2</v>
      </c>
      <c r="O40">
        <v>49.52</v>
      </c>
      <c r="P40">
        <v>39.01</v>
      </c>
      <c r="Q40" s="106">
        <v>135.41148999999999</v>
      </c>
      <c r="R40">
        <v>117.76</v>
      </c>
      <c r="S40">
        <v>87.71</v>
      </c>
      <c r="T40">
        <v>28.98</v>
      </c>
      <c r="U40">
        <v>14.76</v>
      </c>
      <c r="V40">
        <v>61.34</v>
      </c>
      <c r="W40">
        <v>64.69</v>
      </c>
      <c r="X40" s="77">
        <v>124.17</v>
      </c>
      <c r="Y40">
        <v>86.1</v>
      </c>
      <c r="Z40">
        <v>354.6</v>
      </c>
      <c r="AA40">
        <v>589059</v>
      </c>
      <c r="AB40">
        <v>1368.106</v>
      </c>
      <c r="AC40">
        <v>2266581</v>
      </c>
      <c r="AD40">
        <v>324505</v>
      </c>
      <c r="AE40">
        <v>124943</v>
      </c>
      <c r="AF40">
        <v>333701</v>
      </c>
      <c r="AG40">
        <v>288810</v>
      </c>
      <c r="AH40">
        <v>64096</v>
      </c>
      <c r="AI40">
        <v>3682591</v>
      </c>
      <c r="AJ40">
        <v>1579203</v>
      </c>
    </row>
    <row r="41" spans="1:36" x14ac:dyDescent="0.25">
      <c r="A41" t="s">
        <v>353</v>
      </c>
      <c r="D41">
        <v>672.86900000000003</v>
      </c>
      <c r="E41">
        <v>373.93052999999998</v>
      </c>
      <c r="F41">
        <v>127.64224</v>
      </c>
      <c r="G41">
        <v>145.64737</v>
      </c>
      <c r="H41">
        <v>137.56773000000001</v>
      </c>
      <c r="I41" s="25">
        <v>145.30208999999999</v>
      </c>
      <c r="J41" s="85">
        <v>37.8125</v>
      </c>
      <c r="K41" s="85">
        <v>95.600480000000005</v>
      </c>
      <c r="L41" s="85">
        <v>18.279489999999999</v>
      </c>
      <c r="M41">
        <v>597.80999999999995</v>
      </c>
      <c r="N41">
        <v>6.26</v>
      </c>
      <c r="O41">
        <v>48.93</v>
      </c>
      <c r="P41">
        <v>39.590000000000003</v>
      </c>
      <c r="Q41" s="106">
        <v>134.92812000000001</v>
      </c>
      <c r="R41">
        <v>116.87</v>
      </c>
      <c r="S41">
        <v>88.3</v>
      </c>
      <c r="T41">
        <v>29.3</v>
      </c>
      <c r="U41">
        <v>15.09</v>
      </c>
      <c r="V41">
        <v>62</v>
      </c>
      <c r="W41">
        <v>65.56</v>
      </c>
      <c r="X41" s="77">
        <v>124.8</v>
      </c>
      <c r="Y41">
        <v>85.5</v>
      </c>
      <c r="Z41">
        <v>383.9</v>
      </c>
      <c r="AA41">
        <v>598279</v>
      </c>
      <c r="AB41">
        <v>1391.866</v>
      </c>
      <c r="AC41">
        <v>2297015</v>
      </c>
      <c r="AD41">
        <v>324382</v>
      </c>
      <c r="AE41">
        <v>125252</v>
      </c>
      <c r="AF41">
        <v>336436</v>
      </c>
      <c r="AG41">
        <v>296373</v>
      </c>
      <c r="AH41">
        <v>63399</v>
      </c>
      <c r="AI41">
        <v>3739515</v>
      </c>
      <c r="AJ41">
        <v>1606536</v>
      </c>
    </row>
    <row r="42" spans="1:36" x14ac:dyDescent="0.25">
      <c r="A42" t="s">
        <v>354</v>
      </c>
      <c r="D42">
        <v>672.69600000000003</v>
      </c>
      <c r="E42">
        <v>377.42806000000002</v>
      </c>
      <c r="F42">
        <v>127.21926999999999</v>
      </c>
      <c r="G42">
        <v>143.28514999999999</v>
      </c>
      <c r="H42">
        <v>136.98432</v>
      </c>
      <c r="I42" s="25">
        <v>144.06854000000001</v>
      </c>
      <c r="J42" s="85">
        <v>38.319940000000003</v>
      </c>
      <c r="K42" s="85">
        <v>93.202529999999996</v>
      </c>
      <c r="L42" s="85">
        <v>18.321159999999999</v>
      </c>
      <c r="M42">
        <v>599.36</v>
      </c>
      <c r="N42">
        <v>6.46</v>
      </c>
      <c r="O42">
        <v>47.77</v>
      </c>
      <c r="P42">
        <v>40.880000000000003</v>
      </c>
      <c r="Q42" s="106">
        <v>132.85148000000001</v>
      </c>
      <c r="R42">
        <v>115.42</v>
      </c>
      <c r="S42">
        <v>88.71</v>
      </c>
      <c r="T42">
        <v>29.51</v>
      </c>
      <c r="U42">
        <v>15.51</v>
      </c>
      <c r="V42">
        <v>62.78</v>
      </c>
      <c r="W42">
        <v>66.37</v>
      </c>
      <c r="X42" s="77">
        <v>125.37</v>
      </c>
      <c r="Y42">
        <v>84.5</v>
      </c>
      <c r="Z42">
        <v>380.3</v>
      </c>
      <c r="AA42">
        <v>614857</v>
      </c>
      <c r="AB42">
        <v>1430.201</v>
      </c>
      <c r="AC42">
        <v>2367062</v>
      </c>
      <c r="AD42">
        <v>331453</v>
      </c>
      <c r="AE42">
        <v>124194</v>
      </c>
      <c r="AF42">
        <v>343065</v>
      </c>
      <c r="AG42">
        <v>305943</v>
      </c>
      <c r="AH42">
        <v>70091</v>
      </c>
      <c r="AI42">
        <v>3850787</v>
      </c>
      <c r="AJ42">
        <v>1654870</v>
      </c>
    </row>
    <row r="43" spans="1:36" x14ac:dyDescent="0.25">
      <c r="A43" t="s">
        <v>355</v>
      </c>
      <c r="D43">
        <v>680.50300000000004</v>
      </c>
      <c r="E43">
        <v>382.88211000000001</v>
      </c>
      <c r="F43">
        <v>131.30002999999999</v>
      </c>
      <c r="G43">
        <v>144.09542999999999</v>
      </c>
      <c r="H43">
        <v>142.64337</v>
      </c>
      <c r="I43" s="25">
        <v>148.67133000000001</v>
      </c>
      <c r="J43" s="85">
        <v>39.867420000000003</v>
      </c>
      <c r="K43" s="85">
        <v>94.955250000000007</v>
      </c>
      <c r="L43" s="85">
        <v>19.495819999999998</v>
      </c>
      <c r="M43">
        <v>603.59</v>
      </c>
      <c r="N43">
        <v>6.84</v>
      </c>
      <c r="O43">
        <v>48.42</v>
      </c>
      <c r="P43">
        <v>42.15</v>
      </c>
      <c r="Q43" s="106">
        <v>134.81626</v>
      </c>
      <c r="R43">
        <v>117.16</v>
      </c>
      <c r="S43">
        <v>89.37</v>
      </c>
      <c r="T43">
        <v>29.63</v>
      </c>
      <c r="U43">
        <v>15.59</v>
      </c>
      <c r="V43">
        <v>61.05</v>
      </c>
      <c r="W43">
        <v>66.95</v>
      </c>
      <c r="X43" s="77">
        <v>126.3</v>
      </c>
      <c r="Y43">
        <v>84</v>
      </c>
      <c r="Z43">
        <v>380.9</v>
      </c>
      <c r="AA43">
        <v>315324</v>
      </c>
      <c r="AB43">
        <v>837.28099999999995</v>
      </c>
      <c r="AC43">
        <v>1159185</v>
      </c>
      <c r="AD43">
        <v>163790</v>
      </c>
      <c r="AE43">
        <v>67748</v>
      </c>
      <c r="AF43">
        <v>173762</v>
      </c>
      <c r="AG43">
        <v>147367</v>
      </c>
      <c r="AH43">
        <v>33317</v>
      </c>
      <c r="AI43">
        <v>1993477</v>
      </c>
      <c r="AJ43">
        <v>924376</v>
      </c>
    </row>
    <row r="44" spans="1:36" x14ac:dyDescent="0.25">
      <c r="A44" t="s">
        <v>356</v>
      </c>
      <c r="D44">
        <v>679.64099999999996</v>
      </c>
      <c r="E44">
        <v>384.49966000000001</v>
      </c>
      <c r="F44">
        <v>130.47327999999999</v>
      </c>
      <c r="G44">
        <v>151.68828999999999</v>
      </c>
      <c r="H44">
        <v>147.07729</v>
      </c>
      <c r="I44" s="25">
        <v>149.70248000000001</v>
      </c>
      <c r="J44" s="85">
        <v>39.722430000000003</v>
      </c>
      <c r="K44" s="85">
        <v>96.293880000000001</v>
      </c>
      <c r="L44" s="85">
        <v>19.620819999999998</v>
      </c>
      <c r="M44">
        <v>603.42999999999995</v>
      </c>
      <c r="N44">
        <v>6.9</v>
      </c>
      <c r="O44">
        <v>48.39</v>
      </c>
      <c r="P44">
        <v>42.87</v>
      </c>
      <c r="Q44" s="106">
        <v>134.26132000000001</v>
      </c>
      <c r="R44">
        <v>116.73</v>
      </c>
      <c r="S44">
        <v>88.55</v>
      </c>
      <c r="T44">
        <v>29.66</v>
      </c>
      <c r="U44">
        <v>15.87</v>
      </c>
      <c r="V44">
        <v>61.16</v>
      </c>
      <c r="W44">
        <v>67.34</v>
      </c>
      <c r="X44" s="77">
        <v>126</v>
      </c>
      <c r="Y44">
        <v>83.7</v>
      </c>
      <c r="Z44">
        <v>354.1</v>
      </c>
      <c r="AA44">
        <v>317897</v>
      </c>
      <c r="AB44">
        <v>854.05200000000002</v>
      </c>
      <c r="AC44">
        <v>1178645</v>
      </c>
      <c r="AD44">
        <v>168636</v>
      </c>
      <c r="AE44">
        <v>68336</v>
      </c>
      <c r="AF44">
        <v>172605</v>
      </c>
      <c r="AG44">
        <v>153000</v>
      </c>
      <c r="AH44">
        <v>38314</v>
      </c>
      <c r="AI44">
        <v>2028062</v>
      </c>
      <c r="AJ44">
        <v>940224</v>
      </c>
    </row>
    <row r="45" spans="1:36" x14ac:dyDescent="0.25">
      <c r="A45" t="s">
        <v>357</v>
      </c>
      <c r="D45">
        <v>688.95799999999997</v>
      </c>
      <c r="E45">
        <v>384.36854</v>
      </c>
      <c r="F45">
        <v>131.33848</v>
      </c>
      <c r="G45">
        <v>154.82666</v>
      </c>
      <c r="H45">
        <v>150.72358</v>
      </c>
      <c r="I45" s="25">
        <v>152.16990999999999</v>
      </c>
      <c r="J45" s="85">
        <v>40.642580000000002</v>
      </c>
      <c r="K45" s="85">
        <v>97.796199999999999</v>
      </c>
      <c r="L45" s="85">
        <v>19.6721</v>
      </c>
      <c r="M45">
        <v>611.03</v>
      </c>
      <c r="N45">
        <v>6.85</v>
      </c>
      <c r="O45">
        <v>49.27</v>
      </c>
      <c r="P45">
        <v>43.56</v>
      </c>
      <c r="Q45" s="106">
        <v>136.15889000000001</v>
      </c>
      <c r="R45">
        <v>118.71</v>
      </c>
      <c r="S45">
        <v>90.17</v>
      </c>
      <c r="T45">
        <v>29.83</v>
      </c>
      <c r="U45">
        <v>16.29</v>
      </c>
      <c r="V45">
        <v>61.86</v>
      </c>
      <c r="W45">
        <v>67.98</v>
      </c>
      <c r="X45" s="77">
        <v>126.59</v>
      </c>
      <c r="Y45">
        <v>84.1</v>
      </c>
      <c r="Z45">
        <v>378.6</v>
      </c>
      <c r="AA45">
        <v>323018</v>
      </c>
      <c r="AB45">
        <v>877.06100000000004</v>
      </c>
      <c r="AC45">
        <v>1184671</v>
      </c>
      <c r="AD45">
        <v>166469</v>
      </c>
      <c r="AE45">
        <v>68144</v>
      </c>
      <c r="AF45">
        <v>172226</v>
      </c>
      <c r="AG45">
        <v>155780</v>
      </c>
      <c r="AH45">
        <v>36676</v>
      </c>
      <c r="AI45">
        <v>2052790</v>
      </c>
      <c r="AJ45">
        <v>960739</v>
      </c>
    </row>
    <row r="46" spans="1:36" x14ac:dyDescent="0.25">
      <c r="A46" t="s">
        <v>358</v>
      </c>
      <c r="D46">
        <v>692.23599999999999</v>
      </c>
      <c r="E46">
        <v>389.00261999999998</v>
      </c>
      <c r="F46">
        <v>130.41560000000001</v>
      </c>
      <c r="G46">
        <v>158.10002</v>
      </c>
      <c r="H46">
        <v>150.81111000000001</v>
      </c>
      <c r="I46" s="25">
        <v>151.13874999999999</v>
      </c>
      <c r="J46" s="85">
        <v>40.726219999999998</v>
      </c>
      <c r="K46" s="85">
        <v>96.40943</v>
      </c>
      <c r="L46" s="85">
        <v>19.662489999999998</v>
      </c>
      <c r="M46">
        <v>613.66</v>
      </c>
      <c r="N46">
        <v>6.8</v>
      </c>
      <c r="O46">
        <v>49.06</v>
      </c>
      <c r="P46">
        <v>41.89</v>
      </c>
      <c r="Q46" s="106">
        <v>137.19717</v>
      </c>
      <c r="R46">
        <v>119.81</v>
      </c>
      <c r="S46">
        <v>90.82</v>
      </c>
      <c r="T46">
        <v>29.97</v>
      </c>
      <c r="U46">
        <v>16.75</v>
      </c>
      <c r="V46">
        <v>62.21</v>
      </c>
      <c r="W46">
        <v>68.84</v>
      </c>
      <c r="X46" s="77">
        <v>126.55</v>
      </c>
      <c r="Y46">
        <v>84.6</v>
      </c>
      <c r="Z46">
        <v>376.6</v>
      </c>
      <c r="AA46">
        <v>332018</v>
      </c>
      <c r="AB46">
        <v>899.28899999999999</v>
      </c>
      <c r="AC46">
        <v>1209026</v>
      </c>
      <c r="AD46">
        <v>166229</v>
      </c>
      <c r="AE46">
        <v>67051</v>
      </c>
      <c r="AF46">
        <v>173041</v>
      </c>
      <c r="AG46">
        <v>154092</v>
      </c>
      <c r="AH46">
        <v>42812</v>
      </c>
      <c r="AI46">
        <v>2094169</v>
      </c>
      <c r="AJ46">
        <v>991345</v>
      </c>
    </row>
    <row r="47" spans="1:36" x14ac:dyDescent="0.25">
      <c r="A47" t="s">
        <v>359</v>
      </c>
      <c r="D47">
        <v>702.91200000000003</v>
      </c>
      <c r="E47">
        <v>391.63684000000001</v>
      </c>
      <c r="F47">
        <v>134.04454000000001</v>
      </c>
      <c r="G47">
        <v>165.53334000000001</v>
      </c>
      <c r="H47">
        <v>155.9812</v>
      </c>
      <c r="I47" s="25">
        <v>154.16283999999999</v>
      </c>
      <c r="J47" s="85">
        <v>42.977699999999999</v>
      </c>
      <c r="K47" s="85">
        <v>96.252880000000005</v>
      </c>
      <c r="L47" s="85">
        <v>19.929310000000001</v>
      </c>
      <c r="M47">
        <v>623.97</v>
      </c>
      <c r="N47">
        <v>6.8</v>
      </c>
      <c r="O47">
        <v>49</v>
      </c>
      <c r="P47">
        <v>41.53</v>
      </c>
      <c r="Q47" s="106">
        <v>141.33707999999999</v>
      </c>
      <c r="R47">
        <v>124.07</v>
      </c>
      <c r="S47">
        <v>91.96</v>
      </c>
      <c r="T47">
        <v>30.54</v>
      </c>
      <c r="U47">
        <v>16.649999999999999</v>
      </c>
      <c r="V47">
        <v>63.99</v>
      </c>
      <c r="W47">
        <v>70.489999999999995</v>
      </c>
      <c r="X47" s="77">
        <v>127.85</v>
      </c>
      <c r="Y47">
        <v>85.6</v>
      </c>
      <c r="Z47">
        <v>379.9</v>
      </c>
      <c r="AA47">
        <v>334965</v>
      </c>
      <c r="AB47">
        <v>917.41800000000001</v>
      </c>
      <c r="AC47">
        <v>1228124</v>
      </c>
      <c r="AD47">
        <v>166824</v>
      </c>
      <c r="AE47">
        <v>67380</v>
      </c>
      <c r="AF47">
        <v>173783</v>
      </c>
      <c r="AG47">
        <v>154761</v>
      </c>
      <c r="AH47">
        <v>46695</v>
      </c>
      <c r="AI47">
        <v>2118751</v>
      </c>
      <c r="AJ47">
        <v>997160</v>
      </c>
    </row>
    <row r="48" spans="1:36" x14ac:dyDescent="0.25">
      <c r="A48" t="s">
        <v>360</v>
      </c>
      <c r="D48">
        <v>708.51900000000001</v>
      </c>
      <c r="E48">
        <v>395.09061000000003</v>
      </c>
      <c r="F48">
        <v>133.37162000000001</v>
      </c>
      <c r="G48">
        <v>171.70919000000001</v>
      </c>
      <c r="H48">
        <v>160.56115</v>
      </c>
      <c r="I48" s="25">
        <v>154.16283999999999</v>
      </c>
      <c r="J48" s="85">
        <v>44.098570000000002</v>
      </c>
      <c r="K48" s="85">
        <v>94.471320000000006</v>
      </c>
      <c r="L48" s="85">
        <v>19.93573</v>
      </c>
      <c r="M48">
        <v>628.62</v>
      </c>
      <c r="N48">
        <v>6.8</v>
      </c>
      <c r="O48">
        <v>48.23</v>
      </c>
      <c r="P48">
        <v>39.96</v>
      </c>
      <c r="Q48" s="106">
        <v>144.02239</v>
      </c>
      <c r="R48">
        <v>127.19</v>
      </c>
      <c r="S48">
        <v>93.26</v>
      </c>
      <c r="T48">
        <v>30.45</v>
      </c>
      <c r="U48">
        <v>17.079999999999998</v>
      </c>
      <c r="V48">
        <v>63.88</v>
      </c>
      <c r="W48">
        <v>71.19</v>
      </c>
      <c r="X48" s="77">
        <v>128.69999999999999</v>
      </c>
      <c r="Y48">
        <v>86.4</v>
      </c>
      <c r="Z48">
        <v>346.2</v>
      </c>
      <c r="AA48">
        <v>338647</v>
      </c>
      <c r="AB48">
        <v>931.28399999999999</v>
      </c>
      <c r="AC48">
        <v>1243441</v>
      </c>
      <c r="AD48">
        <v>170544</v>
      </c>
      <c r="AE48">
        <v>68546</v>
      </c>
      <c r="AF48">
        <v>172772</v>
      </c>
      <c r="AG48">
        <v>157743</v>
      </c>
      <c r="AH48">
        <v>43750</v>
      </c>
      <c r="AI48">
        <v>2144240</v>
      </c>
      <c r="AJ48">
        <v>1009655</v>
      </c>
    </row>
    <row r="49" spans="1:36" x14ac:dyDescent="0.25">
      <c r="A49" t="s">
        <v>361</v>
      </c>
      <c r="D49">
        <v>709.03700000000003</v>
      </c>
      <c r="E49">
        <v>395.04691000000003</v>
      </c>
      <c r="F49">
        <v>132.91021000000001</v>
      </c>
      <c r="G49">
        <v>174.51025999999999</v>
      </c>
      <c r="H49">
        <v>165.84123</v>
      </c>
      <c r="I49" s="25">
        <v>155.6542</v>
      </c>
      <c r="J49" s="85">
        <v>45.983400000000003</v>
      </c>
      <c r="K49" s="85">
        <v>93.277180000000001</v>
      </c>
      <c r="L49" s="85">
        <v>19.970980000000001</v>
      </c>
      <c r="M49">
        <v>631.33000000000004</v>
      </c>
      <c r="N49">
        <v>6.78</v>
      </c>
      <c r="O49">
        <v>47.68</v>
      </c>
      <c r="P49">
        <v>39.15</v>
      </c>
      <c r="Q49" s="106">
        <v>145.90210999999999</v>
      </c>
      <c r="R49">
        <v>128.72999999999999</v>
      </c>
      <c r="S49">
        <v>93.56</v>
      </c>
      <c r="T49">
        <v>30.31</v>
      </c>
      <c r="U49">
        <v>17.61</v>
      </c>
      <c r="V49">
        <v>63.83</v>
      </c>
      <c r="W49">
        <v>71.63</v>
      </c>
      <c r="X49" s="77">
        <v>128.80000000000001</v>
      </c>
      <c r="Y49">
        <v>87</v>
      </c>
      <c r="Z49">
        <v>371.9</v>
      </c>
      <c r="AA49">
        <v>340675</v>
      </c>
      <c r="AB49">
        <v>944.18299999999999</v>
      </c>
      <c r="AC49">
        <v>1259868</v>
      </c>
      <c r="AD49">
        <v>173376</v>
      </c>
      <c r="AE49">
        <v>69373</v>
      </c>
      <c r="AF49">
        <v>173627</v>
      </c>
      <c r="AG49">
        <v>159769</v>
      </c>
      <c r="AH49">
        <v>44878</v>
      </c>
      <c r="AI49">
        <v>2169918</v>
      </c>
      <c r="AJ49">
        <v>1018682</v>
      </c>
    </row>
    <row r="50" spans="1:36" x14ac:dyDescent="0.25">
      <c r="A50" t="s">
        <v>362</v>
      </c>
      <c r="D50">
        <v>706.01700000000005</v>
      </c>
      <c r="E50">
        <v>394.69715000000002</v>
      </c>
      <c r="F50">
        <v>133.92919000000001</v>
      </c>
      <c r="G50">
        <v>183.75719000000001</v>
      </c>
      <c r="H50">
        <v>174.30101999999999</v>
      </c>
      <c r="I50" s="25">
        <v>153.83143000000001</v>
      </c>
      <c r="J50" s="85">
        <v>45.531700000000001</v>
      </c>
      <c r="K50" s="85">
        <v>91.62079</v>
      </c>
      <c r="L50" s="85">
        <v>20.076750000000001</v>
      </c>
      <c r="M50">
        <v>629.4</v>
      </c>
      <c r="N50">
        <v>6.65</v>
      </c>
      <c r="O50">
        <v>46.92</v>
      </c>
      <c r="P50">
        <v>39.72</v>
      </c>
      <c r="Q50" s="106">
        <v>144.95329000000001</v>
      </c>
      <c r="R50">
        <v>128.53</v>
      </c>
      <c r="S50">
        <v>93.3</v>
      </c>
      <c r="T50">
        <v>30.11</v>
      </c>
      <c r="U50">
        <v>17.97</v>
      </c>
      <c r="V50">
        <v>63.37</v>
      </c>
      <c r="W50">
        <v>71.31</v>
      </c>
      <c r="X50" s="77">
        <v>128.74</v>
      </c>
      <c r="Y50">
        <v>87.7</v>
      </c>
      <c r="Z50">
        <v>366.7</v>
      </c>
      <c r="AA50">
        <v>344126</v>
      </c>
      <c r="AB50">
        <v>955.20399999999995</v>
      </c>
      <c r="AC50">
        <v>1267765</v>
      </c>
      <c r="AD50">
        <v>174904</v>
      </c>
      <c r="AE50">
        <v>68201</v>
      </c>
      <c r="AF50">
        <v>173212</v>
      </c>
      <c r="AG50">
        <v>162250</v>
      </c>
      <c r="AH50">
        <v>46843</v>
      </c>
      <c r="AI50">
        <v>2187269</v>
      </c>
      <c r="AJ50">
        <v>1030786</v>
      </c>
    </row>
    <row r="51" spans="1:36" x14ac:dyDescent="0.25">
      <c r="A51" t="s">
        <v>363</v>
      </c>
      <c r="D51">
        <v>721.00599999999997</v>
      </c>
      <c r="E51">
        <v>399.34235999999999</v>
      </c>
      <c r="F51">
        <v>134.15988999999999</v>
      </c>
      <c r="G51">
        <v>183.18347</v>
      </c>
      <c r="H51">
        <v>167.73732000000001</v>
      </c>
      <c r="I51" s="25">
        <v>154.88561999999999</v>
      </c>
      <c r="J51" s="85">
        <v>45.961100000000002</v>
      </c>
      <c r="K51" s="85">
        <v>91.363129999999998</v>
      </c>
      <c r="L51" s="85">
        <v>20.781870000000001</v>
      </c>
      <c r="M51">
        <v>643.02</v>
      </c>
      <c r="N51">
        <v>6.28</v>
      </c>
      <c r="O51">
        <v>45.86</v>
      </c>
      <c r="P51">
        <v>41.31</v>
      </c>
      <c r="Q51" s="106">
        <v>148.18481</v>
      </c>
      <c r="R51">
        <v>132.41</v>
      </c>
      <c r="S51">
        <v>97.13</v>
      </c>
      <c r="T51">
        <v>30.12</v>
      </c>
      <c r="U51">
        <v>18.899999999999999</v>
      </c>
      <c r="V51">
        <v>66.040000000000006</v>
      </c>
      <c r="W51">
        <v>72.95</v>
      </c>
      <c r="X51" s="77">
        <v>128.72</v>
      </c>
      <c r="Y51">
        <v>87.9</v>
      </c>
      <c r="Z51">
        <v>376.5</v>
      </c>
      <c r="AA51">
        <v>343548</v>
      </c>
      <c r="AB51">
        <v>961.923</v>
      </c>
      <c r="AC51">
        <v>1286522</v>
      </c>
      <c r="AD51">
        <v>177734</v>
      </c>
      <c r="AE51">
        <v>69192</v>
      </c>
      <c r="AF51">
        <v>174027</v>
      </c>
      <c r="AG51">
        <v>163856</v>
      </c>
      <c r="AH51">
        <v>49385</v>
      </c>
      <c r="AI51">
        <v>2204803</v>
      </c>
      <c r="AJ51">
        <v>1031783</v>
      </c>
    </row>
    <row r="52" spans="1:36" x14ac:dyDescent="0.25">
      <c r="A52" t="s">
        <v>364</v>
      </c>
      <c r="D52">
        <v>719.19500000000005</v>
      </c>
      <c r="E52">
        <v>396.36937999999998</v>
      </c>
      <c r="F52">
        <v>133.67923999999999</v>
      </c>
      <c r="G52">
        <v>183.95966000000001</v>
      </c>
      <c r="H52">
        <v>168.20406</v>
      </c>
      <c r="I52" s="25">
        <v>151.75550000000001</v>
      </c>
      <c r="J52" s="85">
        <v>43.858780000000003</v>
      </c>
      <c r="K52" s="85">
        <v>90.689009999999996</v>
      </c>
      <c r="L52" s="85">
        <v>20.900459999999999</v>
      </c>
      <c r="M52">
        <v>640</v>
      </c>
      <c r="N52">
        <v>6.26</v>
      </c>
      <c r="O52">
        <v>44.99</v>
      </c>
      <c r="P52">
        <v>42.67</v>
      </c>
      <c r="Q52" s="106">
        <v>145.64254</v>
      </c>
      <c r="R52">
        <v>129.61000000000001</v>
      </c>
      <c r="S52">
        <v>97.14</v>
      </c>
      <c r="T52">
        <v>29.91</v>
      </c>
      <c r="U52">
        <v>19.05</v>
      </c>
      <c r="V52">
        <v>65.599999999999994</v>
      </c>
      <c r="W52">
        <v>72.69</v>
      </c>
      <c r="X52" s="77">
        <v>128.83000000000001</v>
      </c>
      <c r="Y52">
        <v>84.6</v>
      </c>
      <c r="Z52">
        <v>344.8</v>
      </c>
      <c r="AA52">
        <v>344846</v>
      </c>
      <c r="AB52">
        <v>966.02499999999998</v>
      </c>
      <c r="AC52">
        <v>1288244</v>
      </c>
      <c r="AD52">
        <v>177816</v>
      </c>
      <c r="AE52">
        <v>69625</v>
      </c>
      <c r="AF52">
        <v>172457</v>
      </c>
      <c r="AG52">
        <v>165687</v>
      </c>
      <c r="AH52">
        <v>48464</v>
      </c>
      <c r="AI52">
        <v>2213488</v>
      </c>
      <c r="AJ52">
        <v>1038181</v>
      </c>
    </row>
    <row r="53" spans="1:36" x14ac:dyDescent="0.25">
      <c r="A53" t="s">
        <v>365</v>
      </c>
      <c r="D53">
        <v>719.19500000000005</v>
      </c>
      <c r="E53">
        <v>398.1182</v>
      </c>
      <c r="F53">
        <v>133.16014000000001</v>
      </c>
      <c r="G53">
        <v>183.48719</v>
      </c>
      <c r="H53">
        <v>164.93682000000001</v>
      </c>
      <c r="I53" s="25">
        <v>149.38029</v>
      </c>
      <c r="J53" s="85">
        <v>42.520440000000001</v>
      </c>
      <c r="K53" s="85">
        <v>89.822280000000006</v>
      </c>
      <c r="L53" s="85">
        <v>20.95815</v>
      </c>
      <c r="M53">
        <v>641.78</v>
      </c>
      <c r="N53">
        <v>6.3</v>
      </c>
      <c r="O53">
        <v>44.74</v>
      </c>
      <c r="P53">
        <v>42.98</v>
      </c>
      <c r="Q53" s="106">
        <v>145.19497999999999</v>
      </c>
      <c r="R53">
        <v>128.88999999999999</v>
      </c>
      <c r="S53">
        <v>97.47</v>
      </c>
      <c r="T53">
        <v>29.91</v>
      </c>
      <c r="U53">
        <v>19.170000000000002</v>
      </c>
      <c r="V53">
        <v>66.52</v>
      </c>
      <c r="W53">
        <v>72.959999999999994</v>
      </c>
      <c r="X53" s="77">
        <v>129.31</v>
      </c>
      <c r="Y53">
        <v>83.9</v>
      </c>
      <c r="Z53">
        <v>371</v>
      </c>
      <c r="AA53">
        <v>345617</v>
      </c>
      <c r="AB53">
        <v>974.18600000000004</v>
      </c>
      <c r="AC53">
        <v>1284729</v>
      </c>
      <c r="AD53">
        <v>175892</v>
      </c>
      <c r="AE53">
        <v>69372</v>
      </c>
      <c r="AF53">
        <v>172267</v>
      </c>
      <c r="AG53">
        <v>168710</v>
      </c>
      <c r="AH53">
        <v>49032</v>
      </c>
      <c r="AI53">
        <v>2219298</v>
      </c>
      <c r="AJ53">
        <v>1047835</v>
      </c>
    </row>
    <row r="54" spans="1:36" x14ac:dyDescent="0.25">
      <c r="A54" t="s">
        <v>366</v>
      </c>
      <c r="D54">
        <v>716.952</v>
      </c>
      <c r="E54">
        <v>399.4735</v>
      </c>
      <c r="F54">
        <v>135.15967000000001</v>
      </c>
      <c r="G54">
        <v>185.84953999999999</v>
      </c>
      <c r="H54">
        <v>162.69060999999999</v>
      </c>
      <c r="I54" s="25">
        <v>147.52064999999999</v>
      </c>
      <c r="J54" s="85">
        <v>41.5334</v>
      </c>
      <c r="K54" s="85">
        <v>89.099990000000005</v>
      </c>
      <c r="L54" s="85">
        <v>20.942129999999999</v>
      </c>
      <c r="M54">
        <v>641.16</v>
      </c>
      <c r="N54">
        <v>6.44</v>
      </c>
      <c r="O54">
        <v>44.73</v>
      </c>
      <c r="P54">
        <v>41.49</v>
      </c>
      <c r="Q54" s="106">
        <v>142.76013</v>
      </c>
      <c r="R54">
        <v>126.61</v>
      </c>
      <c r="S54">
        <v>98.04</v>
      </c>
      <c r="T54">
        <v>30.04</v>
      </c>
      <c r="U54">
        <v>19.73</v>
      </c>
      <c r="V54">
        <v>67.38</v>
      </c>
      <c r="W54">
        <v>72.760000000000005</v>
      </c>
      <c r="X54" s="77">
        <v>129.87</v>
      </c>
      <c r="Y54">
        <v>82.4</v>
      </c>
      <c r="Z54">
        <v>365.1</v>
      </c>
      <c r="AA54">
        <v>346089</v>
      </c>
      <c r="AB54">
        <v>981.36300000000006</v>
      </c>
      <c r="AC54">
        <v>1295550</v>
      </c>
      <c r="AD54">
        <v>174308</v>
      </c>
      <c r="AE54">
        <v>67938</v>
      </c>
      <c r="AF54">
        <v>172939</v>
      </c>
      <c r="AG54">
        <v>169350</v>
      </c>
      <c r="AH54">
        <v>50274</v>
      </c>
      <c r="AI54">
        <v>2236312</v>
      </c>
      <c r="AJ54">
        <v>1053923</v>
      </c>
    </row>
    <row r="55" spans="1:36" x14ac:dyDescent="0.25">
      <c r="A55" t="s">
        <v>367</v>
      </c>
      <c r="D55">
        <v>713.60900000000004</v>
      </c>
      <c r="E55">
        <v>396.53336999999999</v>
      </c>
      <c r="F55">
        <v>134.83282</v>
      </c>
      <c r="G55">
        <v>184.90460999999999</v>
      </c>
      <c r="H55">
        <v>157.16313</v>
      </c>
      <c r="I55" s="25">
        <v>144.05939000000001</v>
      </c>
      <c r="J55" s="85">
        <v>39.967820000000003</v>
      </c>
      <c r="K55" s="85">
        <v>87.607290000000006</v>
      </c>
      <c r="L55" s="85">
        <v>20.698530000000002</v>
      </c>
      <c r="M55">
        <v>638.66</v>
      </c>
      <c r="N55">
        <v>6.23</v>
      </c>
      <c r="O55">
        <v>44.3</v>
      </c>
      <c r="P55">
        <v>41.32</v>
      </c>
      <c r="Q55" s="106">
        <v>140.83581000000001</v>
      </c>
      <c r="R55">
        <v>124.83</v>
      </c>
      <c r="S55">
        <v>97.79</v>
      </c>
      <c r="T55">
        <v>29.46</v>
      </c>
      <c r="U55">
        <v>19.690000000000001</v>
      </c>
      <c r="V55">
        <v>67.22</v>
      </c>
      <c r="W55">
        <v>73.44</v>
      </c>
      <c r="X55" s="77">
        <v>130.53</v>
      </c>
      <c r="Y55">
        <v>82.3</v>
      </c>
      <c r="Z55">
        <v>369.9</v>
      </c>
      <c r="AA55">
        <v>345780</v>
      </c>
      <c r="AB55">
        <v>983.68899999999996</v>
      </c>
      <c r="AC55">
        <v>1291700</v>
      </c>
      <c r="AD55">
        <v>173815</v>
      </c>
      <c r="AE55">
        <v>68455</v>
      </c>
      <c r="AF55">
        <v>169294</v>
      </c>
      <c r="AG55">
        <v>168909</v>
      </c>
      <c r="AH55">
        <v>49206</v>
      </c>
      <c r="AI55">
        <v>2230841</v>
      </c>
      <c r="AJ55">
        <v>1055668</v>
      </c>
    </row>
    <row r="56" spans="1:36" x14ac:dyDescent="0.25">
      <c r="A56" t="s">
        <v>368</v>
      </c>
      <c r="D56">
        <v>716.36900000000003</v>
      </c>
      <c r="E56">
        <v>393.60415999999998</v>
      </c>
      <c r="F56">
        <v>135.31347</v>
      </c>
      <c r="G56">
        <v>190.54051000000001</v>
      </c>
      <c r="H56">
        <v>160.48840000000001</v>
      </c>
      <c r="I56" s="25">
        <v>141.90513000000001</v>
      </c>
      <c r="J56" s="85">
        <v>40.274529999999999</v>
      </c>
      <c r="K56" s="85">
        <v>84.496690000000001</v>
      </c>
      <c r="L56" s="85">
        <v>20.701740000000001</v>
      </c>
      <c r="M56">
        <v>641.14</v>
      </c>
      <c r="N56">
        <v>6.35</v>
      </c>
      <c r="O56">
        <v>42.81</v>
      </c>
      <c r="P56">
        <v>41.4</v>
      </c>
      <c r="Q56" s="106">
        <v>142.07106999999999</v>
      </c>
      <c r="R56">
        <v>125.39</v>
      </c>
      <c r="S56">
        <v>98.41</v>
      </c>
      <c r="T56">
        <v>29.43</v>
      </c>
      <c r="U56">
        <v>19.82</v>
      </c>
      <c r="V56">
        <v>67.81</v>
      </c>
      <c r="W56">
        <v>73.72</v>
      </c>
      <c r="X56" s="77">
        <v>130.74</v>
      </c>
      <c r="Y56">
        <v>82.1</v>
      </c>
      <c r="Z56">
        <v>344.7</v>
      </c>
      <c r="AA56">
        <v>345904</v>
      </c>
      <c r="AB56">
        <v>994.08699999999999</v>
      </c>
      <c r="AC56">
        <v>1287053</v>
      </c>
      <c r="AD56">
        <v>171463</v>
      </c>
      <c r="AE56">
        <v>68180</v>
      </c>
      <c r="AF56">
        <v>167046</v>
      </c>
      <c r="AG56">
        <v>169437</v>
      </c>
      <c r="AH56">
        <v>48762</v>
      </c>
      <c r="AI56">
        <v>2233681</v>
      </c>
      <c r="AJ56">
        <v>1060200</v>
      </c>
    </row>
    <row r="57" spans="1:36" x14ac:dyDescent="0.25">
      <c r="A57" t="s">
        <v>369</v>
      </c>
      <c r="D57">
        <v>721.28700000000003</v>
      </c>
      <c r="E57">
        <v>396.53336999999999</v>
      </c>
      <c r="F57">
        <v>135.75567000000001</v>
      </c>
      <c r="G57">
        <v>193.54407</v>
      </c>
      <c r="H57">
        <v>160.83843999999999</v>
      </c>
      <c r="I57" s="25">
        <v>140.9845</v>
      </c>
      <c r="J57" s="85">
        <v>39.655529999999999</v>
      </c>
      <c r="K57" s="85">
        <v>84.227050000000006</v>
      </c>
      <c r="L57" s="85">
        <v>20.76905</v>
      </c>
      <c r="M57">
        <v>643.70000000000005</v>
      </c>
      <c r="N57">
        <v>6.41</v>
      </c>
      <c r="O57">
        <v>42.65</v>
      </c>
      <c r="P57">
        <v>39.78</v>
      </c>
      <c r="Q57" s="106">
        <v>143.18100000000001</v>
      </c>
      <c r="R57">
        <v>126.48</v>
      </c>
      <c r="S57">
        <v>99.13</v>
      </c>
      <c r="T57">
        <v>29.41</v>
      </c>
      <c r="U57">
        <v>19.809999999999999</v>
      </c>
      <c r="V57">
        <v>68.5</v>
      </c>
      <c r="W57">
        <v>74.09</v>
      </c>
      <c r="X57" s="77">
        <v>131.41999999999999</v>
      </c>
      <c r="Y57">
        <v>82.6</v>
      </c>
      <c r="Z57">
        <v>370.6</v>
      </c>
      <c r="AA57">
        <v>344516</v>
      </c>
      <c r="AB57">
        <v>999.95500000000004</v>
      </c>
      <c r="AC57">
        <v>1286110</v>
      </c>
      <c r="AD57">
        <v>168158</v>
      </c>
      <c r="AE57">
        <v>66899</v>
      </c>
      <c r="AF57">
        <v>165710</v>
      </c>
      <c r="AG57">
        <v>171062</v>
      </c>
      <c r="AH57">
        <v>47831</v>
      </c>
      <c r="AI57">
        <v>2242717</v>
      </c>
      <c r="AJ57">
        <v>1064333</v>
      </c>
    </row>
    <row r="58" spans="1:36" x14ac:dyDescent="0.25">
      <c r="A58" t="s">
        <v>370</v>
      </c>
      <c r="D58">
        <v>719.303</v>
      </c>
      <c r="E58">
        <v>398.23842000000002</v>
      </c>
      <c r="F58">
        <v>137.63983999999999</v>
      </c>
      <c r="G58">
        <v>197.08759000000001</v>
      </c>
      <c r="H58">
        <v>164.57207</v>
      </c>
      <c r="I58" s="25">
        <v>140.06388000000001</v>
      </c>
      <c r="J58" s="85">
        <v>39.666679999999999</v>
      </c>
      <c r="K58" s="85">
        <v>82.975089999999994</v>
      </c>
      <c r="L58" s="85">
        <v>20.861999999999998</v>
      </c>
      <c r="M58">
        <v>645.01</v>
      </c>
      <c r="N58">
        <v>6.46</v>
      </c>
      <c r="O58">
        <v>41.82</v>
      </c>
      <c r="P58">
        <v>38.340000000000003</v>
      </c>
      <c r="Q58" s="106">
        <v>143.2705</v>
      </c>
      <c r="R58">
        <v>126.62</v>
      </c>
      <c r="S58">
        <v>100.22</v>
      </c>
      <c r="T58">
        <v>29.24</v>
      </c>
      <c r="U58">
        <v>20.239999999999998</v>
      </c>
      <c r="V58">
        <v>68.78</v>
      </c>
      <c r="W58">
        <v>73.95</v>
      </c>
      <c r="X58" s="77">
        <v>132.19</v>
      </c>
      <c r="Y58">
        <v>82.8</v>
      </c>
      <c r="Z58">
        <v>363.2</v>
      </c>
      <c r="AA58">
        <v>340070</v>
      </c>
      <c r="AB58">
        <v>1008.923</v>
      </c>
      <c r="AC58">
        <v>1277339</v>
      </c>
      <c r="AD58">
        <v>161451</v>
      </c>
      <c r="AE58">
        <v>64582</v>
      </c>
      <c r="AF58">
        <v>162599</v>
      </c>
      <c r="AG58">
        <v>164952</v>
      </c>
      <c r="AH58">
        <v>50198</v>
      </c>
      <c r="AI58">
        <v>2241198</v>
      </c>
      <c r="AJ58">
        <v>1068687</v>
      </c>
    </row>
    <row r="59" spans="1:36" x14ac:dyDescent="0.25">
      <c r="A59" t="s">
        <v>371</v>
      </c>
      <c r="D59">
        <v>709.53300000000002</v>
      </c>
      <c r="E59">
        <v>397.74662000000001</v>
      </c>
      <c r="F59">
        <v>135.73643999999999</v>
      </c>
      <c r="G59">
        <v>190.99579</v>
      </c>
      <c r="H59">
        <v>168.14561</v>
      </c>
      <c r="I59" s="25">
        <v>139.78776999999999</v>
      </c>
      <c r="J59" s="85">
        <v>40.193640000000002</v>
      </c>
      <c r="K59" s="85">
        <v>82.520060000000001</v>
      </c>
      <c r="L59" s="85">
        <v>20.320329999999998</v>
      </c>
      <c r="M59">
        <v>634.57000000000005</v>
      </c>
      <c r="N59">
        <v>6.34</v>
      </c>
      <c r="O59">
        <v>40.93</v>
      </c>
      <c r="P59">
        <v>35.78</v>
      </c>
      <c r="Q59" s="106">
        <v>142.80059</v>
      </c>
      <c r="R59">
        <v>126.89</v>
      </c>
      <c r="S59">
        <v>99.67</v>
      </c>
      <c r="T59">
        <v>28.61</v>
      </c>
      <c r="U59">
        <v>18.12</v>
      </c>
      <c r="V59">
        <v>68.599999999999994</v>
      </c>
      <c r="W59">
        <v>72.62</v>
      </c>
      <c r="X59" s="77">
        <v>131</v>
      </c>
      <c r="Y59">
        <v>82.6</v>
      </c>
      <c r="Z59">
        <v>369.9</v>
      </c>
      <c r="AA59">
        <v>338414</v>
      </c>
      <c r="AB59">
        <v>1012.52</v>
      </c>
      <c r="AC59">
        <v>1273151</v>
      </c>
      <c r="AD59">
        <v>158500</v>
      </c>
      <c r="AE59">
        <v>63534</v>
      </c>
      <c r="AF59">
        <v>159256</v>
      </c>
      <c r="AG59">
        <v>163605</v>
      </c>
      <c r="AH59">
        <v>48648</v>
      </c>
      <c r="AI59">
        <v>2237872</v>
      </c>
      <c r="AJ59">
        <v>1066961</v>
      </c>
    </row>
    <row r="60" spans="1:36" x14ac:dyDescent="0.25">
      <c r="A60" t="s">
        <v>372</v>
      </c>
      <c r="D60">
        <v>710.56799999999998</v>
      </c>
      <c r="E60">
        <v>397.87776000000002</v>
      </c>
      <c r="F60">
        <v>135.92871</v>
      </c>
      <c r="G60">
        <v>190.32078999999999</v>
      </c>
      <c r="H60">
        <v>166.24943999999999</v>
      </c>
      <c r="I60" s="25">
        <v>139.14331999999999</v>
      </c>
      <c r="J60" s="85">
        <v>39.474299999999999</v>
      </c>
      <c r="K60" s="85">
        <v>82.828230000000005</v>
      </c>
      <c r="L60" s="85">
        <v>20.336359999999999</v>
      </c>
      <c r="M60">
        <v>634.41999999999996</v>
      </c>
      <c r="N60">
        <v>6.45</v>
      </c>
      <c r="O60">
        <v>41.14</v>
      </c>
      <c r="P60">
        <v>34.25</v>
      </c>
      <c r="Q60" s="106">
        <v>141.88761</v>
      </c>
      <c r="R60">
        <v>125.69</v>
      </c>
      <c r="S60">
        <v>100.27</v>
      </c>
      <c r="T60">
        <v>28.69</v>
      </c>
      <c r="U60">
        <v>18.14</v>
      </c>
      <c r="V60">
        <v>69.36</v>
      </c>
      <c r="W60">
        <v>72.569999999999993</v>
      </c>
      <c r="X60" s="77">
        <v>131.19</v>
      </c>
      <c r="Y60">
        <v>82.9</v>
      </c>
      <c r="Z60">
        <v>341.2</v>
      </c>
      <c r="AA60">
        <v>338000</v>
      </c>
      <c r="AB60">
        <v>1011.3680000000001</v>
      </c>
      <c r="AC60">
        <v>1267050</v>
      </c>
      <c r="AD60">
        <v>157841</v>
      </c>
      <c r="AE60">
        <v>62888</v>
      </c>
      <c r="AF60">
        <v>156871</v>
      </c>
      <c r="AG60">
        <v>163161</v>
      </c>
      <c r="AH60">
        <v>48520</v>
      </c>
      <c r="AI60">
        <v>2240120</v>
      </c>
      <c r="AJ60">
        <v>1070549</v>
      </c>
    </row>
    <row r="61" spans="1:36" x14ac:dyDescent="0.25">
      <c r="A61" t="s">
        <v>373</v>
      </c>
      <c r="D61">
        <v>717.03800000000001</v>
      </c>
      <c r="E61">
        <v>400.58828999999997</v>
      </c>
      <c r="F61">
        <v>137.25531000000001</v>
      </c>
      <c r="G61">
        <v>195.99091000000001</v>
      </c>
      <c r="H61">
        <v>167.59135000000001</v>
      </c>
      <c r="I61" s="25">
        <v>139.34585000000001</v>
      </c>
      <c r="J61" s="85">
        <v>39.502180000000003</v>
      </c>
      <c r="K61" s="85">
        <v>82.886009999999999</v>
      </c>
      <c r="L61" s="85">
        <v>20.445329999999998</v>
      </c>
      <c r="M61">
        <v>642.4</v>
      </c>
      <c r="N61">
        <v>6.55</v>
      </c>
      <c r="O61">
        <v>41.42</v>
      </c>
      <c r="P61">
        <v>33.54</v>
      </c>
      <c r="Q61" s="106">
        <v>142.9796</v>
      </c>
      <c r="R61">
        <v>126.78</v>
      </c>
      <c r="S61">
        <v>102.39</v>
      </c>
      <c r="T61">
        <v>29.09</v>
      </c>
      <c r="U61">
        <v>18.34</v>
      </c>
      <c r="V61">
        <v>70.72</v>
      </c>
      <c r="W61">
        <v>74.55</v>
      </c>
      <c r="X61" s="77">
        <v>131.97999999999999</v>
      </c>
      <c r="Y61">
        <v>82.5</v>
      </c>
      <c r="Z61">
        <v>369.2</v>
      </c>
      <c r="AA61">
        <v>338101</v>
      </c>
      <c r="AB61">
        <v>1106.174</v>
      </c>
      <c r="AC61">
        <v>1262110</v>
      </c>
      <c r="AD61">
        <v>154362</v>
      </c>
      <c r="AE61">
        <v>61746</v>
      </c>
      <c r="AF61">
        <v>153338</v>
      </c>
      <c r="AG61">
        <v>162279</v>
      </c>
      <c r="AH61">
        <v>48608</v>
      </c>
      <c r="AI61">
        <v>2245554</v>
      </c>
      <c r="AJ61">
        <v>1077492</v>
      </c>
    </row>
    <row r="62" spans="1:36" x14ac:dyDescent="0.25">
      <c r="A62" t="s">
        <v>374</v>
      </c>
      <c r="D62">
        <v>717.90099999999995</v>
      </c>
      <c r="E62">
        <v>400.58828</v>
      </c>
      <c r="F62">
        <v>138.13972000000001</v>
      </c>
      <c r="G62">
        <v>200.68226999999999</v>
      </c>
      <c r="H62">
        <v>172.5797</v>
      </c>
      <c r="I62" s="25">
        <v>139.38269</v>
      </c>
      <c r="J62" s="85">
        <v>39.530070000000002</v>
      </c>
      <c r="K62" s="85">
        <v>82.731930000000006</v>
      </c>
      <c r="L62" s="85">
        <v>20.56392</v>
      </c>
      <c r="M62">
        <v>643.1</v>
      </c>
      <c r="N62">
        <v>6.54</v>
      </c>
      <c r="O62">
        <v>40.340000000000003</v>
      </c>
      <c r="P62">
        <v>33.049999999999997</v>
      </c>
      <c r="Q62" s="106">
        <v>145.25308999999999</v>
      </c>
      <c r="R62">
        <v>129.52000000000001</v>
      </c>
      <c r="S62">
        <v>102.37</v>
      </c>
      <c r="T62">
        <v>28.89</v>
      </c>
      <c r="U62">
        <v>18.57</v>
      </c>
      <c r="V62">
        <v>70.209999999999994</v>
      </c>
      <c r="W62">
        <v>74.17</v>
      </c>
      <c r="X62" s="77">
        <v>131.97999999999999</v>
      </c>
      <c r="Y62">
        <v>83.2</v>
      </c>
      <c r="Z62">
        <v>362.7</v>
      </c>
      <c r="AA62">
        <v>335123</v>
      </c>
      <c r="AB62">
        <v>1124.491</v>
      </c>
      <c r="AC62">
        <v>1252236</v>
      </c>
      <c r="AD62">
        <v>150970</v>
      </c>
      <c r="AE62">
        <v>59004</v>
      </c>
      <c r="AF62">
        <v>152317</v>
      </c>
      <c r="AG62">
        <v>160702</v>
      </c>
      <c r="AH62">
        <v>43974</v>
      </c>
      <c r="AI62">
        <v>2241595</v>
      </c>
      <c r="AJ62">
        <v>1083305</v>
      </c>
    </row>
    <row r="63" spans="1:36" x14ac:dyDescent="0.25">
      <c r="A63" t="s">
        <v>375</v>
      </c>
      <c r="D63">
        <v>716.80100000000004</v>
      </c>
      <c r="E63">
        <v>400.85063000000002</v>
      </c>
      <c r="F63">
        <v>136.12097</v>
      </c>
      <c r="G63">
        <v>208.59562</v>
      </c>
      <c r="H63">
        <v>174.17661000000001</v>
      </c>
      <c r="I63" s="25">
        <v>136.83723000000001</v>
      </c>
      <c r="J63" s="85">
        <v>38.533270000000002</v>
      </c>
      <c r="K63" s="85">
        <v>81.203119999999998</v>
      </c>
      <c r="L63" s="85">
        <v>20.51905</v>
      </c>
      <c r="M63">
        <v>641.64</v>
      </c>
      <c r="N63">
        <v>8.1300000000000008</v>
      </c>
      <c r="O63">
        <v>40.4</v>
      </c>
      <c r="P63">
        <v>32.380000000000003</v>
      </c>
      <c r="Q63" s="106">
        <v>145.70962</v>
      </c>
      <c r="R63">
        <v>128.78</v>
      </c>
      <c r="S63">
        <v>102.11</v>
      </c>
      <c r="T63">
        <v>29.4</v>
      </c>
      <c r="U63">
        <v>19.559999999999999</v>
      </c>
      <c r="V63">
        <v>69.22</v>
      </c>
      <c r="W63">
        <v>71.510000000000005</v>
      </c>
      <c r="X63" s="77">
        <v>131.22999999999999</v>
      </c>
      <c r="Y63">
        <v>83.5</v>
      </c>
      <c r="Z63">
        <v>371.2</v>
      </c>
      <c r="AA63">
        <v>329331</v>
      </c>
      <c r="AB63">
        <v>1124.789</v>
      </c>
      <c r="AC63">
        <v>1242118</v>
      </c>
      <c r="AD63">
        <v>149271</v>
      </c>
      <c r="AE63">
        <v>58379</v>
      </c>
      <c r="AF63">
        <v>148625</v>
      </c>
      <c r="AG63">
        <v>158652</v>
      </c>
      <c r="AH63">
        <v>43637</v>
      </c>
      <c r="AI63">
        <v>2229231</v>
      </c>
      <c r="AJ63">
        <v>1075204</v>
      </c>
    </row>
    <row r="64" spans="1:36" x14ac:dyDescent="0.25">
      <c r="A64" t="s">
        <v>376</v>
      </c>
      <c r="D64">
        <v>721.02800000000002</v>
      </c>
      <c r="E64">
        <v>400.32601</v>
      </c>
      <c r="F64">
        <v>135.87101999999999</v>
      </c>
      <c r="G64">
        <v>217.87628000000001</v>
      </c>
      <c r="H64">
        <v>177.73541</v>
      </c>
      <c r="I64" s="25">
        <v>138.08924999999999</v>
      </c>
      <c r="J64" s="85">
        <v>41.025939999999999</v>
      </c>
      <c r="K64" s="85">
        <v>78.862939999999995</v>
      </c>
      <c r="L64" s="85">
        <v>20.615200000000002</v>
      </c>
      <c r="M64">
        <v>648.62</v>
      </c>
      <c r="N64">
        <v>8.01</v>
      </c>
      <c r="O64">
        <v>39.79</v>
      </c>
      <c r="P64">
        <v>31.96</v>
      </c>
      <c r="Q64" s="106">
        <v>149.03951000000001</v>
      </c>
      <c r="R64">
        <v>132.15</v>
      </c>
      <c r="S64">
        <v>104.01</v>
      </c>
      <c r="T64">
        <v>29.51</v>
      </c>
      <c r="U64">
        <v>19.8</v>
      </c>
      <c r="V64">
        <v>70.39</v>
      </c>
      <c r="W64">
        <v>72.23</v>
      </c>
      <c r="X64" s="77">
        <v>131.12</v>
      </c>
      <c r="Y64">
        <v>83.9</v>
      </c>
      <c r="Z64">
        <v>339.8</v>
      </c>
      <c r="AA64">
        <v>328973</v>
      </c>
      <c r="AB64">
        <v>1125.6369999999999</v>
      </c>
      <c r="AC64">
        <v>1235158</v>
      </c>
      <c r="AD64">
        <v>145932</v>
      </c>
      <c r="AE64">
        <v>57525</v>
      </c>
      <c r="AF64">
        <v>147002</v>
      </c>
      <c r="AG64">
        <v>165582</v>
      </c>
      <c r="AH64">
        <v>45282</v>
      </c>
      <c r="AI64">
        <v>2229703</v>
      </c>
      <c r="AJ64">
        <v>1081533</v>
      </c>
    </row>
    <row r="65" spans="1:36" x14ac:dyDescent="0.25">
      <c r="A65" t="s">
        <v>377</v>
      </c>
      <c r="D65">
        <v>718.69899999999996</v>
      </c>
      <c r="E65">
        <v>399.14562999999998</v>
      </c>
      <c r="F65">
        <v>136.85156000000001</v>
      </c>
      <c r="G65">
        <v>214.02902</v>
      </c>
      <c r="H65">
        <v>181.11917</v>
      </c>
      <c r="I65" s="25">
        <v>137.59213</v>
      </c>
      <c r="J65" s="85">
        <v>41.499940000000002</v>
      </c>
      <c r="K65" s="85">
        <v>77.408749999999998</v>
      </c>
      <c r="L65" s="85">
        <v>20.72738</v>
      </c>
      <c r="M65">
        <v>645.52</v>
      </c>
      <c r="N65">
        <v>7.89</v>
      </c>
      <c r="O65">
        <v>38.700000000000003</v>
      </c>
      <c r="P65">
        <v>31.38</v>
      </c>
      <c r="Q65" s="106">
        <v>148.12647999999999</v>
      </c>
      <c r="R65">
        <v>131.4</v>
      </c>
      <c r="S65">
        <v>103.48</v>
      </c>
      <c r="T65">
        <v>29.41</v>
      </c>
      <c r="U65">
        <v>19.690000000000001</v>
      </c>
      <c r="V65">
        <v>70.260000000000005</v>
      </c>
      <c r="W65">
        <v>72.569999999999993</v>
      </c>
      <c r="X65" s="77">
        <v>130.99</v>
      </c>
      <c r="Y65">
        <v>84.3</v>
      </c>
      <c r="Z65">
        <v>365.9</v>
      </c>
      <c r="AA65">
        <v>326789</v>
      </c>
      <c r="AB65">
        <v>1128.9829999999999</v>
      </c>
      <c r="AC65">
        <v>1226603</v>
      </c>
      <c r="AD65">
        <v>142286</v>
      </c>
      <c r="AE65">
        <v>56225</v>
      </c>
      <c r="AF65">
        <v>144593</v>
      </c>
      <c r="AG65">
        <v>166547</v>
      </c>
      <c r="AH65">
        <v>43882</v>
      </c>
      <c r="AI65">
        <v>2229918</v>
      </c>
      <c r="AJ65">
        <v>1087787</v>
      </c>
    </row>
    <row r="66" spans="1:36" x14ac:dyDescent="0.25">
      <c r="A66" t="s">
        <v>378</v>
      </c>
      <c r="D66">
        <v>718.44</v>
      </c>
      <c r="E66">
        <v>401.2878</v>
      </c>
      <c r="F66">
        <v>135.15966</v>
      </c>
      <c r="G66">
        <v>214.97396000000001</v>
      </c>
      <c r="H66">
        <v>181.55672000000001</v>
      </c>
      <c r="I66" s="25">
        <v>136.87405999999999</v>
      </c>
      <c r="J66" s="85">
        <v>41.087290000000003</v>
      </c>
      <c r="K66" s="85">
        <v>77.052430000000001</v>
      </c>
      <c r="L66" s="85">
        <v>20.801100000000002</v>
      </c>
      <c r="M66">
        <v>645.44000000000005</v>
      </c>
      <c r="N66">
        <v>7.82</v>
      </c>
      <c r="O66">
        <v>37.96</v>
      </c>
      <c r="P66">
        <v>31.63</v>
      </c>
      <c r="Q66" s="106">
        <v>147.28504000000001</v>
      </c>
      <c r="R66">
        <v>130.22999999999999</v>
      </c>
      <c r="S66">
        <v>104.28</v>
      </c>
      <c r="T66">
        <v>29.28</v>
      </c>
      <c r="U66">
        <v>20.010000000000002</v>
      </c>
      <c r="V66">
        <v>70.52</v>
      </c>
      <c r="W66">
        <v>72.36</v>
      </c>
      <c r="X66" s="77">
        <v>130.79</v>
      </c>
      <c r="Y66">
        <v>84.1</v>
      </c>
      <c r="Z66">
        <v>365.8</v>
      </c>
      <c r="AA66">
        <v>320391</v>
      </c>
      <c r="AB66">
        <v>1127.7260000000001</v>
      </c>
      <c r="AC66">
        <v>1211635</v>
      </c>
      <c r="AD66">
        <v>136692</v>
      </c>
      <c r="AE66">
        <v>52971</v>
      </c>
      <c r="AF66">
        <v>141391</v>
      </c>
      <c r="AG66">
        <v>163738</v>
      </c>
      <c r="AH66">
        <v>42529</v>
      </c>
      <c r="AI66">
        <v>2224165</v>
      </c>
      <c r="AJ66">
        <v>1085968</v>
      </c>
    </row>
    <row r="67" spans="1:36" x14ac:dyDescent="0.25">
      <c r="A67" t="s">
        <v>379</v>
      </c>
      <c r="D67">
        <v>719.58299999999997</v>
      </c>
      <c r="E67">
        <v>403.62680999999998</v>
      </c>
      <c r="F67">
        <v>135.50097</v>
      </c>
      <c r="G67">
        <v>220.36547999999999</v>
      </c>
      <c r="H67">
        <v>178.90221</v>
      </c>
      <c r="I67" s="25">
        <v>134.94081</v>
      </c>
      <c r="J67" s="85">
        <v>41.389740000000003</v>
      </c>
      <c r="K67" s="85">
        <v>74.464219999999997</v>
      </c>
      <c r="L67" s="85">
        <v>20.689710000000002</v>
      </c>
      <c r="M67">
        <v>646.84</v>
      </c>
      <c r="N67">
        <v>5.92</v>
      </c>
      <c r="O67">
        <v>37.44</v>
      </c>
      <c r="P67">
        <v>31.91</v>
      </c>
      <c r="Q67" s="106">
        <v>148.13545999999999</v>
      </c>
      <c r="R67">
        <v>131.51</v>
      </c>
      <c r="S67">
        <v>105.45</v>
      </c>
      <c r="T67">
        <v>29.63</v>
      </c>
      <c r="U67">
        <v>19.010000000000002</v>
      </c>
      <c r="V67">
        <v>71.63</v>
      </c>
      <c r="W67">
        <v>72.849999999999994</v>
      </c>
      <c r="X67" s="77">
        <v>131.51</v>
      </c>
      <c r="Y67">
        <v>83.9</v>
      </c>
      <c r="Z67">
        <v>361.5</v>
      </c>
      <c r="AA67">
        <v>316535</v>
      </c>
      <c r="AB67">
        <v>1120.5809999999999</v>
      </c>
      <c r="AC67">
        <v>1209670</v>
      </c>
      <c r="AD67">
        <v>135689</v>
      </c>
      <c r="AE67">
        <v>53119</v>
      </c>
      <c r="AF67">
        <v>137936</v>
      </c>
      <c r="AG67">
        <v>161576</v>
      </c>
      <c r="AH67">
        <v>42336</v>
      </c>
      <c r="AI67">
        <v>2216899</v>
      </c>
      <c r="AJ67">
        <v>1081289</v>
      </c>
    </row>
    <row r="68" spans="1:36" x14ac:dyDescent="0.25">
      <c r="A68" t="s">
        <v>380</v>
      </c>
      <c r="D68">
        <v>723.89599999999996</v>
      </c>
      <c r="E68">
        <v>404.93840999999998</v>
      </c>
      <c r="F68">
        <v>137.42350999999999</v>
      </c>
      <c r="G68">
        <v>224.11136999999999</v>
      </c>
      <c r="H68">
        <v>187.82837000000001</v>
      </c>
      <c r="I68" s="25">
        <v>137.53688</v>
      </c>
      <c r="J68" s="85">
        <v>42.5441</v>
      </c>
      <c r="K68" s="85">
        <v>75.754739999999998</v>
      </c>
      <c r="L68" s="85">
        <v>20.789079999999998</v>
      </c>
      <c r="M68">
        <v>649.70000000000005</v>
      </c>
      <c r="N68">
        <v>5.97</v>
      </c>
      <c r="O68">
        <v>37.76</v>
      </c>
      <c r="P68">
        <v>31.45</v>
      </c>
      <c r="Q68" s="106">
        <v>148.74411000000001</v>
      </c>
      <c r="R68">
        <v>132.04</v>
      </c>
      <c r="S68">
        <v>105.7</v>
      </c>
      <c r="T68">
        <v>29.68</v>
      </c>
      <c r="U68">
        <v>19.77</v>
      </c>
      <c r="V68">
        <v>72.290000000000006</v>
      </c>
      <c r="W68">
        <v>73.36</v>
      </c>
      <c r="X68" s="77">
        <v>131.35</v>
      </c>
      <c r="Y68">
        <v>83.6</v>
      </c>
      <c r="Z68">
        <v>342.6</v>
      </c>
      <c r="AA68">
        <v>314302</v>
      </c>
      <c r="AB68">
        <v>1133.366</v>
      </c>
      <c r="AC68">
        <v>1210773</v>
      </c>
      <c r="AD68">
        <v>135768</v>
      </c>
      <c r="AE68">
        <v>51967</v>
      </c>
      <c r="AF68">
        <v>136536</v>
      </c>
      <c r="AG68">
        <v>161155</v>
      </c>
      <c r="AH68">
        <v>41554</v>
      </c>
      <c r="AI68">
        <v>2223051</v>
      </c>
      <c r="AJ68">
        <v>1082724</v>
      </c>
    </row>
    <row r="69" spans="1:36" x14ac:dyDescent="0.25">
      <c r="A69" t="s">
        <v>381</v>
      </c>
      <c r="D69">
        <v>729.59</v>
      </c>
      <c r="E69">
        <v>404.93839000000003</v>
      </c>
      <c r="F69">
        <v>137.07745</v>
      </c>
      <c r="G69">
        <v>233.2567</v>
      </c>
      <c r="H69">
        <v>192.78733</v>
      </c>
      <c r="I69" s="25">
        <v>139.61743000000001</v>
      </c>
      <c r="J69" s="85">
        <v>43.69847</v>
      </c>
      <c r="K69" s="85">
        <v>76.428889999999996</v>
      </c>
      <c r="L69" s="85">
        <v>20.878820000000001</v>
      </c>
      <c r="M69">
        <v>654.20000000000005</v>
      </c>
      <c r="N69">
        <v>5.85</v>
      </c>
      <c r="O69">
        <v>38.11</v>
      </c>
      <c r="P69">
        <v>31.52</v>
      </c>
      <c r="Q69" s="106">
        <v>150.22993</v>
      </c>
      <c r="R69">
        <v>133.81</v>
      </c>
      <c r="S69">
        <v>106.79</v>
      </c>
      <c r="T69">
        <v>29.85</v>
      </c>
      <c r="U69">
        <v>19.63</v>
      </c>
      <c r="V69">
        <v>72.63</v>
      </c>
      <c r="W69">
        <v>74.260000000000005</v>
      </c>
      <c r="X69" s="77">
        <v>131.88999999999999</v>
      </c>
      <c r="Y69">
        <v>83.9</v>
      </c>
      <c r="Z69">
        <v>364.5</v>
      </c>
      <c r="AA69">
        <v>312829</v>
      </c>
      <c r="AB69">
        <v>1144.162</v>
      </c>
      <c r="AC69">
        <v>1217923</v>
      </c>
      <c r="AD69">
        <v>134474</v>
      </c>
      <c r="AE69">
        <v>50914</v>
      </c>
      <c r="AF69">
        <v>134071</v>
      </c>
      <c r="AG69">
        <v>161001</v>
      </c>
      <c r="AH69">
        <v>44379</v>
      </c>
      <c r="AI69">
        <v>2238544</v>
      </c>
      <c r="AJ69">
        <v>1087909</v>
      </c>
    </row>
    <row r="70" spans="1:36" x14ac:dyDescent="0.25">
      <c r="A70" t="s">
        <v>382</v>
      </c>
      <c r="D70">
        <v>732.351</v>
      </c>
      <c r="E70">
        <v>404.71978999999999</v>
      </c>
      <c r="F70">
        <v>137.09669</v>
      </c>
      <c r="G70">
        <v>236.63135</v>
      </c>
      <c r="H70">
        <v>199.84658999999999</v>
      </c>
      <c r="I70" s="25">
        <v>143.68646000000001</v>
      </c>
      <c r="J70" s="85">
        <v>46.403129999999997</v>
      </c>
      <c r="K70" s="85">
        <v>77.170439999999999</v>
      </c>
      <c r="L70" s="85">
        <v>21.003830000000001</v>
      </c>
      <c r="M70">
        <v>658.23</v>
      </c>
      <c r="N70">
        <v>5.81</v>
      </c>
      <c r="O70">
        <v>37.229999999999997</v>
      </c>
      <c r="P70">
        <v>30.84</v>
      </c>
      <c r="Q70" s="106">
        <v>152.50344000000001</v>
      </c>
      <c r="R70">
        <v>135.91999999999999</v>
      </c>
      <c r="S70">
        <v>107.66</v>
      </c>
      <c r="T70">
        <v>30.15</v>
      </c>
      <c r="U70">
        <v>19.78</v>
      </c>
      <c r="V70">
        <v>72.930000000000007</v>
      </c>
      <c r="W70">
        <v>75.22</v>
      </c>
      <c r="X70" s="77">
        <v>132.22</v>
      </c>
      <c r="Y70">
        <v>84.4</v>
      </c>
      <c r="Z70">
        <v>363.2</v>
      </c>
      <c r="AA70">
        <v>311271</v>
      </c>
      <c r="AB70">
        <v>1154.4949999999999</v>
      </c>
      <c r="AC70">
        <v>1199662</v>
      </c>
      <c r="AD70">
        <v>130557</v>
      </c>
      <c r="AE70">
        <v>49401</v>
      </c>
      <c r="AF70">
        <v>134101</v>
      </c>
      <c r="AG70">
        <v>160294</v>
      </c>
      <c r="AH70">
        <v>40579</v>
      </c>
      <c r="AI70">
        <v>2226628</v>
      </c>
      <c r="AJ70">
        <v>1093289</v>
      </c>
    </row>
    <row r="71" spans="1:36" x14ac:dyDescent="0.25">
      <c r="A71" t="s">
        <v>383</v>
      </c>
      <c r="D71">
        <v>740.524</v>
      </c>
      <c r="E71">
        <v>408.32668999999999</v>
      </c>
      <c r="F71">
        <v>137.92822000000001</v>
      </c>
      <c r="G71">
        <v>244.20764</v>
      </c>
      <c r="H71">
        <v>204.84971999999999</v>
      </c>
      <c r="I71" s="25">
        <v>141.69798</v>
      </c>
      <c r="J71" s="85">
        <v>46.161850000000001</v>
      </c>
      <c r="K71" s="85">
        <v>74.519649999999999</v>
      </c>
      <c r="L71" s="85">
        <v>21.528659999999999</v>
      </c>
      <c r="M71">
        <v>665.03</v>
      </c>
      <c r="N71">
        <v>5.89</v>
      </c>
      <c r="O71">
        <v>35.65</v>
      </c>
      <c r="P71">
        <v>30.48</v>
      </c>
      <c r="Q71" s="106">
        <v>155.20687000000001</v>
      </c>
      <c r="R71">
        <v>140.22</v>
      </c>
      <c r="S71">
        <v>112.54</v>
      </c>
      <c r="T71">
        <v>30.74</v>
      </c>
      <c r="U71">
        <v>20.92</v>
      </c>
      <c r="V71">
        <v>73.459999999999994</v>
      </c>
      <c r="W71">
        <v>73.12</v>
      </c>
      <c r="X71" s="77">
        <v>131.65</v>
      </c>
      <c r="Y71">
        <v>85.1</v>
      </c>
      <c r="Z71">
        <v>374.9</v>
      </c>
      <c r="AA71">
        <v>320696</v>
      </c>
      <c r="AB71">
        <v>1172.5119999999999</v>
      </c>
      <c r="AC71">
        <v>1229651</v>
      </c>
      <c r="AD71">
        <v>130315</v>
      </c>
      <c r="AE71">
        <v>50012</v>
      </c>
      <c r="AF71">
        <v>131194</v>
      </c>
      <c r="AG71">
        <v>167928</v>
      </c>
      <c r="AH71">
        <v>39235</v>
      </c>
      <c r="AI71">
        <v>2258627</v>
      </c>
      <c r="AJ71">
        <v>1109254</v>
      </c>
    </row>
    <row r="72" spans="1:36" x14ac:dyDescent="0.25">
      <c r="A72" t="s">
        <v>384</v>
      </c>
      <c r="D72">
        <v>753.20600000000002</v>
      </c>
      <c r="E72">
        <v>410.29401000000001</v>
      </c>
      <c r="F72">
        <v>137.83208999999999</v>
      </c>
      <c r="G72">
        <v>251.86865</v>
      </c>
      <c r="H72">
        <v>207.97072</v>
      </c>
      <c r="I72" s="25">
        <v>151.58517000000001</v>
      </c>
      <c r="J72" s="85">
        <v>50.321890000000003</v>
      </c>
      <c r="K72" s="85">
        <v>80.057100000000005</v>
      </c>
      <c r="L72" s="85">
        <v>21.698530000000002</v>
      </c>
      <c r="M72">
        <v>676.5</v>
      </c>
      <c r="N72">
        <v>5.83</v>
      </c>
      <c r="O72">
        <v>37.74</v>
      </c>
      <c r="P72">
        <v>30.4</v>
      </c>
      <c r="Q72" s="106">
        <v>159.21681000000001</v>
      </c>
      <c r="R72">
        <v>144.9</v>
      </c>
      <c r="S72">
        <v>114.77</v>
      </c>
      <c r="T72">
        <v>30.83</v>
      </c>
      <c r="U72">
        <v>21.28</v>
      </c>
      <c r="V72">
        <v>73.959999999999994</v>
      </c>
      <c r="W72">
        <v>75.09</v>
      </c>
      <c r="X72" s="77">
        <v>132.41</v>
      </c>
      <c r="Y72">
        <v>86.3</v>
      </c>
      <c r="Z72">
        <v>342.7</v>
      </c>
      <c r="AA72">
        <v>318953</v>
      </c>
      <c r="AB72">
        <v>1173.143</v>
      </c>
      <c r="AC72">
        <v>1232870</v>
      </c>
      <c r="AD72">
        <v>134245</v>
      </c>
      <c r="AE72">
        <v>49833</v>
      </c>
      <c r="AF72">
        <v>131212</v>
      </c>
      <c r="AG72">
        <v>166270</v>
      </c>
      <c r="AH72">
        <v>39799</v>
      </c>
      <c r="AI72">
        <v>2265421</v>
      </c>
      <c r="AJ72">
        <v>1109801</v>
      </c>
    </row>
    <row r="73" spans="1:36" x14ac:dyDescent="0.25">
      <c r="A73" t="s">
        <v>385</v>
      </c>
      <c r="D73">
        <v>758.9</v>
      </c>
      <c r="E73">
        <v>410.25029999999998</v>
      </c>
      <c r="F73">
        <v>138.85106999999999</v>
      </c>
      <c r="G73">
        <v>258.85469999999998</v>
      </c>
      <c r="H73">
        <v>211.82096999999999</v>
      </c>
      <c r="I73" s="25">
        <v>151.7877</v>
      </c>
      <c r="J73" s="85">
        <v>48.96123</v>
      </c>
      <c r="K73" s="85">
        <v>82.166139999999999</v>
      </c>
      <c r="L73" s="85">
        <v>21.788270000000001</v>
      </c>
      <c r="M73">
        <v>683.16</v>
      </c>
      <c r="N73">
        <v>5.72</v>
      </c>
      <c r="O73">
        <v>38.630000000000003</v>
      </c>
      <c r="P73">
        <v>30.48</v>
      </c>
      <c r="Q73" s="106">
        <v>161.47243</v>
      </c>
      <c r="R73">
        <v>147.16999999999999</v>
      </c>
      <c r="S73">
        <v>115.75</v>
      </c>
      <c r="T73">
        <v>30.92</v>
      </c>
      <c r="U73">
        <v>21.71</v>
      </c>
      <c r="V73">
        <v>74.319999999999993</v>
      </c>
      <c r="W73">
        <v>76.680000000000007</v>
      </c>
      <c r="X73" s="77">
        <v>132.38999999999999</v>
      </c>
      <c r="Y73">
        <v>87.2</v>
      </c>
      <c r="Z73">
        <v>367.5</v>
      </c>
      <c r="AA73">
        <v>318148</v>
      </c>
      <c r="AB73">
        <v>1180.6679999999999</v>
      </c>
      <c r="AC73">
        <v>1241523</v>
      </c>
      <c r="AD73">
        <v>136279</v>
      </c>
      <c r="AE73">
        <v>49395</v>
      </c>
      <c r="AF73">
        <v>130110</v>
      </c>
      <c r="AG73">
        <v>164922</v>
      </c>
      <c r="AH73">
        <v>40455</v>
      </c>
      <c r="AI73">
        <v>2281009</v>
      </c>
      <c r="AJ73">
        <v>1114652</v>
      </c>
    </row>
    <row r="74" spans="1:36" x14ac:dyDescent="0.25">
      <c r="A74" t="s">
        <v>386</v>
      </c>
      <c r="D74">
        <v>770.02800000000002</v>
      </c>
      <c r="E74">
        <v>414.49095999999997</v>
      </c>
      <c r="F74">
        <v>139.25483</v>
      </c>
      <c r="G74">
        <v>273.63673999999997</v>
      </c>
      <c r="H74">
        <v>218.38385</v>
      </c>
      <c r="I74" s="25">
        <v>155.96719999999999</v>
      </c>
      <c r="J74" s="85">
        <v>51.180660000000003</v>
      </c>
      <c r="K74" s="85">
        <v>83.697360000000003</v>
      </c>
      <c r="L74" s="85">
        <v>21.964549999999999</v>
      </c>
      <c r="M74">
        <v>692.31</v>
      </c>
      <c r="N74">
        <v>5.79</v>
      </c>
      <c r="O74">
        <v>39.24</v>
      </c>
      <c r="P74">
        <v>30.72</v>
      </c>
      <c r="Q74" s="106">
        <v>163.26258000000001</v>
      </c>
      <c r="R74">
        <v>149.44</v>
      </c>
      <c r="S74">
        <v>119.18</v>
      </c>
      <c r="T74">
        <v>31.29</v>
      </c>
      <c r="U74">
        <v>22.03</v>
      </c>
      <c r="V74">
        <v>75.47</v>
      </c>
      <c r="W74">
        <v>78.03</v>
      </c>
      <c r="X74" s="77">
        <v>132.09</v>
      </c>
      <c r="Y74">
        <v>87.9</v>
      </c>
      <c r="Z74">
        <v>367.3</v>
      </c>
      <c r="AA74">
        <v>316067</v>
      </c>
      <c r="AB74">
        <v>1177.5419999999999</v>
      </c>
      <c r="AC74">
        <v>1204164</v>
      </c>
      <c r="AD74">
        <v>132981</v>
      </c>
      <c r="AE74">
        <v>47181</v>
      </c>
      <c r="AF74">
        <v>131365</v>
      </c>
      <c r="AG74">
        <v>164247</v>
      </c>
      <c r="AH74">
        <v>39465</v>
      </c>
      <c r="AI74">
        <v>2242233</v>
      </c>
      <c r="AJ74">
        <v>1114734</v>
      </c>
    </row>
    <row r="75" spans="1:36" x14ac:dyDescent="0.25">
      <c r="A75" t="s">
        <v>387</v>
      </c>
      <c r="D75">
        <v>771.04200000000003</v>
      </c>
      <c r="E75">
        <v>408.5453</v>
      </c>
      <c r="F75">
        <v>140.40360999999999</v>
      </c>
      <c r="G75">
        <v>271.56914999999998</v>
      </c>
      <c r="H75">
        <v>220.63791000000001</v>
      </c>
      <c r="I75" s="25">
        <v>156.10991000000001</v>
      </c>
      <c r="J75" s="85">
        <v>51.515239999999999</v>
      </c>
      <c r="K75" s="85">
        <v>82.85239</v>
      </c>
      <c r="L75" s="85">
        <v>22.406860000000002</v>
      </c>
      <c r="M75">
        <v>694.34</v>
      </c>
      <c r="N75">
        <v>5.88</v>
      </c>
      <c r="O75">
        <v>38.61</v>
      </c>
      <c r="P75">
        <v>30.54</v>
      </c>
      <c r="Q75" s="106">
        <v>164.10416000000001</v>
      </c>
      <c r="R75">
        <v>150</v>
      </c>
      <c r="S75">
        <v>116.77</v>
      </c>
      <c r="T75">
        <v>30.99</v>
      </c>
      <c r="U75">
        <v>24.26</v>
      </c>
      <c r="V75">
        <v>75.400000000000006</v>
      </c>
      <c r="W75">
        <v>78.41</v>
      </c>
      <c r="X75" s="77">
        <v>132.93</v>
      </c>
      <c r="Y75">
        <v>88</v>
      </c>
      <c r="Z75">
        <v>375.7</v>
      </c>
      <c r="AA75">
        <v>314433</v>
      </c>
      <c r="AB75">
        <v>1174.9390000000001</v>
      </c>
      <c r="AC75">
        <v>1229092</v>
      </c>
      <c r="AD75">
        <v>138497</v>
      </c>
      <c r="AE75">
        <v>47665</v>
      </c>
      <c r="AF75">
        <v>128720</v>
      </c>
      <c r="AG75">
        <v>163017</v>
      </c>
      <c r="AH75">
        <v>40335</v>
      </c>
      <c r="AI75">
        <v>2261535</v>
      </c>
      <c r="AJ75">
        <v>1110852</v>
      </c>
    </row>
    <row r="76" spans="1:36" x14ac:dyDescent="0.25">
      <c r="A76" t="s">
        <v>388</v>
      </c>
      <c r="D76">
        <v>776.13199999999995</v>
      </c>
      <c r="E76">
        <v>411.38695999999999</v>
      </c>
      <c r="F76">
        <v>140.90347</v>
      </c>
      <c r="G76">
        <v>278.41998000000001</v>
      </c>
      <c r="H76">
        <v>221.86303000000001</v>
      </c>
      <c r="I76" s="25">
        <v>154.69221999999999</v>
      </c>
      <c r="J76" s="85">
        <v>53.071069999999999</v>
      </c>
      <c r="K76" s="85">
        <v>78.73048</v>
      </c>
      <c r="L76" s="85">
        <v>22.6248</v>
      </c>
      <c r="M76">
        <v>701.32</v>
      </c>
      <c r="N76">
        <v>5.8</v>
      </c>
      <c r="O76">
        <v>36.93</v>
      </c>
      <c r="P76">
        <v>30.99</v>
      </c>
      <c r="Q76" s="106">
        <v>166.84311</v>
      </c>
      <c r="R76">
        <v>151.58000000000001</v>
      </c>
      <c r="S76">
        <v>118.87</v>
      </c>
      <c r="T76">
        <v>31.15</v>
      </c>
      <c r="U76">
        <v>23.84</v>
      </c>
      <c r="V76">
        <v>75.64</v>
      </c>
      <c r="W76">
        <v>80.08</v>
      </c>
      <c r="X76" s="77">
        <v>134.28</v>
      </c>
      <c r="Y76">
        <v>88.5</v>
      </c>
      <c r="Z76">
        <v>344.1</v>
      </c>
      <c r="AA76">
        <v>311417</v>
      </c>
      <c r="AB76">
        <v>1172.614</v>
      </c>
      <c r="AC76">
        <v>1230714</v>
      </c>
      <c r="AD76">
        <v>141160</v>
      </c>
      <c r="AE76">
        <v>48004</v>
      </c>
      <c r="AF76">
        <v>130609</v>
      </c>
      <c r="AG76">
        <v>162439</v>
      </c>
      <c r="AH76">
        <v>41563</v>
      </c>
      <c r="AI76">
        <v>2261965</v>
      </c>
      <c r="AJ76">
        <v>1106621</v>
      </c>
    </row>
    <row r="77" spans="1:36" x14ac:dyDescent="0.25">
      <c r="A77" t="s">
        <v>389</v>
      </c>
      <c r="D77">
        <v>780.1</v>
      </c>
      <c r="E77">
        <v>411.03721000000002</v>
      </c>
      <c r="F77">
        <v>140.88424000000001</v>
      </c>
      <c r="G77">
        <v>283.85336999999998</v>
      </c>
      <c r="H77">
        <v>226.67599000000001</v>
      </c>
      <c r="I77" s="25">
        <v>155.20773</v>
      </c>
      <c r="J77" s="85">
        <v>53.188180000000003</v>
      </c>
      <c r="K77" s="85">
        <v>79.077179999999998</v>
      </c>
      <c r="L77" s="85">
        <v>22.71454</v>
      </c>
      <c r="M77">
        <v>704.81</v>
      </c>
      <c r="N77">
        <v>5.75</v>
      </c>
      <c r="O77">
        <v>37.03</v>
      </c>
      <c r="P77">
        <v>30.89</v>
      </c>
      <c r="Q77" s="106">
        <v>168.74069</v>
      </c>
      <c r="R77">
        <v>153.38999999999999</v>
      </c>
      <c r="S77">
        <v>119.36</v>
      </c>
      <c r="T77">
        <v>31.2</v>
      </c>
      <c r="U77">
        <v>24.35</v>
      </c>
      <c r="V77">
        <v>75.709999999999994</v>
      </c>
      <c r="W77">
        <v>80.67</v>
      </c>
      <c r="X77" s="77">
        <v>133.91999999999999</v>
      </c>
      <c r="Y77">
        <v>88.4</v>
      </c>
      <c r="Z77">
        <v>367.7</v>
      </c>
      <c r="AA77">
        <v>309491</v>
      </c>
      <c r="AB77">
        <v>1172.1020000000001</v>
      </c>
      <c r="AC77">
        <v>1246427</v>
      </c>
      <c r="AD77">
        <v>141493</v>
      </c>
      <c r="AE77">
        <v>47866</v>
      </c>
      <c r="AF77">
        <v>131876</v>
      </c>
      <c r="AG77">
        <v>163220</v>
      </c>
      <c r="AH77">
        <v>45000</v>
      </c>
      <c r="AI77">
        <v>2278787</v>
      </c>
      <c r="AJ77">
        <v>1105707</v>
      </c>
    </row>
    <row r="78" spans="1:36" x14ac:dyDescent="0.25">
      <c r="A78" t="s">
        <v>390</v>
      </c>
      <c r="D78">
        <v>785.88</v>
      </c>
      <c r="E78">
        <v>410.51258999999999</v>
      </c>
      <c r="F78">
        <v>142.01854</v>
      </c>
      <c r="G78">
        <v>286.41820999999999</v>
      </c>
      <c r="H78">
        <v>226.61763999999999</v>
      </c>
      <c r="I78" s="25">
        <v>158.20877999999999</v>
      </c>
      <c r="J78" s="85">
        <v>54.944760000000002</v>
      </c>
      <c r="K78" s="85">
        <v>79.809110000000004</v>
      </c>
      <c r="L78" s="85">
        <v>22.964549999999999</v>
      </c>
      <c r="M78">
        <v>710.7</v>
      </c>
      <c r="N78">
        <v>5.74</v>
      </c>
      <c r="O78">
        <v>37.72</v>
      </c>
      <c r="P78">
        <v>30.54</v>
      </c>
      <c r="Q78" s="106">
        <v>170.45925</v>
      </c>
      <c r="R78">
        <v>154.79</v>
      </c>
      <c r="S78">
        <v>121.16</v>
      </c>
      <c r="T78">
        <v>31.38</v>
      </c>
      <c r="U78">
        <v>24.68</v>
      </c>
      <c r="V78">
        <v>76.42</v>
      </c>
      <c r="W78">
        <v>81.81</v>
      </c>
      <c r="X78" s="77">
        <v>133.6</v>
      </c>
      <c r="Y78">
        <v>88.5</v>
      </c>
      <c r="Z78">
        <v>366.4</v>
      </c>
      <c r="AA78">
        <v>306223</v>
      </c>
      <c r="AB78">
        <v>1166.723</v>
      </c>
      <c r="AC78">
        <v>1259680</v>
      </c>
      <c r="AD78">
        <v>145395</v>
      </c>
      <c r="AE78">
        <v>47024</v>
      </c>
      <c r="AF78">
        <v>135658</v>
      </c>
      <c r="AG78">
        <v>165018</v>
      </c>
      <c r="AH78">
        <v>46218</v>
      </c>
      <c r="AI78">
        <v>2288957</v>
      </c>
      <c r="AJ78">
        <v>1101262</v>
      </c>
    </row>
    <row r="79" spans="1:36" x14ac:dyDescent="0.25">
      <c r="A79" t="s">
        <v>391</v>
      </c>
      <c r="D79">
        <v>790.495</v>
      </c>
      <c r="E79">
        <v>411.60552999999999</v>
      </c>
      <c r="F79">
        <v>144.46510000000001</v>
      </c>
      <c r="G79">
        <v>288.72958</v>
      </c>
      <c r="H79">
        <v>228.30957000000001</v>
      </c>
      <c r="I79" s="25">
        <v>160.33081999999999</v>
      </c>
      <c r="J79" s="85">
        <v>54.125030000000002</v>
      </c>
      <c r="K79" s="85">
        <v>82.625889999999998</v>
      </c>
      <c r="L79" s="85">
        <v>23.599150000000002</v>
      </c>
      <c r="M79">
        <v>714.34</v>
      </c>
      <c r="N79">
        <v>6.59</v>
      </c>
      <c r="O79">
        <v>38.590000000000003</v>
      </c>
      <c r="P79">
        <v>30.37</v>
      </c>
      <c r="Q79" s="106">
        <v>168.91092</v>
      </c>
      <c r="R79">
        <v>153.33000000000001</v>
      </c>
      <c r="S79">
        <v>120.59</v>
      </c>
      <c r="T79">
        <v>31.95</v>
      </c>
      <c r="U79">
        <v>25.09</v>
      </c>
      <c r="V79">
        <v>76.33</v>
      </c>
      <c r="W79">
        <v>81.739999999999995</v>
      </c>
      <c r="X79" s="77">
        <v>137.57</v>
      </c>
      <c r="Y79">
        <v>88.2</v>
      </c>
      <c r="Z79">
        <v>371.4</v>
      </c>
      <c r="AA79">
        <v>303525</v>
      </c>
      <c r="AB79">
        <v>1158.2739999999999</v>
      </c>
      <c r="AC79">
        <v>1293073</v>
      </c>
      <c r="AD79">
        <v>152925</v>
      </c>
      <c r="AE79">
        <v>47889</v>
      </c>
      <c r="AF79">
        <v>134440</v>
      </c>
      <c r="AG79">
        <v>165484</v>
      </c>
      <c r="AH79">
        <v>47445</v>
      </c>
      <c r="AI79">
        <v>2316543</v>
      </c>
      <c r="AJ79">
        <v>1095032</v>
      </c>
    </row>
    <row r="80" spans="1:36" x14ac:dyDescent="0.25">
      <c r="A80" t="s">
        <v>392</v>
      </c>
      <c r="D80">
        <v>787.649</v>
      </c>
      <c r="E80">
        <v>409.98795000000001</v>
      </c>
      <c r="F80">
        <v>147.19521</v>
      </c>
      <c r="G80">
        <v>287.34598999999997</v>
      </c>
      <c r="H80">
        <v>225.83016000000001</v>
      </c>
      <c r="I80" s="25">
        <v>157.38493</v>
      </c>
      <c r="J80" s="85">
        <v>54.643630000000002</v>
      </c>
      <c r="K80" s="85">
        <v>78.311620000000005</v>
      </c>
      <c r="L80" s="85">
        <v>23.829910000000002</v>
      </c>
      <c r="M80">
        <v>712.79</v>
      </c>
      <c r="N80">
        <v>6.5</v>
      </c>
      <c r="O80">
        <v>36.32</v>
      </c>
      <c r="P80">
        <v>30.29</v>
      </c>
      <c r="Q80" s="106">
        <v>168.24851000000001</v>
      </c>
      <c r="R80">
        <v>151.51</v>
      </c>
      <c r="S80">
        <v>119.34</v>
      </c>
      <c r="T80">
        <v>32.07</v>
      </c>
      <c r="U80">
        <v>25.07</v>
      </c>
      <c r="V80">
        <v>77.45</v>
      </c>
      <c r="W80">
        <v>82.26</v>
      </c>
      <c r="X80" s="77">
        <v>137.97999999999999</v>
      </c>
      <c r="Y80">
        <v>87.6</v>
      </c>
      <c r="Z80">
        <v>347.8</v>
      </c>
      <c r="AA80">
        <v>304422</v>
      </c>
      <c r="AB80">
        <v>1160.335</v>
      </c>
      <c r="AC80">
        <v>1309279</v>
      </c>
      <c r="AD80">
        <v>158218</v>
      </c>
      <c r="AE80">
        <v>47643</v>
      </c>
      <c r="AF80">
        <v>134457</v>
      </c>
      <c r="AG80">
        <v>166140</v>
      </c>
      <c r="AH80">
        <v>48460</v>
      </c>
      <c r="AI80">
        <v>2333834</v>
      </c>
      <c r="AJ80">
        <v>1096005</v>
      </c>
    </row>
    <row r="81" spans="1:36" x14ac:dyDescent="0.25">
      <c r="A81" t="s">
        <v>393</v>
      </c>
      <c r="D81">
        <v>783.33500000000004</v>
      </c>
      <c r="E81">
        <v>410.25027</v>
      </c>
      <c r="F81">
        <v>146.36849000000001</v>
      </c>
      <c r="G81">
        <v>284.91629</v>
      </c>
      <c r="H81">
        <v>230.05974000000001</v>
      </c>
      <c r="I81" s="25">
        <v>157.40333000000001</v>
      </c>
      <c r="J81" s="85">
        <v>54.92803</v>
      </c>
      <c r="K81" s="85">
        <v>77.810860000000005</v>
      </c>
      <c r="L81" s="85">
        <v>23.954920000000001</v>
      </c>
      <c r="M81">
        <v>707.83</v>
      </c>
      <c r="N81">
        <v>6.53</v>
      </c>
      <c r="O81">
        <v>35.81</v>
      </c>
      <c r="P81">
        <v>30.06</v>
      </c>
      <c r="Q81" s="106">
        <v>165.07975999999999</v>
      </c>
      <c r="R81">
        <v>149.04</v>
      </c>
      <c r="S81">
        <v>119.05</v>
      </c>
      <c r="T81">
        <v>32.01</v>
      </c>
      <c r="U81">
        <v>25.24</v>
      </c>
      <c r="V81">
        <v>76.94</v>
      </c>
      <c r="W81">
        <v>81.53</v>
      </c>
      <c r="X81" s="77">
        <v>138.47</v>
      </c>
      <c r="Y81">
        <v>86.5</v>
      </c>
      <c r="Z81">
        <v>366.6</v>
      </c>
      <c r="AA81">
        <v>304257</v>
      </c>
      <c r="AB81">
        <v>1161.3689999999999</v>
      </c>
      <c r="AC81">
        <v>1329150</v>
      </c>
      <c r="AD81">
        <v>158606</v>
      </c>
      <c r="AE81">
        <v>47806</v>
      </c>
      <c r="AF81">
        <v>134663</v>
      </c>
      <c r="AG81">
        <v>167070</v>
      </c>
      <c r="AH81">
        <v>48956</v>
      </c>
      <c r="AI81">
        <v>2354968</v>
      </c>
      <c r="AJ81">
        <v>1097098</v>
      </c>
    </row>
    <row r="82" spans="1:36" x14ac:dyDescent="0.25">
      <c r="A82" t="s">
        <v>394</v>
      </c>
      <c r="D82">
        <v>771.17100000000005</v>
      </c>
      <c r="E82">
        <v>407.93320999999997</v>
      </c>
      <c r="F82">
        <v>147.59896000000001</v>
      </c>
      <c r="G82">
        <v>268.98824000000002</v>
      </c>
      <c r="H82">
        <v>222.27149</v>
      </c>
      <c r="I82" s="25">
        <v>155.10185000000001</v>
      </c>
      <c r="J82" s="85">
        <v>52.797820000000002</v>
      </c>
      <c r="K82" s="85">
        <v>77.627880000000005</v>
      </c>
      <c r="L82" s="85">
        <v>24.27543</v>
      </c>
      <c r="M82">
        <v>694.96</v>
      </c>
      <c r="N82">
        <v>6.5</v>
      </c>
      <c r="O82">
        <v>35.81</v>
      </c>
      <c r="P82">
        <v>29.95</v>
      </c>
      <c r="Q82" s="106">
        <v>154.87529000000001</v>
      </c>
      <c r="R82">
        <v>139.38999999999999</v>
      </c>
      <c r="S82">
        <v>117.4</v>
      </c>
      <c r="T82">
        <v>31.9</v>
      </c>
      <c r="U82">
        <v>25.46</v>
      </c>
      <c r="V82">
        <v>76.47</v>
      </c>
      <c r="W82">
        <v>81.66</v>
      </c>
      <c r="X82" s="77">
        <v>138.58000000000001</v>
      </c>
      <c r="Y82">
        <v>84.9</v>
      </c>
      <c r="Z82">
        <v>361.1</v>
      </c>
      <c r="AA82">
        <v>302782</v>
      </c>
      <c r="AB82">
        <v>1157.413</v>
      </c>
      <c r="AC82">
        <v>1332643</v>
      </c>
      <c r="AD82">
        <v>157409</v>
      </c>
      <c r="AE82">
        <v>52144</v>
      </c>
      <c r="AF82">
        <v>138946</v>
      </c>
      <c r="AG82">
        <v>169395</v>
      </c>
      <c r="AH82">
        <v>51723</v>
      </c>
      <c r="AI82">
        <v>2357525</v>
      </c>
      <c r="AJ82">
        <v>1093389</v>
      </c>
    </row>
    <row r="83" spans="1:36" x14ac:dyDescent="0.25">
      <c r="A83" t="s">
        <v>395</v>
      </c>
      <c r="D83">
        <v>735.02499999999998</v>
      </c>
      <c r="E83">
        <v>411.21213</v>
      </c>
      <c r="F83">
        <v>149.54080999999999</v>
      </c>
      <c r="G83">
        <v>237.50038000000001</v>
      </c>
      <c r="H83">
        <v>208.71440000000001</v>
      </c>
      <c r="I83" s="25">
        <v>142.50810999999999</v>
      </c>
      <c r="J83" s="85">
        <v>43.897820000000003</v>
      </c>
      <c r="K83" s="85">
        <v>75.634379999999993</v>
      </c>
      <c r="L83" s="85">
        <v>23.609559999999998</v>
      </c>
      <c r="M83">
        <v>659.47</v>
      </c>
      <c r="N83">
        <v>6.31</v>
      </c>
      <c r="O83">
        <v>35.99</v>
      </c>
      <c r="P83">
        <v>29.01</v>
      </c>
      <c r="Q83" s="17">
        <v>135.02202</v>
      </c>
      <c r="R83">
        <v>116.28</v>
      </c>
      <c r="S83">
        <v>112.66</v>
      </c>
      <c r="T83">
        <v>30.98</v>
      </c>
      <c r="U83">
        <v>24.23</v>
      </c>
      <c r="V83">
        <v>77.53</v>
      </c>
      <c r="W83">
        <v>74.34</v>
      </c>
      <c r="X83" s="77">
        <v>139.07</v>
      </c>
      <c r="Y83">
        <v>75.3</v>
      </c>
      <c r="Z83">
        <v>362.7</v>
      </c>
      <c r="AA83">
        <v>301180</v>
      </c>
      <c r="AB83">
        <v>1150.778</v>
      </c>
      <c r="AC83">
        <v>1363117</v>
      </c>
      <c r="AD83">
        <v>160866</v>
      </c>
      <c r="AE83">
        <v>62753</v>
      </c>
      <c r="AF83">
        <v>131027</v>
      </c>
      <c r="AG83">
        <v>183898</v>
      </c>
      <c r="AH83">
        <v>51894</v>
      </c>
      <c r="AI83">
        <v>2383547</v>
      </c>
      <c r="AJ83">
        <v>1087452</v>
      </c>
    </row>
    <row r="84" spans="1:36" x14ac:dyDescent="0.25">
      <c r="A84" t="s">
        <v>396</v>
      </c>
      <c r="D84">
        <v>736.83600000000001</v>
      </c>
      <c r="E84">
        <v>412.78595999999999</v>
      </c>
      <c r="F84">
        <v>150.54056</v>
      </c>
      <c r="G84">
        <v>235.57660999999999</v>
      </c>
      <c r="H84">
        <v>198.12553</v>
      </c>
      <c r="I84" s="25">
        <v>142.85792000000001</v>
      </c>
      <c r="J84" s="85">
        <v>43.407089999999997</v>
      </c>
      <c r="K84" s="85">
        <v>76.212190000000007</v>
      </c>
      <c r="L84" s="85">
        <v>23.97175</v>
      </c>
      <c r="M84">
        <v>660.86</v>
      </c>
      <c r="N84">
        <v>6.31</v>
      </c>
      <c r="O84">
        <v>35.89</v>
      </c>
      <c r="P84">
        <v>28.3</v>
      </c>
      <c r="Q84" s="17">
        <v>135.21897000000001</v>
      </c>
      <c r="R84">
        <v>117.24</v>
      </c>
      <c r="S84">
        <v>112.4</v>
      </c>
      <c r="T84">
        <v>31.16</v>
      </c>
      <c r="U84">
        <v>24.65</v>
      </c>
      <c r="V84">
        <v>78.53</v>
      </c>
      <c r="W84">
        <v>73.72</v>
      </c>
      <c r="X84" s="77">
        <v>140.19999999999999</v>
      </c>
      <c r="Y84">
        <v>70.3</v>
      </c>
      <c r="Z84">
        <v>330.6</v>
      </c>
      <c r="AA84">
        <v>300855</v>
      </c>
      <c r="AB84">
        <v>1149.694</v>
      </c>
      <c r="AC84">
        <v>1365515</v>
      </c>
      <c r="AD84">
        <v>160403</v>
      </c>
      <c r="AE84">
        <v>63443</v>
      </c>
      <c r="AF84">
        <v>128847</v>
      </c>
      <c r="AG84">
        <v>181164</v>
      </c>
      <c r="AH84">
        <v>50660</v>
      </c>
      <c r="AI84">
        <v>2388461</v>
      </c>
      <c r="AJ84">
        <v>1087373</v>
      </c>
    </row>
    <row r="85" spans="1:36" x14ac:dyDescent="0.25">
      <c r="A85" t="s">
        <v>397</v>
      </c>
      <c r="D85">
        <v>741.40899999999999</v>
      </c>
      <c r="E85">
        <v>411.47440999999998</v>
      </c>
      <c r="F85">
        <v>151.65566999999999</v>
      </c>
      <c r="G85">
        <v>243.06917999999999</v>
      </c>
      <c r="H85">
        <v>204.95141000000001</v>
      </c>
      <c r="I85" s="25">
        <v>142.78429</v>
      </c>
      <c r="J85" s="85">
        <v>42.916359999999997</v>
      </c>
      <c r="K85" s="85">
        <v>76.645539999999997</v>
      </c>
      <c r="L85" s="85">
        <v>24.061489999999999</v>
      </c>
      <c r="M85">
        <v>665.13</v>
      </c>
      <c r="N85">
        <v>6.32</v>
      </c>
      <c r="O85">
        <v>35.86</v>
      </c>
      <c r="P85">
        <v>28.11</v>
      </c>
      <c r="Q85" s="17">
        <v>139.12173999999999</v>
      </c>
      <c r="R85">
        <v>120.31</v>
      </c>
      <c r="S85">
        <v>112</v>
      </c>
      <c r="T85">
        <v>31.16</v>
      </c>
      <c r="U85">
        <v>24.96</v>
      </c>
      <c r="V85">
        <v>78.760000000000005</v>
      </c>
      <c r="W85">
        <v>72.95</v>
      </c>
      <c r="X85" s="77">
        <v>141</v>
      </c>
      <c r="Y85">
        <v>70.8</v>
      </c>
      <c r="Z85">
        <v>356.7</v>
      </c>
      <c r="AA85">
        <v>300705</v>
      </c>
      <c r="AB85">
        <v>1149.2439999999999</v>
      </c>
      <c r="AC85">
        <v>1346659</v>
      </c>
      <c r="AD85">
        <v>155371</v>
      </c>
      <c r="AE85">
        <v>62716</v>
      </c>
      <c r="AF85">
        <v>126151</v>
      </c>
      <c r="AG85">
        <v>180881</v>
      </c>
      <c r="AH85">
        <v>49967</v>
      </c>
      <c r="AI85">
        <v>2375557</v>
      </c>
      <c r="AJ85">
        <v>1092084</v>
      </c>
    </row>
    <row r="86" spans="1:36" x14ac:dyDescent="0.25">
      <c r="A86" t="s">
        <v>398</v>
      </c>
      <c r="D86">
        <v>747.10299999999995</v>
      </c>
      <c r="E86">
        <v>411.86786000000001</v>
      </c>
      <c r="F86">
        <v>151.48265000000001</v>
      </c>
      <c r="G86">
        <v>250.08922999999999</v>
      </c>
      <c r="H86">
        <v>203.11366000000001</v>
      </c>
      <c r="I86" s="25">
        <v>141.32973999999999</v>
      </c>
      <c r="J86" s="85">
        <v>41.527819999999998</v>
      </c>
      <c r="K86" s="85">
        <v>76.751459999999994</v>
      </c>
      <c r="L86" s="85">
        <v>24.093540000000001</v>
      </c>
      <c r="M86">
        <v>670.01</v>
      </c>
      <c r="N86">
        <v>6.29</v>
      </c>
      <c r="O86">
        <v>35.71</v>
      </c>
      <c r="P86">
        <v>28.68</v>
      </c>
      <c r="Q86" s="17">
        <v>140.89411000000001</v>
      </c>
      <c r="R86">
        <v>121.87</v>
      </c>
      <c r="S86">
        <v>112.52</v>
      </c>
      <c r="T86">
        <v>31.17</v>
      </c>
      <c r="U86">
        <v>25.4</v>
      </c>
      <c r="V86">
        <v>79.09</v>
      </c>
      <c r="W86">
        <v>73.290000000000006</v>
      </c>
      <c r="X86" s="77">
        <v>141.87</v>
      </c>
      <c r="Y86">
        <v>72.8</v>
      </c>
      <c r="Z86">
        <v>356.7</v>
      </c>
      <c r="AA86">
        <v>301376</v>
      </c>
      <c r="AB86">
        <v>1155.0640000000001</v>
      </c>
      <c r="AC86">
        <v>1327143</v>
      </c>
      <c r="AD86">
        <v>145844</v>
      </c>
      <c r="AE86">
        <v>63221</v>
      </c>
      <c r="AF86">
        <v>122109</v>
      </c>
      <c r="AG86">
        <v>181193</v>
      </c>
      <c r="AH86">
        <v>46524</v>
      </c>
      <c r="AI86">
        <v>2357591</v>
      </c>
      <c r="AJ86">
        <v>1094688</v>
      </c>
    </row>
    <row r="87" spans="1:36" x14ac:dyDescent="0.25">
      <c r="A87" t="s">
        <v>399</v>
      </c>
      <c r="D87">
        <v>752.53700000000003</v>
      </c>
      <c r="E87">
        <v>409.28856000000002</v>
      </c>
      <c r="F87">
        <v>153.23222000000001</v>
      </c>
      <c r="G87">
        <v>257.53003000000001</v>
      </c>
      <c r="H87">
        <v>216.54741999999999</v>
      </c>
      <c r="I87" s="25">
        <v>142.72905</v>
      </c>
      <c r="J87" s="85">
        <v>44.58372</v>
      </c>
      <c r="K87" s="85">
        <v>74.404079999999993</v>
      </c>
      <c r="L87" s="85">
        <v>24.14001</v>
      </c>
      <c r="M87">
        <v>680.63</v>
      </c>
      <c r="N87">
        <v>6.18</v>
      </c>
      <c r="O87">
        <v>36.03</v>
      </c>
      <c r="P87">
        <v>29.67</v>
      </c>
      <c r="Q87" s="17">
        <v>154.83097000000001</v>
      </c>
      <c r="R87">
        <v>135.28</v>
      </c>
      <c r="S87">
        <v>107.3</v>
      </c>
      <c r="T87">
        <v>30.73</v>
      </c>
      <c r="U87">
        <v>24.35</v>
      </c>
      <c r="V87">
        <v>77.56</v>
      </c>
      <c r="W87">
        <v>75.34</v>
      </c>
      <c r="X87" s="77">
        <v>142.5</v>
      </c>
      <c r="Y87">
        <v>74.5</v>
      </c>
      <c r="Z87">
        <v>361.5</v>
      </c>
      <c r="AA87">
        <v>299575</v>
      </c>
      <c r="AB87">
        <v>1151.527</v>
      </c>
      <c r="AC87">
        <v>1320751</v>
      </c>
      <c r="AD87">
        <v>143948</v>
      </c>
      <c r="AE87">
        <v>63743</v>
      </c>
      <c r="AF87">
        <v>122162</v>
      </c>
      <c r="AG87">
        <v>179502</v>
      </c>
      <c r="AH87">
        <v>44919</v>
      </c>
      <c r="AI87">
        <v>2347074</v>
      </c>
      <c r="AJ87">
        <v>1090421</v>
      </c>
    </row>
    <row r="88" spans="1:36" x14ac:dyDescent="0.25">
      <c r="A88" t="s">
        <v>400</v>
      </c>
      <c r="D88">
        <v>768.84199999999998</v>
      </c>
      <c r="E88">
        <v>413.22320999999999</v>
      </c>
      <c r="F88">
        <v>151.92483999999999</v>
      </c>
      <c r="G88">
        <v>275.68637999999999</v>
      </c>
      <c r="H88">
        <v>232.12343000000001</v>
      </c>
      <c r="I88" s="25">
        <v>152.10069999999999</v>
      </c>
      <c r="J88" s="85">
        <v>47.427709999999998</v>
      </c>
      <c r="K88" s="85">
        <v>81.077920000000006</v>
      </c>
      <c r="L88" s="85">
        <v>24.271429999999999</v>
      </c>
      <c r="M88">
        <v>691.71</v>
      </c>
      <c r="N88">
        <v>6.19</v>
      </c>
      <c r="O88">
        <v>38.630000000000003</v>
      </c>
      <c r="P88">
        <v>30.31</v>
      </c>
      <c r="Q88" s="17">
        <v>160.14774</v>
      </c>
      <c r="R88">
        <v>140.86000000000001</v>
      </c>
      <c r="S88">
        <v>109.65</v>
      </c>
      <c r="T88">
        <v>30.66</v>
      </c>
      <c r="U88">
        <v>24.4</v>
      </c>
      <c r="V88">
        <v>77.11</v>
      </c>
      <c r="W88">
        <v>76.099999999999994</v>
      </c>
      <c r="X88" s="77">
        <v>142.38999999999999</v>
      </c>
      <c r="Y88">
        <v>79.400000000000006</v>
      </c>
      <c r="Z88">
        <v>336.1</v>
      </c>
      <c r="AA88">
        <v>298953</v>
      </c>
      <c r="AB88">
        <v>1157.624</v>
      </c>
      <c r="AC88">
        <v>1339154</v>
      </c>
      <c r="AD88">
        <v>143517</v>
      </c>
      <c r="AE88">
        <v>64183</v>
      </c>
      <c r="AF88">
        <v>120566</v>
      </c>
      <c r="AG88">
        <v>177288</v>
      </c>
      <c r="AH88">
        <v>44145</v>
      </c>
      <c r="AI88">
        <v>2368056</v>
      </c>
      <c r="AJ88">
        <v>1091013</v>
      </c>
    </row>
    <row r="89" spans="1:36" s="56" customFormat="1" x14ac:dyDescent="0.25">
      <c r="A89" t="s">
        <v>401</v>
      </c>
      <c r="B89"/>
      <c r="C89"/>
      <c r="D89">
        <v>776.26099999999997</v>
      </c>
      <c r="E89">
        <v>415.23423000000003</v>
      </c>
      <c r="F89">
        <v>153.71287000000001</v>
      </c>
      <c r="G89">
        <v>280.14109999999999</v>
      </c>
      <c r="H89">
        <v>231.54006999999999</v>
      </c>
      <c r="I89" s="25">
        <v>153.40795</v>
      </c>
      <c r="J89" s="85">
        <v>49.061599999999999</v>
      </c>
      <c r="K89" s="85">
        <v>80.365269999999995</v>
      </c>
      <c r="L89" s="85">
        <v>24.364370000000001</v>
      </c>
      <c r="M89">
        <v>698.45</v>
      </c>
      <c r="N89">
        <v>6.18</v>
      </c>
      <c r="O89">
        <v>37.64</v>
      </c>
      <c r="P89">
        <v>30.75</v>
      </c>
      <c r="Q89" s="17">
        <v>162.58235999999999</v>
      </c>
      <c r="R89">
        <v>143.27000000000001</v>
      </c>
      <c r="S89">
        <v>111.47</v>
      </c>
      <c r="T89">
        <v>30.66</v>
      </c>
      <c r="U89">
        <v>24.68</v>
      </c>
      <c r="V89">
        <v>77.61</v>
      </c>
      <c r="W89">
        <v>77.03</v>
      </c>
      <c r="X89" s="77">
        <v>143.26</v>
      </c>
      <c r="Y89">
        <v>82</v>
      </c>
      <c r="Z89">
        <v>362</v>
      </c>
      <c r="AA89">
        <v>300219</v>
      </c>
      <c r="AB89">
        <v>1151.8520000000001</v>
      </c>
      <c r="AC89">
        <v>1320023</v>
      </c>
      <c r="AD89">
        <v>138068</v>
      </c>
      <c r="AE89">
        <v>63412</v>
      </c>
      <c r="AF89">
        <v>120079</v>
      </c>
      <c r="AG89">
        <v>176833</v>
      </c>
      <c r="AH89">
        <v>46751</v>
      </c>
      <c r="AI89">
        <v>2353929</v>
      </c>
      <c r="AJ89">
        <v>1096601</v>
      </c>
    </row>
    <row r="90" spans="1:36" x14ac:dyDescent="0.25">
      <c r="A90" t="s">
        <v>402</v>
      </c>
      <c r="D90">
        <v>781.351</v>
      </c>
      <c r="E90">
        <v>417.24525</v>
      </c>
      <c r="F90">
        <v>154.09738999999999</v>
      </c>
      <c r="G90">
        <v>285.60827999999998</v>
      </c>
      <c r="H90">
        <v>234.36940999999999</v>
      </c>
      <c r="I90" s="45">
        <v>151.65881999999999</v>
      </c>
      <c r="J90" s="45">
        <v>49.474269999999997</v>
      </c>
      <c r="K90" s="45">
        <v>77.697670000000002</v>
      </c>
      <c r="L90" s="45">
        <v>24.550260000000002</v>
      </c>
      <c r="M90">
        <v>702.56</v>
      </c>
      <c r="N90">
        <v>6.32</v>
      </c>
      <c r="O90">
        <v>36.18</v>
      </c>
      <c r="P90">
        <v>31.01</v>
      </c>
      <c r="Q90" s="17">
        <v>167.21887000000001</v>
      </c>
      <c r="R90">
        <v>147.57</v>
      </c>
      <c r="S90">
        <v>110.62</v>
      </c>
      <c r="T90">
        <v>30.59</v>
      </c>
      <c r="U90">
        <v>24.93</v>
      </c>
      <c r="V90">
        <v>77.61</v>
      </c>
      <c r="W90">
        <v>77.540000000000006</v>
      </c>
      <c r="X90" s="77">
        <v>143.04</v>
      </c>
      <c r="Y90">
        <v>83.5</v>
      </c>
      <c r="Z90">
        <v>365.6</v>
      </c>
      <c r="AA90">
        <v>302374</v>
      </c>
      <c r="AB90">
        <v>1153.7570000000001</v>
      </c>
      <c r="AC90">
        <v>1317228</v>
      </c>
      <c r="AD90">
        <v>134120</v>
      </c>
      <c r="AE90">
        <v>61706</v>
      </c>
      <c r="AF90">
        <v>120343</v>
      </c>
      <c r="AG90">
        <v>178548</v>
      </c>
      <c r="AH90">
        <v>46817</v>
      </c>
      <c r="AI90">
        <v>2352904</v>
      </c>
      <c r="AJ90">
        <v>1101602</v>
      </c>
    </row>
    <row r="91" spans="1:36" x14ac:dyDescent="0.25">
      <c r="A91" t="s">
        <v>403</v>
      </c>
      <c r="D91">
        <v>795.47699999999998</v>
      </c>
      <c r="E91">
        <v>416.16332</v>
      </c>
      <c r="F91">
        <v>153.93880999999999</v>
      </c>
      <c r="G91">
        <v>292.66989000000001</v>
      </c>
      <c r="H91">
        <v>240.39347000000001</v>
      </c>
      <c r="I91" s="45">
        <v>159.52522999999999</v>
      </c>
      <c r="J91" s="45">
        <v>50.599330000000002</v>
      </c>
      <c r="K91" s="45">
        <v>84.07535</v>
      </c>
      <c r="L91" s="45">
        <v>25.349930000000001</v>
      </c>
      <c r="M91">
        <v>716.51</v>
      </c>
      <c r="N91">
        <v>6.43</v>
      </c>
      <c r="O91">
        <v>38.299999999999997</v>
      </c>
      <c r="P91">
        <v>32.130000000000003</v>
      </c>
      <c r="Q91" s="17">
        <v>168.57505</v>
      </c>
      <c r="R91">
        <v>152.85</v>
      </c>
      <c r="S91">
        <v>113.57</v>
      </c>
      <c r="T91">
        <v>30.87</v>
      </c>
      <c r="U91">
        <v>27.09</v>
      </c>
      <c r="V91">
        <v>80.64</v>
      </c>
      <c r="W91">
        <v>76.84</v>
      </c>
      <c r="X91" s="77">
        <v>144.52000000000001</v>
      </c>
      <c r="Y91">
        <v>84.7</v>
      </c>
      <c r="Z91">
        <v>368.2</v>
      </c>
      <c r="AA91">
        <v>300497</v>
      </c>
      <c r="AB91">
        <v>1150.433</v>
      </c>
      <c r="AC91">
        <v>1324950</v>
      </c>
      <c r="AD91">
        <v>137995</v>
      </c>
      <c r="AE91">
        <v>61754</v>
      </c>
      <c r="AF91">
        <v>121798</v>
      </c>
      <c r="AG91">
        <v>175810</v>
      </c>
      <c r="AH91">
        <v>47041</v>
      </c>
      <c r="AI91">
        <v>2358721</v>
      </c>
      <c r="AJ91">
        <v>1098862</v>
      </c>
    </row>
    <row r="92" spans="1:36" x14ac:dyDescent="0.25">
      <c r="A92" t="s">
        <v>404</v>
      </c>
      <c r="D92">
        <v>797.63400000000001</v>
      </c>
      <c r="E92">
        <v>417.99948999999998</v>
      </c>
      <c r="F92">
        <v>154.57324</v>
      </c>
      <c r="G92">
        <v>296.68599</v>
      </c>
      <c r="H92">
        <v>246.25672</v>
      </c>
      <c r="I92" s="45">
        <v>160.99824000000001</v>
      </c>
      <c r="J92" s="45">
        <v>50.655090000000001</v>
      </c>
      <c r="K92" s="45">
        <v>85.365840000000006</v>
      </c>
      <c r="L92" s="45">
        <v>25.574290000000001</v>
      </c>
      <c r="M92">
        <v>717.83</v>
      </c>
      <c r="N92">
        <v>6.44</v>
      </c>
      <c r="O92">
        <v>38.5</v>
      </c>
      <c r="P92">
        <v>32.9</v>
      </c>
      <c r="Q92" s="17">
        <v>169.23746</v>
      </c>
      <c r="R92">
        <v>154.18</v>
      </c>
      <c r="S92">
        <v>113.65</v>
      </c>
      <c r="T92">
        <v>30.59</v>
      </c>
      <c r="U92">
        <v>27.44</v>
      </c>
      <c r="V92">
        <v>80.42</v>
      </c>
      <c r="W92">
        <v>76.58</v>
      </c>
      <c r="X92" s="77">
        <v>144.38999999999999</v>
      </c>
      <c r="Y92">
        <v>85.8</v>
      </c>
      <c r="Z92">
        <v>337.7</v>
      </c>
      <c r="AA92">
        <v>301289</v>
      </c>
      <c r="AB92">
        <v>1163.6869999999999</v>
      </c>
      <c r="AC92">
        <v>1337173</v>
      </c>
      <c r="AD92">
        <v>137142</v>
      </c>
      <c r="AE92">
        <v>60665</v>
      </c>
      <c r="AF92">
        <v>121630</v>
      </c>
      <c r="AG92">
        <v>178324</v>
      </c>
      <c r="AH92">
        <v>44551</v>
      </c>
      <c r="AI92">
        <v>2374911</v>
      </c>
      <c r="AJ92">
        <v>1102752</v>
      </c>
    </row>
    <row r="93" spans="1:36" x14ac:dyDescent="0.25">
      <c r="A93" t="s">
        <v>405</v>
      </c>
      <c r="D93">
        <v>801.947</v>
      </c>
      <c r="E93">
        <v>419.66084000000001</v>
      </c>
      <c r="F93">
        <v>154.80394000000001</v>
      </c>
      <c r="G93">
        <v>299.92588999999998</v>
      </c>
      <c r="H93">
        <v>246.37341000000001</v>
      </c>
      <c r="I93" s="45">
        <v>163.02360999999999</v>
      </c>
      <c r="J93" s="45">
        <v>52.896769999999997</v>
      </c>
      <c r="K93" s="45">
        <v>84.672439999999995</v>
      </c>
      <c r="L93" s="45">
        <v>25.715330000000002</v>
      </c>
      <c r="M93">
        <v>722.63</v>
      </c>
      <c r="N93">
        <v>6.48</v>
      </c>
      <c r="O93">
        <v>37.83</v>
      </c>
      <c r="P93">
        <v>33.18</v>
      </c>
      <c r="Q93" s="17">
        <v>171.42162999999999</v>
      </c>
      <c r="R93">
        <v>156.35</v>
      </c>
      <c r="S93">
        <v>114.91</v>
      </c>
      <c r="T93">
        <v>30.55</v>
      </c>
      <c r="U93">
        <v>27.57</v>
      </c>
      <c r="V93">
        <v>81.040000000000006</v>
      </c>
      <c r="W93">
        <v>76.849999999999994</v>
      </c>
      <c r="X93" s="77">
        <v>144.71</v>
      </c>
      <c r="Y93">
        <v>85.9</v>
      </c>
      <c r="Z93">
        <v>362.3</v>
      </c>
      <c r="AA93">
        <v>302141</v>
      </c>
      <c r="AB93">
        <v>1166.2650000000001</v>
      </c>
      <c r="AC93">
        <v>1367265</v>
      </c>
      <c r="AD93">
        <v>134702</v>
      </c>
      <c r="AE93">
        <v>60886</v>
      </c>
      <c r="AF93">
        <v>125562</v>
      </c>
      <c r="AG93">
        <v>177900</v>
      </c>
      <c r="AH93">
        <v>44496</v>
      </c>
      <c r="AI93">
        <v>2413747</v>
      </c>
      <c r="AJ93">
        <v>1108347</v>
      </c>
    </row>
    <row r="94" spans="1:36" x14ac:dyDescent="0.25">
      <c r="A94" t="s">
        <v>406</v>
      </c>
      <c r="D94">
        <v>801.86099999999999</v>
      </c>
      <c r="E94">
        <v>420.79754000000003</v>
      </c>
      <c r="F94">
        <v>155.70755</v>
      </c>
      <c r="G94">
        <v>298.40717999999998</v>
      </c>
      <c r="H94">
        <v>243.92310000000001</v>
      </c>
      <c r="I94" s="45">
        <v>162.25029000000001</v>
      </c>
      <c r="J94" s="45">
        <v>51.396740000000001</v>
      </c>
      <c r="K94" s="45">
        <v>85.48142</v>
      </c>
      <c r="L94" s="45">
        <v>25.878779999999999</v>
      </c>
      <c r="M94">
        <v>722.63</v>
      </c>
      <c r="N94">
        <v>6.46</v>
      </c>
      <c r="O94">
        <v>39.28</v>
      </c>
      <c r="P94">
        <v>30.01</v>
      </c>
      <c r="Q94" s="17">
        <v>171.11726999999999</v>
      </c>
      <c r="R94">
        <v>155.86000000000001</v>
      </c>
      <c r="S94">
        <v>115.17</v>
      </c>
      <c r="T94">
        <v>30.53</v>
      </c>
      <c r="U94">
        <v>28.01</v>
      </c>
      <c r="V94">
        <v>81.83</v>
      </c>
      <c r="W94">
        <v>77.47</v>
      </c>
      <c r="X94" s="77">
        <v>145.35</v>
      </c>
      <c r="Y94">
        <v>85.6</v>
      </c>
      <c r="Z94">
        <v>359</v>
      </c>
      <c r="AA94">
        <v>304951</v>
      </c>
      <c r="AB94">
        <v>1167.317</v>
      </c>
      <c r="AC94">
        <v>1368010</v>
      </c>
      <c r="AD94">
        <v>134577</v>
      </c>
      <c r="AE94">
        <v>59630</v>
      </c>
      <c r="AF94">
        <v>123953</v>
      </c>
      <c r="AG94">
        <v>180004</v>
      </c>
      <c r="AH94">
        <v>42888</v>
      </c>
      <c r="AI94">
        <v>2415679</v>
      </c>
      <c r="AJ94">
        <v>1114049</v>
      </c>
    </row>
    <row r="95" spans="1:36" x14ac:dyDescent="0.25">
      <c r="A95" t="s">
        <v>407</v>
      </c>
      <c r="D95">
        <v>803.56500000000005</v>
      </c>
      <c r="E95">
        <v>422.68837000000002</v>
      </c>
      <c r="F95">
        <v>155.82775000000001</v>
      </c>
      <c r="G95">
        <v>304.22009000000003</v>
      </c>
      <c r="H95">
        <v>243.87932000000001</v>
      </c>
      <c r="I95" s="45">
        <v>162.37915000000001</v>
      </c>
      <c r="J95" s="45">
        <v>52.015709999999999</v>
      </c>
      <c r="K95" s="45">
        <v>85.404330000000002</v>
      </c>
      <c r="L95" s="45">
        <v>25.40682</v>
      </c>
      <c r="M95">
        <v>723.93</v>
      </c>
      <c r="N95">
        <v>6.52</v>
      </c>
      <c r="O95">
        <v>38.92</v>
      </c>
      <c r="P95">
        <v>31.11</v>
      </c>
      <c r="Q95" s="17">
        <v>171.60505000000001</v>
      </c>
      <c r="R95">
        <v>153.12</v>
      </c>
      <c r="S95">
        <v>117.45</v>
      </c>
      <c r="T95">
        <v>30.6</v>
      </c>
      <c r="U95">
        <v>28.47</v>
      </c>
      <c r="V95">
        <v>78.95</v>
      </c>
      <c r="W95">
        <v>77.680000000000007</v>
      </c>
      <c r="X95" s="77">
        <v>144.93</v>
      </c>
      <c r="Y95">
        <v>84.8</v>
      </c>
      <c r="Z95">
        <v>365.8</v>
      </c>
      <c r="AA95">
        <v>305566</v>
      </c>
      <c r="AB95">
        <v>1164.1479999999999</v>
      </c>
      <c r="AC95">
        <v>1380698</v>
      </c>
      <c r="AD95">
        <v>137015</v>
      </c>
      <c r="AE95">
        <v>60204</v>
      </c>
      <c r="AF95">
        <v>125573</v>
      </c>
      <c r="AG95">
        <v>180507</v>
      </c>
      <c r="AH95">
        <v>42856</v>
      </c>
      <c r="AI95">
        <v>2427818</v>
      </c>
      <c r="AJ95">
        <v>1114893</v>
      </c>
    </row>
    <row r="96" spans="1:36" x14ac:dyDescent="0.25">
      <c r="A96" t="s">
        <v>408</v>
      </c>
      <c r="D96">
        <v>804.428</v>
      </c>
      <c r="E96">
        <v>423.65023000000002</v>
      </c>
      <c r="F96">
        <v>156.40452999999999</v>
      </c>
      <c r="G96">
        <v>306.71755999999999</v>
      </c>
      <c r="H96">
        <v>244.57945000000001</v>
      </c>
      <c r="I96" s="45">
        <v>162.71056999999999</v>
      </c>
      <c r="J96" s="45">
        <v>51.340969999999999</v>
      </c>
      <c r="K96" s="45">
        <v>86.405919999999995</v>
      </c>
      <c r="L96" s="45">
        <v>25.563880000000001</v>
      </c>
      <c r="M96">
        <v>725.4</v>
      </c>
      <c r="N96">
        <v>6.46</v>
      </c>
      <c r="O96">
        <v>38.75</v>
      </c>
      <c r="P96">
        <v>31.22</v>
      </c>
      <c r="Q96" s="17">
        <v>172.1063</v>
      </c>
      <c r="R96">
        <v>153.33000000000001</v>
      </c>
      <c r="S96">
        <v>117.68</v>
      </c>
      <c r="T96">
        <v>30.47</v>
      </c>
      <c r="U96">
        <v>28.56</v>
      </c>
      <c r="V96">
        <v>78.989999999999995</v>
      </c>
      <c r="W96">
        <v>77.95</v>
      </c>
      <c r="X96" s="77">
        <v>145.4</v>
      </c>
      <c r="Y96">
        <v>84.4</v>
      </c>
      <c r="Z96">
        <v>331.7</v>
      </c>
      <c r="AA96">
        <v>307597</v>
      </c>
      <c r="AB96">
        <v>1164.7349999999999</v>
      </c>
      <c r="AC96">
        <v>1385173</v>
      </c>
      <c r="AD96">
        <v>136816</v>
      </c>
      <c r="AE96">
        <v>60586</v>
      </c>
      <c r="AF96">
        <v>125357</v>
      </c>
      <c r="AG96">
        <v>181568</v>
      </c>
      <c r="AH96">
        <v>43309</v>
      </c>
      <c r="AI96">
        <v>2432408</v>
      </c>
      <c r="AJ96">
        <v>1117977</v>
      </c>
    </row>
    <row r="97" spans="1:36" x14ac:dyDescent="0.25">
      <c r="A97" t="s">
        <v>409</v>
      </c>
      <c r="D97">
        <v>806.06700000000001</v>
      </c>
      <c r="E97">
        <v>425.00556</v>
      </c>
      <c r="F97">
        <v>157.19279</v>
      </c>
      <c r="G97">
        <v>310.32877999999999</v>
      </c>
      <c r="H97">
        <v>245.42543000000001</v>
      </c>
      <c r="I97" s="45">
        <v>162.17662000000001</v>
      </c>
      <c r="J97" s="45">
        <v>50.353969999999997</v>
      </c>
      <c r="K97" s="45">
        <v>86.771879999999996</v>
      </c>
      <c r="L97" s="45">
        <v>25.765799999999999</v>
      </c>
      <c r="M97">
        <v>726.72</v>
      </c>
      <c r="N97">
        <v>6.46</v>
      </c>
      <c r="O97">
        <v>38.33</v>
      </c>
      <c r="P97">
        <v>31.55</v>
      </c>
      <c r="Q97" s="17">
        <v>172.50013999999999</v>
      </c>
      <c r="R97">
        <v>153.88999999999999</v>
      </c>
      <c r="S97">
        <v>117.66</v>
      </c>
      <c r="T97">
        <v>30.34</v>
      </c>
      <c r="U97">
        <v>28.82</v>
      </c>
      <c r="V97">
        <v>79.099999999999994</v>
      </c>
      <c r="W97">
        <v>78.03</v>
      </c>
      <c r="X97" s="77">
        <v>145.93</v>
      </c>
      <c r="Y97">
        <v>83.5</v>
      </c>
      <c r="Z97">
        <v>356</v>
      </c>
      <c r="AA97">
        <v>309754</v>
      </c>
      <c r="AB97">
        <v>1167.337</v>
      </c>
      <c r="AC97">
        <v>1404248</v>
      </c>
      <c r="AD97">
        <v>133910</v>
      </c>
      <c r="AE97">
        <v>60254</v>
      </c>
      <c r="AF97">
        <v>127399</v>
      </c>
      <c r="AG97">
        <v>182803</v>
      </c>
      <c r="AH97">
        <v>42426</v>
      </c>
      <c r="AI97">
        <v>2458611</v>
      </c>
      <c r="AJ97">
        <v>1126615</v>
      </c>
    </row>
    <row r="98" spans="1:36" x14ac:dyDescent="0.25">
      <c r="A98" t="s">
        <v>410</v>
      </c>
      <c r="D98">
        <v>803.65099999999995</v>
      </c>
      <c r="E98">
        <v>422.99441999999999</v>
      </c>
      <c r="F98">
        <v>157.51964000000001</v>
      </c>
      <c r="G98">
        <v>305.16509000000002</v>
      </c>
      <c r="H98">
        <v>243.50006999999999</v>
      </c>
      <c r="I98" s="45">
        <v>160.94298000000001</v>
      </c>
      <c r="J98" s="45">
        <v>50.376269999999998</v>
      </c>
      <c r="K98" s="45">
        <v>85.153940000000006</v>
      </c>
      <c r="L98" s="45">
        <v>25.993359999999999</v>
      </c>
      <c r="M98">
        <v>723.78</v>
      </c>
      <c r="N98">
        <v>6.42</v>
      </c>
      <c r="O98">
        <v>37.729999999999997</v>
      </c>
      <c r="P98">
        <v>32.369999999999997</v>
      </c>
      <c r="Q98" s="17">
        <v>169.38525000000001</v>
      </c>
      <c r="R98">
        <v>151.07</v>
      </c>
      <c r="S98">
        <v>117.02</v>
      </c>
      <c r="T98">
        <v>30.12</v>
      </c>
      <c r="U98">
        <v>29.1</v>
      </c>
      <c r="V98">
        <v>79.34</v>
      </c>
      <c r="W98">
        <v>78.040000000000006</v>
      </c>
      <c r="X98" s="77">
        <v>146.25</v>
      </c>
      <c r="Y98">
        <v>82.5</v>
      </c>
      <c r="Z98">
        <v>352.5</v>
      </c>
      <c r="AA98">
        <v>311219</v>
      </c>
      <c r="AB98">
        <v>1170.5550000000001</v>
      </c>
      <c r="AC98">
        <v>1377634</v>
      </c>
      <c r="AD98">
        <v>131057</v>
      </c>
      <c r="AE98">
        <v>59586</v>
      </c>
      <c r="AF98">
        <v>126057</v>
      </c>
      <c r="AG98">
        <v>184614</v>
      </c>
      <c r="AH98">
        <v>39037</v>
      </c>
      <c r="AI98">
        <v>2435908</v>
      </c>
      <c r="AJ98">
        <v>1135017</v>
      </c>
    </row>
    <row r="99" spans="1:36" x14ac:dyDescent="0.25">
      <c r="A99" t="s">
        <v>411</v>
      </c>
      <c r="D99" s="24">
        <v>799.20799999999997</v>
      </c>
      <c r="E99" s="24">
        <v>421.54075999999998</v>
      </c>
      <c r="F99">
        <v>158.84625</v>
      </c>
      <c r="G99" s="24">
        <v>303.95881000000003</v>
      </c>
      <c r="H99" s="24">
        <v>244.01061000000001</v>
      </c>
      <c r="I99" s="45">
        <v>155.11580000000001</v>
      </c>
      <c r="J99" s="45">
        <v>48.559730000000002</v>
      </c>
      <c r="K99" s="45">
        <v>81.528229999999994</v>
      </c>
      <c r="L99" s="45">
        <v>25.5198</v>
      </c>
      <c r="M99" s="17">
        <v>721.12</v>
      </c>
      <c r="N99" s="17">
        <v>6.27</v>
      </c>
      <c r="O99" s="17">
        <v>37.04</v>
      </c>
      <c r="P99" s="17">
        <v>32.89</v>
      </c>
      <c r="Q99" s="17">
        <v>167.82334</v>
      </c>
      <c r="R99" s="17">
        <v>151.12</v>
      </c>
      <c r="S99" s="17">
        <v>116.34</v>
      </c>
      <c r="T99" s="17">
        <v>29.34</v>
      </c>
      <c r="U99" s="17">
        <v>29.79</v>
      </c>
      <c r="V99" s="17">
        <v>80.959999999999994</v>
      </c>
      <c r="W99" s="17">
        <v>79.03</v>
      </c>
      <c r="X99" s="101">
        <v>143.11000000000001</v>
      </c>
      <c r="Y99" s="17">
        <v>82.6</v>
      </c>
      <c r="Z99" s="17">
        <v>354.2</v>
      </c>
      <c r="AA99" s="17">
        <v>311933</v>
      </c>
      <c r="AB99" s="17">
        <v>1173.4749999999999</v>
      </c>
      <c r="AC99" s="17">
        <v>1394120</v>
      </c>
      <c r="AD99" s="17">
        <v>133160</v>
      </c>
      <c r="AE99" s="17">
        <v>60343</v>
      </c>
      <c r="AF99" s="17">
        <v>126893</v>
      </c>
      <c r="AG99" s="17">
        <v>184581</v>
      </c>
      <c r="AH99" s="17">
        <v>38460</v>
      </c>
      <c r="AI99" s="17">
        <v>2451055</v>
      </c>
      <c r="AJ99" s="17">
        <v>1136778</v>
      </c>
    </row>
    <row r="100" spans="1:36" x14ac:dyDescent="0.25">
      <c r="A100" t="s">
        <v>412</v>
      </c>
      <c r="D100" s="24">
        <v>808.52499999999998</v>
      </c>
      <c r="E100" s="24">
        <v>425.43176999999997</v>
      </c>
      <c r="F100">
        <v>158.50017</v>
      </c>
      <c r="G100" s="24">
        <v>304.86997000000002</v>
      </c>
      <c r="H100" s="24">
        <v>248.03613000000001</v>
      </c>
      <c r="I100" s="45">
        <v>161.08108999999999</v>
      </c>
      <c r="J100" s="45">
        <v>50.372070000000001</v>
      </c>
      <c r="K100" s="45">
        <v>85.592129999999997</v>
      </c>
      <c r="L100" s="45">
        <v>25.734539999999999</v>
      </c>
      <c r="M100" s="17">
        <v>728.25</v>
      </c>
      <c r="N100" s="17">
        <v>6.28</v>
      </c>
      <c r="O100" s="17">
        <v>37.96</v>
      </c>
      <c r="P100" s="17">
        <v>33.75</v>
      </c>
      <c r="Q100" s="17">
        <v>169.34494000000001</v>
      </c>
      <c r="R100" s="17">
        <v>152.68</v>
      </c>
      <c r="S100" s="17">
        <v>117.49</v>
      </c>
      <c r="T100" s="17">
        <v>29.31</v>
      </c>
      <c r="U100" s="17">
        <v>30.31</v>
      </c>
      <c r="V100" s="17">
        <v>81.44</v>
      </c>
      <c r="W100" s="17">
        <v>79.67</v>
      </c>
      <c r="X100" s="101">
        <v>144.19</v>
      </c>
      <c r="Y100" s="17">
        <v>82.5</v>
      </c>
      <c r="Z100" s="17">
        <v>331.3</v>
      </c>
      <c r="AA100" s="17">
        <v>314018</v>
      </c>
      <c r="AB100" s="17">
        <v>1173.048</v>
      </c>
      <c r="AC100" s="17">
        <v>1402048</v>
      </c>
      <c r="AD100" s="17">
        <v>131901</v>
      </c>
      <c r="AE100" s="17">
        <v>60144</v>
      </c>
      <c r="AF100" s="17">
        <v>124765</v>
      </c>
      <c r="AG100" s="17">
        <v>186652</v>
      </c>
      <c r="AH100" s="17">
        <v>38480</v>
      </c>
      <c r="AI100" s="17">
        <v>2464180</v>
      </c>
      <c r="AJ100" s="17">
        <v>1143326</v>
      </c>
    </row>
    <row r="101" spans="1:36" x14ac:dyDescent="0.25">
      <c r="A101" t="s">
        <v>413</v>
      </c>
      <c r="D101" s="24">
        <v>812.66600000000005</v>
      </c>
      <c r="E101" s="24">
        <v>427.04937999999999</v>
      </c>
      <c r="F101">
        <v>159.82678000000001</v>
      </c>
      <c r="G101" s="24">
        <v>310.10075000000001</v>
      </c>
      <c r="H101" s="24">
        <v>251.91578999999999</v>
      </c>
      <c r="I101" s="45">
        <v>161.22838999999999</v>
      </c>
      <c r="J101" s="45">
        <v>49.290239999999997</v>
      </c>
      <c r="K101" s="45">
        <v>86.786249999999995</v>
      </c>
      <c r="L101" s="45">
        <v>25.95571</v>
      </c>
      <c r="M101" s="17">
        <v>732.28</v>
      </c>
      <c r="N101" s="17">
        <v>6.27</v>
      </c>
      <c r="O101" s="17">
        <v>38.57</v>
      </c>
      <c r="P101" s="17">
        <v>34.08</v>
      </c>
      <c r="Q101" s="17">
        <v>170.04309000000001</v>
      </c>
      <c r="R101" s="17">
        <v>153.28</v>
      </c>
      <c r="S101" s="17">
        <v>118.33</v>
      </c>
      <c r="T101" s="17">
        <v>29.25</v>
      </c>
      <c r="U101" s="17">
        <v>30.5</v>
      </c>
      <c r="V101" s="17">
        <v>81.7</v>
      </c>
      <c r="W101" s="17">
        <v>80.53</v>
      </c>
      <c r="X101" s="101">
        <v>144.52000000000001</v>
      </c>
      <c r="Y101" s="17">
        <v>83.1</v>
      </c>
      <c r="Z101" s="17">
        <v>357.8</v>
      </c>
      <c r="AA101" s="17">
        <v>316604</v>
      </c>
      <c r="AB101" s="17">
        <v>1177.8989999999999</v>
      </c>
      <c r="AC101" s="17">
        <v>1282794</v>
      </c>
      <c r="AD101" s="17">
        <v>130328</v>
      </c>
      <c r="AE101" s="17">
        <v>60079</v>
      </c>
      <c r="AF101" s="17">
        <v>124877</v>
      </c>
      <c r="AG101" s="17">
        <v>187427</v>
      </c>
      <c r="AH101" s="17">
        <v>37381</v>
      </c>
      <c r="AI101" s="17">
        <v>2352374</v>
      </c>
      <c r="AJ101" s="17">
        <v>1152630</v>
      </c>
    </row>
    <row r="102" spans="1:36" x14ac:dyDescent="0.25">
      <c r="A102" t="s">
        <v>414</v>
      </c>
      <c r="D102" s="24">
        <v>813.87400000000002</v>
      </c>
      <c r="E102" s="24">
        <v>424.07648999999998</v>
      </c>
      <c r="F102">
        <v>159.88445999999999</v>
      </c>
      <c r="G102" s="24">
        <v>315.50024999999999</v>
      </c>
      <c r="H102" s="24">
        <v>252.03246999999999</v>
      </c>
      <c r="I102" s="45">
        <v>164.26625000000001</v>
      </c>
      <c r="J102" s="45">
        <v>52.507849999999998</v>
      </c>
      <c r="K102" s="45">
        <v>86.044740000000004</v>
      </c>
      <c r="L102" s="45">
        <v>26.154419999999998</v>
      </c>
      <c r="M102" s="17">
        <v>735.61</v>
      </c>
      <c r="N102" s="17">
        <v>6.33</v>
      </c>
      <c r="O102" s="17">
        <v>38.94</v>
      </c>
      <c r="P102" s="17">
        <v>33.22</v>
      </c>
      <c r="Q102" s="17">
        <v>172.53136000000001</v>
      </c>
      <c r="R102" s="17">
        <v>156.09</v>
      </c>
      <c r="S102" s="17">
        <v>118.28</v>
      </c>
      <c r="T102" s="17">
        <v>29.16</v>
      </c>
      <c r="U102" s="17">
        <v>30.61</v>
      </c>
      <c r="V102" s="17">
        <v>81.94</v>
      </c>
      <c r="W102" s="17">
        <v>81.3</v>
      </c>
      <c r="X102" s="101">
        <v>144.81</v>
      </c>
      <c r="Y102" s="17">
        <v>83.8</v>
      </c>
      <c r="Z102" s="17">
        <v>352.3</v>
      </c>
      <c r="AA102" s="17">
        <v>319226</v>
      </c>
      <c r="AB102" s="17">
        <v>1179.5229999999999</v>
      </c>
      <c r="AC102" s="17">
        <v>1281089</v>
      </c>
      <c r="AD102" s="17">
        <v>127705</v>
      </c>
      <c r="AE102" s="17">
        <v>58925</v>
      </c>
      <c r="AF102" s="17">
        <v>124161</v>
      </c>
      <c r="AG102" s="17">
        <v>191372</v>
      </c>
      <c r="AH102" s="17">
        <v>37271</v>
      </c>
      <c r="AI102" s="17">
        <v>2354025</v>
      </c>
      <c r="AJ102" s="17">
        <v>1159337</v>
      </c>
    </row>
    <row r="103" spans="1:36" x14ac:dyDescent="0.25">
      <c r="A103" t="s">
        <v>415</v>
      </c>
      <c r="D103" s="24">
        <v>822.37099999999998</v>
      </c>
      <c r="E103" s="24">
        <v>425.31142999999997</v>
      </c>
      <c r="F103">
        <v>160.57659000000001</v>
      </c>
      <c r="G103" s="24">
        <v>315.07015999999999</v>
      </c>
      <c r="H103" s="24">
        <v>252.41167999999999</v>
      </c>
      <c r="I103" s="45">
        <v>167.33197999999999</v>
      </c>
      <c r="J103" s="45">
        <v>52.598460000000003</v>
      </c>
      <c r="K103" s="45">
        <v>88.678719999999998</v>
      </c>
      <c r="L103" s="45">
        <v>26.660810000000001</v>
      </c>
      <c r="M103" s="17">
        <v>743.87</v>
      </c>
      <c r="N103" s="17">
        <v>6.91</v>
      </c>
      <c r="O103" s="17">
        <v>39.49</v>
      </c>
      <c r="P103" s="17">
        <v>32.33</v>
      </c>
      <c r="Q103" s="17">
        <v>177.53960000000001</v>
      </c>
      <c r="R103" s="17">
        <v>161.54</v>
      </c>
      <c r="S103" s="17">
        <v>119.2</v>
      </c>
      <c r="T103" s="17">
        <v>29.28</v>
      </c>
      <c r="U103" s="17">
        <v>31.35</v>
      </c>
      <c r="V103" s="17">
        <v>81.75</v>
      </c>
      <c r="W103" s="17">
        <v>81.52</v>
      </c>
      <c r="X103" s="101">
        <v>145.63</v>
      </c>
      <c r="Y103" s="17">
        <v>84</v>
      </c>
      <c r="Z103" s="17">
        <v>359.8</v>
      </c>
      <c r="AA103" s="17">
        <v>319963</v>
      </c>
      <c r="AB103" s="17">
        <v>1179.2809999999999</v>
      </c>
      <c r="AC103" s="17">
        <v>1283381</v>
      </c>
      <c r="AD103" s="17">
        <v>129114</v>
      </c>
      <c r="AE103" s="17">
        <v>59534</v>
      </c>
      <c r="AF103" s="17">
        <v>124153</v>
      </c>
      <c r="AG103" s="17">
        <v>192108</v>
      </c>
      <c r="AH103" s="17">
        <v>37147</v>
      </c>
      <c r="AI103" s="17">
        <v>2356273</v>
      </c>
      <c r="AJ103" s="17">
        <v>1160280</v>
      </c>
    </row>
    <row r="104" spans="1:36" x14ac:dyDescent="0.25">
      <c r="A104" t="s">
        <v>416</v>
      </c>
      <c r="D104" s="24">
        <v>822.19899999999996</v>
      </c>
      <c r="E104" s="24">
        <v>427.10399000000001</v>
      </c>
      <c r="F104">
        <v>161.38408999999999</v>
      </c>
      <c r="G104" s="24">
        <v>317.97246000000001</v>
      </c>
      <c r="H104" s="24">
        <v>256.49554999999998</v>
      </c>
      <c r="I104" s="45">
        <v>165.49074999999999</v>
      </c>
      <c r="J104" s="45">
        <v>52.98883</v>
      </c>
      <c r="K104" s="45">
        <v>86.020679999999999</v>
      </c>
      <c r="L104" s="45">
        <v>26.885179999999998</v>
      </c>
      <c r="M104" s="17">
        <v>741.23</v>
      </c>
      <c r="N104" s="17">
        <v>7.05</v>
      </c>
      <c r="O104" s="17">
        <v>38.520000000000003</v>
      </c>
      <c r="P104" s="17">
        <v>31.77</v>
      </c>
      <c r="Q104" s="17">
        <v>176.44753</v>
      </c>
      <c r="R104" s="17">
        <v>160.41999999999999</v>
      </c>
      <c r="S104" s="17">
        <v>118.52</v>
      </c>
      <c r="T104" s="17">
        <v>29.16</v>
      </c>
      <c r="U104" s="17">
        <v>31.55</v>
      </c>
      <c r="V104" s="17">
        <v>81.819999999999993</v>
      </c>
      <c r="W104" s="17">
        <v>81.75</v>
      </c>
      <c r="X104" s="101">
        <v>145.55000000000001</v>
      </c>
      <c r="Y104" s="17">
        <v>84.4</v>
      </c>
      <c r="Z104" s="17">
        <v>330.4</v>
      </c>
      <c r="AA104" s="17">
        <v>320873</v>
      </c>
      <c r="AB104" s="17">
        <v>1181.3140000000001</v>
      </c>
      <c r="AC104" s="17">
        <v>1288315</v>
      </c>
      <c r="AD104" s="17">
        <v>129075</v>
      </c>
      <c r="AE104" s="17">
        <v>59900</v>
      </c>
      <c r="AF104" s="17">
        <v>124298</v>
      </c>
      <c r="AG104" s="17">
        <v>192755</v>
      </c>
      <c r="AH104" s="17">
        <v>39113</v>
      </c>
      <c r="AI104" s="17">
        <v>2367140</v>
      </c>
      <c r="AJ104" s="17">
        <v>1166647</v>
      </c>
    </row>
    <row r="105" spans="1:36" x14ac:dyDescent="0.25">
      <c r="A105" t="s">
        <v>417</v>
      </c>
      <c r="D105" s="93">
        <v>826.77099999999996</v>
      </c>
      <c r="E105" s="24">
        <v>430.42674</v>
      </c>
      <c r="F105">
        <v>162.67223999999999</v>
      </c>
      <c r="G105" s="24">
        <v>323.60836</v>
      </c>
      <c r="H105" s="24">
        <v>258.18743000000001</v>
      </c>
      <c r="I105" s="45">
        <v>165.21456000000001</v>
      </c>
      <c r="J105" s="45">
        <v>52.459049999999998</v>
      </c>
      <c r="K105" s="45">
        <v>86.059200000000004</v>
      </c>
      <c r="L105" s="45">
        <v>27.12557</v>
      </c>
      <c r="M105" s="17">
        <v>745.96</v>
      </c>
      <c r="N105" s="17">
        <v>7.08</v>
      </c>
      <c r="O105" s="17">
        <v>38.380000000000003</v>
      </c>
      <c r="P105" s="17">
        <v>31.8</v>
      </c>
      <c r="Q105" s="17">
        <v>177.57539</v>
      </c>
      <c r="R105" s="17">
        <v>161.53</v>
      </c>
      <c r="S105" s="17">
        <v>119.79</v>
      </c>
      <c r="T105" s="17">
        <v>29.15</v>
      </c>
      <c r="U105" s="17">
        <v>32.119999999999997</v>
      </c>
      <c r="V105" s="17">
        <v>82.46</v>
      </c>
      <c r="W105" s="17">
        <v>82.66</v>
      </c>
      <c r="X105" s="101">
        <v>145.63999999999999</v>
      </c>
      <c r="Y105" s="17">
        <v>84.3</v>
      </c>
      <c r="Z105" s="17">
        <v>356.6</v>
      </c>
      <c r="AA105" s="17">
        <v>322883</v>
      </c>
      <c r="AB105" s="17">
        <v>1187.944</v>
      </c>
      <c r="AC105" s="17">
        <v>1293204</v>
      </c>
      <c r="AD105" s="17">
        <v>127101</v>
      </c>
      <c r="AE105" s="17">
        <v>60311</v>
      </c>
      <c r="AF105" s="17">
        <v>125888</v>
      </c>
      <c r="AG105" s="17">
        <v>192260</v>
      </c>
      <c r="AH105" s="17">
        <v>37990</v>
      </c>
      <c r="AI105" s="17">
        <v>2380552</v>
      </c>
      <c r="AJ105" s="17">
        <v>1177125</v>
      </c>
    </row>
    <row r="106" spans="1:36" x14ac:dyDescent="0.25">
      <c r="A106" t="s">
        <v>418</v>
      </c>
      <c r="D106" s="93">
        <v>833.06799999999998</v>
      </c>
      <c r="E106" s="24">
        <v>432.52532000000002</v>
      </c>
      <c r="F106">
        <v>163.80658</v>
      </c>
      <c r="G106" s="24">
        <v>329.98671000000002</v>
      </c>
      <c r="H106" s="24">
        <v>262.82551999999998</v>
      </c>
      <c r="I106" s="45">
        <v>166.55867000000001</v>
      </c>
      <c r="J106" s="45">
        <v>53.301119999999997</v>
      </c>
      <c r="K106" s="45">
        <v>86.203659999999999</v>
      </c>
      <c r="L106" s="45">
        <v>27.41403</v>
      </c>
      <c r="M106" s="17">
        <v>751.46</v>
      </c>
      <c r="N106" s="17">
        <v>7.1</v>
      </c>
      <c r="O106" s="17">
        <v>38.299999999999997</v>
      </c>
      <c r="P106" s="17">
        <v>32.26</v>
      </c>
      <c r="Q106" s="17">
        <v>179.88482999999999</v>
      </c>
      <c r="R106" s="17">
        <v>163.49</v>
      </c>
      <c r="S106" s="17">
        <v>121.2</v>
      </c>
      <c r="T106" s="17">
        <v>29.11</v>
      </c>
      <c r="U106" s="17">
        <v>32.1</v>
      </c>
      <c r="V106" s="17">
        <v>82.58</v>
      </c>
      <c r="W106" s="17">
        <v>83.22</v>
      </c>
      <c r="X106" s="101">
        <v>146.37</v>
      </c>
      <c r="Y106" s="17">
        <v>84.2</v>
      </c>
      <c r="Z106" s="17">
        <v>353.2</v>
      </c>
      <c r="AA106" s="17">
        <v>328274</v>
      </c>
      <c r="AB106" s="17">
        <v>1225.682</v>
      </c>
      <c r="AC106" s="17">
        <v>1291624</v>
      </c>
      <c r="AD106" s="17">
        <v>122923</v>
      </c>
      <c r="AE106" s="17">
        <v>59804</v>
      </c>
      <c r="AF106" s="17">
        <v>123672</v>
      </c>
      <c r="AG106" s="17">
        <v>188140</v>
      </c>
      <c r="AH106" s="17">
        <v>33921</v>
      </c>
      <c r="AI106" s="17">
        <v>2384783</v>
      </c>
      <c r="AJ106" s="17">
        <v>1188662</v>
      </c>
    </row>
    <row r="107" spans="1:36" x14ac:dyDescent="0.25">
      <c r="A107" t="s">
        <v>419</v>
      </c>
      <c r="D107" s="93">
        <v>831.25699999999995</v>
      </c>
      <c r="E107" s="24">
        <v>434.35052000000002</v>
      </c>
      <c r="F107">
        <v>164.52269999999999</v>
      </c>
      <c r="G107" s="24">
        <v>331.64035000000001</v>
      </c>
      <c r="H107" s="24">
        <v>267.52197000000001</v>
      </c>
      <c r="I107" s="45">
        <v>166.25491</v>
      </c>
      <c r="J107" s="45">
        <v>53.611989999999999</v>
      </c>
      <c r="K107" s="45">
        <v>84.821719999999999</v>
      </c>
      <c r="L107" s="45">
        <v>28.060649999999999</v>
      </c>
      <c r="M107" s="17">
        <v>748.58</v>
      </c>
      <c r="N107" s="17">
        <v>6.1</v>
      </c>
      <c r="O107" s="17">
        <v>37.700000000000003</v>
      </c>
      <c r="P107" s="17">
        <v>32.549999999999997</v>
      </c>
      <c r="Q107" s="17">
        <v>177.35608999999999</v>
      </c>
      <c r="R107" s="17">
        <v>160.52000000000001</v>
      </c>
      <c r="S107" s="17">
        <v>121.16</v>
      </c>
      <c r="T107" s="17">
        <v>29.35</v>
      </c>
      <c r="U107" s="17">
        <v>31.7</v>
      </c>
      <c r="V107" s="17">
        <v>82.84</v>
      </c>
      <c r="W107" s="17">
        <v>83.36</v>
      </c>
      <c r="X107" s="101">
        <v>147.26</v>
      </c>
      <c r="Y107" s="17">
        <v>84</v>
      </c>
      <c r="Z107" s="17">
        <v>358.7</v>
      </c>
      <c r="AA107" s="17">
        <v>329940</v>
      </c>
      <c r="AB107" s="17">
        <v>1229.7059999999999</v>
      </c>
      <c r="AC107" s="17">
        <v>1305672</v>
      </c>
      <c r="AD107" s="17">
        <v>127396</v>
      </c>
      <c r="AE107" s="17">
        <v>60921</v>
      </c>
      <c r="AF107" s="17">
        <v>125000</v>
      </c>
      <c r="AG107" s="17">
        <v>188550</v>
      </c>
      <c r="AH107" s="17">
        <v>33823</v>
      </c>
      <c r="AI107" s="17">
        <v>2400021</v>
      </c>
      <c r="AJ107" s="17">
        <v>1191987</v>
      </c>
    </row>
    <row r="108" spans="1:36" x14ac:dyDescent="0.25">
      <c r="A108" t="s">
        <v>420</v>
      </c>
      <c r="D108" s="93">
        <v>835.57</v>
      </c>
      <c r="E108" s="24">
        <v>436.49274000000003</v>
      </c>
      <c r="F108">
        <v>165.48402999999999</v>
      </c>
      <c r="G108" s="24">
        <v>337.47874999999999</v>
      </c>
      <c r="H108" s="24">
        <v>267.93034</v>
      </c>
      <c r="I108" s="45">
        <v>166.80725000000001</v>
      </c>
      <c r="J108" s="45">
        <v>54.219819999999999</v>
      </c>
      <c r="K108" s="45">
        <v>84.407629999999997</v>
      </c>
      <c r="L108" s="45">
        <v>28.3459</v>
      </c>
      <c r="M108" s="17">
        <v>753.61</v>
      </c>
      <c r="N108" s="17">
        <v>6.12</v>
      </c>
      <c r="O108" s="17">
        <v>37.28</v>
      </c>
      <c r="P108" s="17">
        <v>32.79</v>
      </c>
      <c r="Q108" s="17">
        <v>179.52225000000001</v>
      </c>
      <c r="R108" s="17">
        <v>162.66999999999999</v>
      </c>
      <c r="S108" s="17">
        <v>121.33</v>
      </c>
      <c r="T108" s="17">
        <v>29.35</v>
      </c>
      <c r="U108" s="17">
        <v>32.270000000000003</v>
      </c>
      <c r="V108" s="17">
        <v>83.18</v>
      </c>
      <c r="W108" s="17">
        <v>84.48</v>
      </c>
      <c r="X108" s="101">
        <v>147.9</v>
      </c>
      <c r="Y108" s="17">
        <v>84.3</v>
      </c>
      <c r="Z108" s="17">
        <v>331</v>
      </c>
      <c r="AA108" s="17">
        <v>334829</v>
      </c>
      <c r="AB108" s="17">
        <v>1234.7650000000001</v>
      </c>
      <c r="AC108" s="17">
        <v>1309383</v>
      </c>
      <c r="AD108" s="17">
        <v>128054</v>
      </c>
      <c r="AE108" s="17">
        <v>61436</v>
      </c>
      <c r="AF108" s="17">
        <v>123239</v>
      </c>
      <c r="AG108" s="17">
        <v>190865</v>
      </c>
      <c r="AH108" s="17">
        <v>34799</v>
      </c>
      <c r="AI108" s="17">
        <v>2413019</v>
      </c>
      <c r="AJ108" s="17">
        <v>1205105</v>
      </c>
    </row>
    <row r="109" spans="1:36" x14ac:dyDescent="0.25">
      <c r="A109" t="s">
        <v>421</v>
      </c>
      <c r="D109" s="93">
        <v>840.05600000000004</v>
      </c>
      <c r="E109" s="24">
        <v>439.15960999999999</v>
      </c>
      <c r="F109">
        <v>167.07983999999999</v>
      </c>
      <c r="G109" s="24">
        <v>337.37752</v>
      </c>
      <c r="H109" s="24">
        <v>270.75988999999998</v>
      </c>
      <c r="I109" s="45">
        <v>167.70939999999999</v>
      </c>
      <c r="J109" s="45">
        <v>54.671509999999998</v>
      </c>
      <c r="K109" s="45">
        <v>84.552080000000004</v>
      </c>
      <c r="L109" s="45">
        <v>28.627949999999998</v>
      </c>
      <c r="M109" s="17">
        <v>756.56</v>
      </c>
      <c r="N109" s="17">
        <v>6.11</v>
      </c>
      <c r="O109" s="17">
        <v>37.159999999999997</v>
      </c>
      <c r="P109" s="17">
        <v>32.549999999999997</v>
      </c>
      <c r="Q109" s="17">
        <v>180.05932000000001</v>
      </c>
      <c r="R109" s="17">
        <v>162.91999999999999</v>
      </c>
      <c r="S109" s="17">
        <v>122.43</v>
      </c>
      <c r="T109" s="17">
        <v>29.29</v>
      </c>
      <c r="U109" s="17">
        <v>32.64</v>
      </c>
      <c r="V109" s="17">
        <v>83.42</v>
      </c>
      <c r="W109" s="17">
        <v>85.06</v>
      </c>
      <c r="X109" s="101">
        <v>148.38999999999999</v>
      </c>
      <c r="Y109" s="17">
        <v>84.3</v>
      </c>
      <c r="Z109" s="17">
        <v>356.3</v>
      </c>
      <c r="AA109" s="17">
        <v>336523</v>
      </c>
      <c r="AB109" s="17">
        <v>1244.5250000000001</v>
      </c>
      <c r="AC109" s="17">
        <v>1309047</v>
      </c>
      <c r="AD109" s="17">
        <v>127511</v>
      </c>
      <c r="AE109" s="17">
        <v>61655</v>
      </c>
      <c r="AF109" s="17">
        <v>125254</v>
      </c>
      <c r="AG109" s="17">
        <v>191474</v>
      </c>
      <c r="AH109" s="17">
        <v>32025</v>
      </c>
      <c r="AI109" s="17">
        <v>2426317</v>
      </c>
      <c r="AJ109" s="17">
        <v>1218491</v>
      </c>
    </row>
    <row r="110" spans="1:36" x14ac:dyDescent="0.25">
      <c r="A110" t="s">
        <v>422</v>
      </c>
      <c r="D110" s="93">
        <v>844.36900000000003</v>
      </c>
      <c r="E110" s="24">
        <v>442.74461000000002</v>
      </c>
      <c r="F110">
        <v>169.96384</v>
      </c>
      <c r="G110" s="24">
        <v>335.55511000000001</v>
      </c>
      <c r="H110" s="24">
        <v>273.76441999999997</v>
      </c>
      <c r="I110" s="45">
        <v>171.48374999999999</v>
      </c>
      <c r="J110" s="45">
        <v>56.511749999999999</v>
      </c>
      <c r="K110" s="45">
        <v>86.141040000000004</v>
      </c>
      <c r="L110" s="45">
        <v>28.926030000000001</v>
      </c>
      <c r="M110" s="17">
        <v>758.5</v>
      </c>
      <c r="N110" s="17">
        <v>6.24</v>
      </c>
      <c r="O110" s="17">
        <v>37.479999999999997</v>
      </c>
      <c r="P110" s="17">
        <v>32.020000000000003</v>
      </c>
      <c r="Q110" s="17">
        <v>179.36113</v>
      </c>
      <c r="R110" s="17">
        <v>162.59</v>
      </c>
      <c r="S110" s="17">
        <v>122.75</v>
      </c>
      <c r="T110" s="17">
        <v>29.27</v>
      </c>
      <c r="U110" s="17">
        <v>33.47</v>
      </c>
      <c r="V110" s="17">
        <v>83.8</v>
      </c>
      <c r="W110" s="17">
        <v>85.71</v>
      </c>
      <c r="X110" s="101">
        <v>148.91999999999999</v>
      </c>
      <c r="Y110" s="17">
        <v>84.1</v>
      </c>
      <c r="Z110" s="17">
        <v>355.5</v>
      </c>
      <c r="AA110" s="17">
        <v>339607</v>
      </c>
      <c r="AB110" s="17">
        <v>1253.3050000000001</v>
      </c>
      <c r="AC110" s="17">
        <v>1314171</v>
      </c>
      <c r="AD110" s="17">
        <v>127443</v>
      </c>
      <c r="AE110" s="17">
        <v>60479</v>
      </c>
      <c r="AF110" s="17">
        <v>125201</v>
      </c>
      <c r="AG110" s="17">
        <v>193384</v>
      </c>
      <c r="AH110" s="17">
        <v>32378</v>
      </c>
      <c r="AI110" s="17">
        <v>2439975</v>
      </c>
      <c r="AJ110" s="17">
        <v>1230170</v>
      </c>
    </row>
    <row r="111" spans="1:36" x14ac:dyDescent="0.25">
      <c r="A111" t="s">
        <v>423</v>
      </c>
      <c r="D111" s="93">
        <v>851.78899999999999</v>
      </c>
      <c r="E111" s="24">
        <v>445.61916000000002</v>
      </c>
      <c r="F111" s="24">
        <v>171.68454</v>
      </c>
      <c r="G111" s="24">
        <v>338.90453000000002</v>
      </c>
      <c r="H111" s="24">
        <v>278.75258000000002</v>
      </c>
      <c r="I111" s="45">
        <v>174.40213</v>
      </c>
      <c r="J111" s="45">
        <v>56.651150000000001</v>
      </c>
      <c r="K111" s="45">
        <v>88.310310000000001</v>
      </c>
      <c r="L111" s="45">
        <v>29.622330000000002</v>
      </c>
      <c r="M111" s="17">
        <v>767.12</v>
      </c>
      <c r="N111" s="17">
        <v>6.27</v>
      </c>
      <c r="O111" s="17">
        <v>38.159999999999997</v>
      </c>
      <c r="P111" s="17">
        <v>31.66</v>
      </c>
      <c r="Q111" s="17">
        <v>185.59107</v>
      </c>
      <c r="R111" s="17">
        <v>168.24</v>
      </c>
      <c r="S111" s="17">
        <v>123.76</v>
      </c>
      <c r="T111" s="17">
        <v>28.83</v>
      </c>
      <c r="U111" s="17">
        <v>32.24</v>
      </c>
      <c r="V111" s="17">
        <v>83.53</v>
      </c>
      <c r="W111" s="17">
        <v>86.97</v>
      </c>
      <c r="X111" s="101">
        <v>150.66999999999999</v>
      </c>
      <c r="Y111" s="17">
        <v>84.3</v>
      </c>
      <c r="Z111" s="17">
        <v>354.8</v>
      </c>
      <c r="AA111" s="17">
        <v>342525</v>
      </c>
      <c r="AB111" s="17">
        <v>1227.231</v>
      </c>
      <c r="AC111" s="17">
        <v>1328598</v>
      </c>
      <c r="AD111" s="17">
        <v>133344</v>
      </c>
      <c r="AE111" s="17">
        <v>62221</v>
      </c>
      <c r="AF111" s="17">
        <v>126559</v>
      </c>
      <c r="AG111" s="17">
        <v>194835</v>
      </c>
      <c r="AH111" s="17">
        <v>34380</v>
      </c>
      <c r="AI111" s="17">
        <v>2458524</v>
      </c>
      <c r="AJ111" s="17">
        <v>1235203</v>
      </c>
    </row>
    <row r="112" spans="1:36" x14ac:dyDescent="0.25">
      <c r="A112" t="s">
        <v>424</v>
      </c>
      <c r="D112" s="93">
        <v>853.68700000000001</v>
      </c>
      <c r="E112" s="24">
        <v>444.91969</v>
      </c>
      <c r="F112" s="24">
        <v>173.18413000000001</v>
      </c>
      <c r="G112" s="24">
        <v>342.51564000000002</v>
      </c>
      <c r="H112" s="24">
        <v>276.91485</v>
      </c>
      <c r="I112" s="45">
        <v>172.57930999999999</v>
      </c>
      <c r="J112" s="45">
        <v>55.502400000000002</v>
      </c>
      <c r="K112" s="45">
        <v>87.270229999999998</v>
      </c>
      <c r="L112" s="45">
        <v>29.990919999999999</v>
      </c>
      <c r="M112" s="17">
        <v>770.22</v>
      </c>
      <c r="N112" s="17">
        <v>6.44</v>
      </c>
      <c r="O112" s="17">
        <v>38.11</v>
      </c>
      <c r="P112" s="17">
        <v>30.7</v>
      </c>
      <c r="Q112" s="17">
        <v>185.19722999999999</v>
      </c>
      <c r="R112" s="17">
        <v>167.73</v>
      </c>
      <c r="S112" s="17">
        <v>123.61</v>
      </c>
      <c r="T112" s="17">
        <v>29.02</v>
      </c>
      <c r="U112" s="17">
        <v>33.25</v>
      </c>
      <c r="V112" s="17">
        <v>84.53</v>
      </c>
      <c r="W112" s="17">
        <v>88.27</v>
      </c>
      <c r="X112" s="101">
        <v>151.72999999999999</v>
      </c>
      <c r="Y112" s="17">
        <v>84.3</v>
      </c>
      <c r="Z112" s="17">
        <v>334.3</v>
      </c>
      <c r="AA112" s="17">
        <v>345849</v>
      </c>
      <c r="AB112" s="17">
        <v>1235.1089999999999</v>
      </c>
      <c r="AC112" s="17">
        <v>1332029</v>
      </c>
      <c r="AD112" s="17">
        <v>131528</v>
      </c>
      <c r="AE112" s="17">
        <v>62734</v>
      </c>
      <c r="AF112" s="17">
        <v>125374</v>
      </c>
      <c r="AG112" s="17">
        <v>198392</v>
      </c>
      <c r="AH112" s="17">
        <v>34562</v>
      </c>
      <c r="AI112" s="17">
        <v>2473642</v>
      </c>
      <c r="AJ112" s="17">
        <v>1248037</v>
      </c>
    </row>
    <row r="113" spans="1:36" x14ac:dyDescent="0.25">
      <c r="A113" t="s">
        <v>425</v>
      </c>
      <c r="D113" s="93">
        <v>856.70600000000002</v>
      </c>
      <c r="E113" s="24">
        <v>447.01817</v>
      </c>
      <c r="F113" s="24">
        <v>173.72245000000001</v>
      </c>
      <c r="G113" s="24">
        <v>341.84066999999999</v>
      </c>
      <c r="H113" s="24">
        <v>278.78174999999999</v>
      </c>
      <c r="I113" s="45">
        <v>174.43895000000001</v>
      </c>
      <c r="J113" s="45">
        <v>56.37791</v>
      </c>
      <c r="K113" s="45">
        <v>87.953980000000001</v>
      </c>
      <c r="L113" s="45">
        <v>30.25694</v>
      </c>
      <c r="M113" s="17">
        <v>771.77</v>
      </c>
      <c r="N113" s="17">
        <v>6.33</v>
      </c>
      <c r="O113" s="17">
        <v>37.96</v>
      </c>
      <c r="P113" s="17">
        <v>30.79</v>
      </c>
      <c r="Q113" s="17">
        <v>186.18183999999999</v>
      </c>
      <c r="R113" s="17">
        <v>168.42</v>
      </c>
      <c r="S113" s="17">
        <v>123.92</v>
      </c>
      <c r="T113" s="17">
        <v>28.88</v>
      </c>
      <c r="U113" s="17">
        <v>33.18</v>
      </c>
      <c r="V113" s="17">
        <v>83.97</v>
      </c>
      <c r="W113" s="17">
        <v>88.88</v>
      </c>
      <c r="X113" s="101">
        <v>152.22999999999999</v>
      </c>
      <c r="Y113" s="17">
        <v>84.6</v>
      </c>
      <c r="Z113" s="17">
        <v>355.6</v>
      </c>
      <c r="AA113" s="17">
        <v>350470</v>
      </c>
      <c r="AB113" s="17">
        <v>1248.1559999999999</v>
      </c>
      <c r="AC113" s="17">
        <v>1341052</v>
      </c>
      <c r="AD113" s="17">
        <v>130278</v>
      </c>
      <c r="AE113" s="17">
        <v>63206</v>
      </c>
      <c r="AF113" s="17">
        <v>126909</v>
      </c>
      <c r="AG113" s="17">
        <v>201352</v>
      </c>
      <c r="AH113" s="17">
        <v>34822</v>
      </c>
      <c r="AI113" s="17">
        <v>2497221</v>
      </c>
      <c r="AJ113" s="17">
        <v>1264481</v>
      </c>
    </row>
    <row r="114" spans="1:36" x14ac:dyDescent="0.25">
      <c r="A114" t="s">
        <v>426</v>
      </c>
      <c r="D114" s="93">
        <v>860.67399999999998</v>
      </c>
      <c r="E114" s="24">
        <v>450.47188</v>
      </c>
      <c r="F114" s="24">
        <v>175.20282</v>
      </c>
      <c r="G114" s="24">
        <v>343.05563000000001</v>
      </c>
      <c r="H114" s="24">
        <v>284.8492</v>
      </c>
      <c r="I114" s="45">
        <v>175.19386</v>
      </c>
      <c r="J114" s="45">
        <v>56.277529999999999</v>
      </c>
      <c r="K114" s="45">
        <v>88.608860000000007</v>
      </c>
      <c r="L114" s="45">
        <v>30.494129999999998</v>
      </c>
      <c r="M114" s="17">
        <v>774.95</v>
      </c>
      <c r="N114" s="17">
        <v>6.47</v>
      </c>
      <c r="O114" s="17">
        <v>37.68</v>
      </c>
      <c r="P114" s="17">
        <v>31.44</v>
      </c>
      <c r="Q114" s="17">
        <v>186.36087000000001</v>
      </c>
      <c r="R114" s="17">
        <v>168.64</v>
      </c>
      <c r="S114" s="17">
        <v>125.51</v>
      </c>
      <c r="T114" s="17">
        <v>28.87</v>
      </c>
      <c r="U114" s="17">
        <v>33.22</v>
      </c>
      <c r="V114" s="17">
        <v>83.75</v>
      </c>
      <c r="W114" s="17">
        <v>89.34</v>
      </c>
      <c r="X114" s="101">
        <v>152.78</v>
      </c>
      <c r="Y114" s="17">
        <v>85.2</v>
      </c>
      <c r="Z114" s="17">
        <v>351.1</v>
      </c>
      <c r="AA114" s="17">
        <v>354059</v>
      </c>
      <c r="AB114" s="17">
        <v>1259.741</v>
      </c>
      <c r="AC114" s="17">
        <v>1347491</v>
      </c>
      <c r="AD114" s="17">
        <v>125126</v>
      </c>
      <c r="AE114" s="17">
        <v>62211</v>
      </c>
      <c r="AF114" s="17">
        <v>128196</v>
      </c>
      <c r="AG114" s="17">
        <v>204707</v>
      </c>
      <c r="AH114" s="17">
        <v>36328</v>
      </c>
      <c r="AI114" s="17">
        <v>2511978</v>
      </c>
      <c r="AJ114" s="17">
        <v>1276582</v>
      </c>
    </row>
    <row r="115" spans="1:36" x14ac:dyDescent="0.25">
      <c r="A115" t="s">
        <v>427</v>
      </c>
      <c r="D115" s="93">
        <v>871.846</v>
      </c>
      <c r="E115" s="24">
        <v>451.66331000000002</v>
      </c>
      <c r="F115" s="24">
        <v>174.70778999999999</v>
      </c>
      <c r="G115" s="24">
        <v>349.61971999999997</v>
      </c>
      <c r="H115" s="24">
        <v>285.99396999999999</v>
      </c>
      <c r="I115" s="45">
        <v>176.01777000000001</v>
      </c>
      <c r="J115" s="45">
        <v>57.247839999999997</v>
      </c>
      <c r="K115" s="45">
        <v>87.985240000000005</v>
      </c>
      <c r="L115" s="45">
        <v>30.864329999999999</v>
      </c>
      <c r="M115" s="17">
        <v>784.48</v>
      </c>
      <c r="N115" s="17">
        <v>6.56</v>
      </c>
      <c r="O115" s="17">
        <v>38.29</v>
      </c>
      <c r="P115" s="17">
        <v>31.81</v>
      </c>
      <c r="Q115" s="17">
        <v>188.49556999999999</v>
      </c>
      <c r="R115" s="17">
        <v>170.24</v>
      </c>
      <c r="S115" s="17">
        <v>128.36000000000001</v>
      </c>
      <c r="T115" s="17">
        <v>28.93</v>
      </c>
      <c r="U115" s="17">
        <v>34.659999999999997</v>
      </c>
      <c r="V115" s="17">
        <v>83.8</v>
      </c>
      <c r="W115" s="17">
        <v>90.9</v>
      </c>
      <c r="X115" s="101">
        <v>153.06</v>
      </c>
      <c r="Y115" s="17">
        <v>85.4</v>
      </c>
      <c r="Z115" s="17">
        <v>358.7</v>
      </c>
      <c r="AA115" s="17">
        <v>356637</v>
      </c>
      <c r="AB115" s="17">
        <v>1267.038</v>
      </c>
      <c r="AC115" s="17">
        <v>1364355</v>
      </c>
      <c r="AD115" s="17">
        <v>129426</v>
      </c>
      <c r="AE115" s="17">
        <v>66900</v>
      </c>
      <c r="AF115" s="17">
        <v>131457</v>
      </c>
      <c r="AG115" s="17">
        <v>206223</v>
      </c>
      <c r="AH115" s="17">
        <v>38765</v>
      </c>
      <c r="AI115" s="17">
        <v>2533783</v>
      </c>
      <c r="AJ115" s="17">
        <v>1283244</v>
      </c>
    </row>
    <row r="116" spans="1:36" x14ac:dyDescent="0.25">
      <c r="A116" t="s">
        <v>428</v>
      </c>
      <c r="D116" s="93">
        <v>878.05700000000002</v>
      </c>
      <c r="E116" s="24">
        <v>455.37945999999999</v>
      </c>
      <c r="F116" s="24">
        <v>175.64988</v>
      </c>
      <c r="G116" s="24">
        <v>356.23415</v>
      </c>
      <c r="H116" s="24">
        <v>293.19923</v>
      </c>
      <c r="I116" s="45">
        <v>180.14202</v>
      </c>
      <c r="J116" s="45">
        <v>59.049039999999998</v>
      </c>
      <c r="K116" s="45">
        <v>90.103980000000007</v>
      </c>
      <c r="L116" s="45">
        <v>31.075849999999999</v>
      </c>
      <c r="M116" s="17">
        <v>792</v>
      </c>
      <c r="N116" s="17">
        <v>6.58</v>
      </c>
      <c r="O116" s="17">
        <v>38.82</v>
      </c>
      <c r="P116" s="17">
        <v>32.590000000000003</v>
      </c>
      <c r="Q116" s="17">
        <v>191.73590999999999</v>
      </c>
      <c r="R116" s="17">
        <v>172.99</v>
      </c>
      <c r="S116" s="17">
        <v>129.35</v>
      </c>
      <c r="T116" s="17">
        <v>28.86</v>
      </c>
      <c r="U116" s="17">
        <v>34.82</v>
      </c>
      <c r="V116" s="17">
        <v>83.5</v>
      </c>
      <c r="W116" s="17">
        <v>91.62</v>
      </c>
      <c r="X116" s="101">
        <v>154.46</v>
      </c>
      <c r="Y116" s="17">
        <v>86.3</v>
      </c>
      <c r="Z116" s="17">
        <v>328.2</v>
      </c>
      <c r="AA116" s="17">
        <v>360866</v>
      </c>
      <c r="AB116" s="17">
        <v>1280.0989999999999</v>
      </c>
      <c r="AC116" s="17">
        <v>1377841</v>
      </c>
      <c r="AD116" s="17">
        <v>131466</v>
      </c>
      <c r="AE116" s="17">
        <v>65740</v>
      </c>
      <c r="AF116" s="17">
        <v>130832</v>
      </c>
      <c r="AG116" s="17">
        <v>209758</v>
      </c>
      <c r="AH116" s="17">
        <v>39615</v>
      </c>
      <c r="AI116" s="17">
        <v>2559681</v>
      </c>
      <c r="AJ116" s="17">
        <v>1297771</v>
      </c>
    </row>
    <row r="117" spans="1:36" x14ac:dyDescent="0.25">
      <c r="A117" t="s">
        <v>429</v>
      </c>
      <c r="D117" s="93">
        <v>885.04499999999996</v>
      </c>
      <c r="E117" s="24">
        <v>454.94224000000003</v>
      </c>
      <c r="F117" s="24">
        <v>176.18821</v>
      </c>
      <c r="G117" s="24">
        <v>359.57511</v>
      </c>
      <c r="H117" s="24">
        <v>293.72435000000002</v>
      </c>
      <c r="I117" s="45">
        <v>181.48609999999999</v>
      </c>
      <c r="J117" s="45">
        <v>59.879930000000002</v>
      </c>
      <c r="K117" s="45">
        <v>90.219549999999998</v>
      </c>
      <c r="L117" s="45">
        <v>31.418790000000001</v>
      </c>
      <c r="M117" s="17">
        <v>800.29</v>
      </c>
      <c r="N117" s="17">
        <v>6.7</v>
      </c>
      <c r="O117" s="17">
        <v>38.69</v>
      </c>
      <c r="P117" s="17">
        <v>32.67</v>
      </c>
      <c r="Q117" s="17">
        <v>195.97882000000001</v>
      </c>
      <c r="R117" s="17">
        <v>177.29</v>
      </c>
      <c r="S117" s="17">
        <v>130.38999999999999</v>
      </c>
      <c r="T117" s="17">
        <v>28.88</v>
      </c>
      <c r="U117" s="17">
        <v>35.299999999999997</v>
      </c>
      <c r="V117" s="17">
        <v>83.79</v>
      </c>
      <c r="W117" s="17">
        <v>93.02</v>
      </c>
      <c r="X117" s="101">
        <v>155.01</v>
      </c>
      <c r="Y117" s="17">
        <v>87</v>
      </c>
      <c r="Z117" s="17">
        <v>353.2</v>
      </c>
      <c r="AA117" s="17">
        <v>366501</v>
      </c>
      <c r="AB117" s="17">
        <v>1296.73</v>
      </c>
      <c r="AC117" s="17">
        <v>1392692</v>
      </c>
      <c r="AD117" s="17">
        <v>131752</v>
      </c>
      <c r="AE117" s="17">
        <v>67122</v>
      </c>
      <c r="AF117" s="17">
        <v>133303</v>
      </c>
      <c r="AG117" s="17">
        <v>211243</v>
      </c>
      <c r="AH117" s="17">
        <v>41142</v>
      </c>
      <c r="AI117" s="17">
        <v>2589491</v>
      </c>
      <c r="AJ117" s="17">
        <v>1315658</v>
      </c>
    </row>
    <row r="118" spans="1:36" x14ac:dyDescent="0.25">
      <c r="A118" t="s">
        <v>430</v>
      </c>
      <c r="D118" s="93">
        <v>894.01700000000005</v>
      </c>
      <c r="E118" s="24">
        <v>458.83327000000003</v>
      </c>
      <c r="F118" s="24">
        <v>178.26464000000001</v>
      </c>
      <c r="G118" s="24">
        <v>362.64609000000002</v>
      </c>
      <c r="H118" s="24">
        <v>298.21668</v>
      </c>
      <c r="I118" s="45">
        <v>182.22256999999999</v>
      </c>
      <c r="J118" s="45">
        <v>60.114130000000003</v>
      </c>
      <c r="K118" s="45">
        <v>90.181020000000004</v>
      </c>
      <c r="L118" s="45">
        <v>31.92839</v>
      </c>
      <c r="M118" s="17">
        <v>807.03</v>
      </c>
      <c r="N118" s="17">
        <v>6.81</v>
      </c>
      <c r="O118" s="17">
        <v>39.159999999999997</v>
      </c>
      <c r="P118" s="17">
        <v>31.83</v>
      </c>
      <c r="Q118" s="17">
        <v>198.18082999999999</v>
      </c>
      <c r="R118" s="17">
        <v>179.37</v>
      </c>
      <c r="S118" s="17">
        <v>132.04</v>
      </c>
      <c r="T118" s="17">
        <v>28.97</v>
      </c>
      <c r="U118" s="17">
        <v>35.6</v>
      </c>
      <c r="V118" s="17">
        <v>84.28</v>
      </c>
      <c r="W118" s="17">
        <v>94.28</v>
      </c>
      <c r="X118" s="101">
        <v>807.03</v>
      </c>
      <c r="Y118" s="17">
        <v>87.5</v>
      </c>
      <c r="Z118" s="17">
        <v>348.2</v>
      </c>
      <c r="AA118" s="17">
        <v>368520</v>
      </c>
      <c r="AB118" s="17">
        <v>1304.31</v>
      </c>
      <c r="AC118" s="17">
        <v>1403094</v>
      </c>
      <c r="AD118" s="17">
        <v>131286</v>
      </c>
      <c r="AE118" s="17">
        <v>67308</v>
      </c>
      <c r="AF118" s="17">
        <v>133333</v>
      </c>
      <c r="AG118" s="17">
        <v>214885</v>
      </c>
      <c r="AH118" s="17">
        <v>42293</v>
      </c>
      <c r="AI118" s="17">
        <v>2610127</v>
      </c>
      <c r="AJ118" s="17">
        <v>1326573</v>
      </c>
    </row>
    <row r="119" spans="1:36" x14ac:dyDescent="0.25">
      <c r="A119" t="s">
        <v>431</v>
      </c>
      <c r="D119" s="93">
        <v>889.07799999999997</v>
      </c>
      <c r="E119" s="24">
        <v>459.71854000000002</v>
      </c>
      <c r="F119" s="24">
        <v>176.93325999999999</v>
      </c>
      <c r="G119" s="24">
        <v>367.52282000000002</v>
      </c>
      <c r="H119" s="24">
        <v>302.78901999999999</v>
      </c>
      <c r="I119" s="45">
        <v>183.28109000000001</v>
      </c>
      <c r="J119" s="45">
        <v>61.653230000000001</v>
      </c>
      <c r="K119" s="45">
        <v>89.680170000000004</v>
      </c>
      <c r="L119" s="45">
        <v>31.881129999999999</v>
      </c>
      <c r="M119" s="17">
        <v>803.47</v>
      </c>
      <c r="N119" s="17">
        <v>5.74</v>
      </c>
      <c r="O119" s="17">
        <v>38.96</v>
      </c>
      <c r="P119" s="17">
        <v>30.81</v>
      </c>
      <c r="Q119" s="17">
        <v>196.36364</v>
      </c>
      <c r="R119" s="17">
        <v>178</v>
      </c>
      <c r="S119" s="17">
        <v>132.13</v>
      </c>
      <c r="T119" s="17">
        <v>28.87</v>
      </c>
      <c r="U119" s="17">
        <v>37.229999999999997</v>
      </c>
      <c r="V119" s="17">
        <v>83.69</v>
      </c>
      <c r="W119" s="17">
        <v>95.04</v>
      </c>
      <c r="X119" s="101">
        <v>803.47</v>
      </c>
      <c r="Y119" s="17">
        <v>87.9</v>
      </c>
      <c r="Z119" s="17">
        <v>352.2</v>
      </c>
      <c r="AA119" s="17">
        <v>373400</v>
      </c>
      <c r="AB119" s="17">
        <v>1317.5709999999999</v>
      </c>
      <c r="AC119" s="17">
        <v>1429472</v>
      </c>
      <c r="AD119" s="17">
        <v>135983</v>
      </c>
      <c r="AE119" s="17">
        <v>69386</v>
      </c>
      <c r="AF119" s="17">
        <v>137475</v>
      </c>
      <c r="AG119" s="17">
        <v>217222</v>
      </c>
      <c r="AH119" s="17">
        <v>44096</v>
      </c>
      <c r="AI119" s="17">
        <v>2644424</v>
      </c>
      <c r="AJ119" s="17">
        <v>1338197</v>
      </c>
    </row>
    <row r="120" spans="1:36" x14ac:dyDescent="0.25">
      <c r="A120" t="s">
        <v>432</v>
      </c>
      <c r="D120" s="93">
        <v>896.06600000000003</v>
      </c>
      <c r="E120" s="24">
        <v>461.20504</v>
      </c>
      <c r="F120" s="24">
        <v>178.10602</v>
      </c>
      <c r="G120" s="24">
        <v>369.14276999999998</v>
      </c>
      <c r="H120" s="24">
        <v>304.18919</v>
      </c>
      <c r="I120" s="45">
        <v>185.85888</v>
      </c>
      <c r="J120" s="45">
        <v>61.742460000000001</v>
      </c>
      <c r="K120" s="45">
        <v>91.770009999999999</v>
      </c>
      <c r="L120" s="45">
        <v>32.342669999999998</v>
      </c>
      <c r="M120" s="17">
        <v>807.58</v>
      </c>
      <c r="N120" s="17">
        <v>5.77</v>
      </c>
      <c r="O120" s="17">
        <v>39.619999999999997</v>
      </c>
      <c r="P120" s="17">
        <v>29.86</v>
      </c>
      <c r="Q120" s="17">
        <v>196.90069</v>
      </c>
      <c r="R120" s="17">
        <v>178.56</v>
      </c>
      <c r="S120" s="17">
        <v>132.88999999999999</v>
      </c>
      <c r="T120" s="17">
        <v>29.1</v>
      </c>
      <c r="U120" s="17">
        <v>38.01</v>
      </c>
      <c r="V120" s="17">
        <v>83.63</v>
      </c>
      <c r="W120" s="17">
        <v>96.35</v>
      </c>
      <c r="X120" s="101">
        <v>807.58</v>
      </c>
      <c r="Y120" s="17">
        <v>87.8</v>
      </c>
      <c r="Z120" s="17">
        <v>329.4</v>
      </c>
      <c r="AA120" s="17">
        <v>380075</v>
      </c>
      <c r="AB120" s="17">
        <v>1333.7909999999999</v>
      </c>
      <c r="AC120" s="17">
        <v>1445471</v>
      </c>
      <c r="AD120" s="17">
        <v>139180</v>
      </c>
      <c r="AE120" s="17">
        <v>71881</v>
      </c>
      <c r="AF120" s="17">
        <v>136498</v>
      </c>
      <c r="AG120" s="17">
        <v>221821</v>
      </c>
      <c r="AH120" s="17">
        <v>47259</v>
      </c>
      <c r="AI120" s="17">
        <v>2672198</v>
      </c>
      <c r="AJ120" s="17">
        <v>1357497</v>
      </c>
    </row>
    <row r="121" spans="1:36" x14ac:dyDescent="0.25">
      <c r="A121" t="s">
        <v>433</v>
      </c>
      <c r="D121" s="93">
        <v>890.19899999999996</v>
      </c>
      <c r="E121" s="24">
        <v>460.72410000000002</v>
      </c>
      <c r="F121" s="24">
        <v>177.83685</v>
      </c>
      <c r="G121" s="24">
        <v>364.82290999999998</v>
      </c>
      <c r="H121" s="24">
        <v>311.36511999999999</v>
      </c>
      <c r="I121" s="45">
        <v>187.97637</v>
      </c>
      <c r="J121" s="45">
        <v>62.266640000000002</v>
      </c>
      <c r="K121" s="45">
        <v>92.954580000000007</v>
      </c>
      <c r="L121" s="45">
        <v>32.759329999999999</v>
      </c>
      <c r="M121" s="17">
        <v>803.31</v>
      </c>
      <c r="N121" s="17">
        <v>5.72</v>
      </c>
      <c r="O121" s="17">
        <v>39.68</v>
      </c>
      <c r="P121" s="17">
        <v>29.49</v>
      </c>
      <c r="Q121" s="17">
        <v>195.20004</v>
      </c>
      <c r="R121" s="17">
        <v>176.58</v>
      </c>
      <c r="S121" s="17">
        <v>132.38999999999999</v>
      </c>
      <c r="T121" s="17">
        <v>28.79</v>
      </c>
      <c r="U121" s="17">
        <v>37.81</v>
      </c>
      <c r="V121" s="17">
        <v>83.12</v>
      </c>
      <c r="W121" s="17">
        <v>95.98</v>
      </c>
      <c r="X121" s="101">
        <v>803.31</v>
      </c>
      <c r="Y121" s="17">
        <v>87.7</v>
      </c>
      <c r="Z121" s="17">
        <v>351</v>
      </c>
      <c r="AA121" s="17">
        <v>389572</v>
      </c>
      <c r="AB121" s="17">
        <v>1349.4690000000001</v>
      </c>
      <c r="AC121" s="17">
        <v>1476908</v>
      </c>
      <c r="AD121" s="17">
        <v>140487</v>
      </c>
      <c r="AE121" s="17">
        <v>73001</v>
      </c>
      <c r="AF121" s="17">
        <v>138831</v>
      </c>
      <c r="AG121" s="17">
        <v>231032</v>
      </c>
      <c r="AH121" s="17">
        <v>48158</v>
      </c>
      <c r="AI121" s="17">
        <v>2708491</v>
      </c>
      <c r="AJ121" s="17">
        <v>1377674</v>
      </c>
    </row>
    <row r="122" spans="1:36" x14ac:dyDescent="0.25">
      <c r="A122" t="s">
        <v>434</v>
      </c>
      <c r="D122" s="93">
        <v>894.16800000000001</v>
      </c>
      <c r="E122" s="24">
        <v>464.96499</v>
      </c>
      <c r="F122" s="24">
        <v>179.22109</v>
      </c>
      <c r="G122" s="24">
        <v>365.56538999999998</v>
      </c>
      <c r="H122" s="24">
        <v>313.29037</v>
      </c>
      <c r="I122" s="45">
        <v>189.33892</v>
      </c>
      <c r="J122" s="45">
        <v>62.578919999999997</v>
      </c>
      <c r="K122" s="45">
        <v>93.628720000000001</v>
      </c>
      <c r="L122" s="45">
        <v>33.12471</v>
      </c>
      <c r="M122" s="17">
        <v>808.74</v>
      </c>
      <c r="N122" s="17">
        <v>5.88</v>
      </c>
      <c r="O122" s="17">
        <v>40.33</v>
      </c>
      <c r="P122" s="17">
        <v>30.26</v>
      </c>
      <c r="Q122" s="17">
        <v>194.25124</v>
      </c>
      <c r="R122" s="17">
        <v>176.08</v>
      </c>
      <c r="S122" s="17">
        <v>133.83000000000001</v>
      </c>
      <c r="T122" s="17">
        <v>29.23</v>
      </c>
      <c r="U122" s="17">
        <v>38.64</v>
      </c>
      <c r="V122" s="17">
        <v>83.79</v>
      </c>
      <c r="W122" s="17">
        <v>96.38</v>
      </c>
      <c r="X122" s="101">
        <v>808.74</v>
      </c>
      <c r="Y122" s="17">
        <v>87.1</v>
      </c>
      <c r="Z122" s="17">
        <v>348.1</v>
      </c>
      <c r="AA122" s="17">
        <v>392702</v>
      </c>
      <c r="AB122" s="17">
        <v>1382.1880000000001</v>
      </c>
      <c r="AC122" s="17">
        <v>1483581</v>
      </c>
      <c r="AD122" s="17">
        <v>139303</v>
      </c>
      <c r="AE122" s="17">
        <v>71931</v>
      </c>
      <c r="AF122" s="17">
        <v>138722</v>
      </c>
      <c r="AG122" s="17">
        <v>236973</v>
      </c>
      <c r="AH122" s="17">
        <v>47280</v>
      </c>
      <c r="AI122" s="17">
        <v>2727031</v>
      </c>
      <c r="AJ122" s="17">
        <v>1391210</v>
      </c>
    </row>
    <row r="123" spans="1:36" x14ac:dyDescent="0.25">
      <c r="A123" t="s">
        <v>435</v>
      </c>
      <c r="D123" s="93">
        <v>900.03399999999999</v>
      </c>
      <c r="E123" s="24">
        <v>467.27105999999998</v>
      </c>
      <c r="F123" s="24">
        <v>181.37925999999999</v>
      </c>
      <c r="G123" s="24">
        <v>376.76976000000002</v>
      </c>
      <c r="H123" s="24">
        <v>318.27122000000003</v>
      </c>
      <c r="I123" s="45">
        <v>190.36524</v>
      </c>
      <c r="J123" s="45">
        <v>64.30762</v>
      </c>
      <c r="K123" s="45">
        <v>92.538030000000006</v>
      </c>
      <c r="L123" s="45">
        <v>33.451630000000002</v>
      </c>
      <c r="M123" s="17">
        <v>811.04</v>
      </c>
      <c r="N123" s="17">
        <v>6.22</v>
      </c>
      <c r="O123" s="17">
        <v>38.51</v>
      </c>
      <c r="P123" s="17">
        <v>30.82</v>
      </c>
      <c r="Q123" s="17">
        <v>196.23831000000001</v>
      </c>
      <c r="R123" s="17">
        <v>176.79</v>
      </c>
      <c r="S123" s="17">
        <v>136.58000000000001</v>
      </c>
      <c r="T123" s="17">
        <v>29.28</v>
      </c>
      <c r="U123" s="17">
        <v>38.76</v>
      </c>
      <c r="V123" s="17">
        <v>83.45</v>
      </c>
      <c r="W123" s="17">
        <v>93.28</v>
      </c>
      <c r="X123" s="101">
        <v>811.04</v>
      </c>
      <c r="Y123" s="17">
        <v>86</v>
      </c>
      <c r="Z123" s="17">
        <v>353.6</v>
      </c>
      <c r="AA123" s="17">
        <v>398394</v>
      </c>
      <c r="AB123" s="17">
        <v>1437.287</v>
      </c>
      <c r="AC123" s="17">
        <v>1513458</v>
      </c>
      <c r="AD123" s="17">
        <v>144424</v>
      </c>
      <c r="AE123" s="17">
        <v>74016</v>
      </c>
      <c r="AF123" s="17">
        <v>141049</v>
      </c>
      <c r="AG123" s="17">
        <v>242882</v>
      </c>
      <c r="AH123" s="17">
        <v>48702</v>
      </c>
      <c r="AI123" s="17">
        <v>2765718</v>
      </c>
      <c r="AJ123" s="17">
        <v>1404905</v>
      </c>
    </row>
    <row r="124" spans="1:36" x14ac:dyDescent="0.25">
      <c r="A124" t="s">
        <v>436</v>
      </c>
      <c r="D124" s="93">
        <v>900.55200000000002</v>
      </c>
      <c r="E124" s="24">
        <v>468.71382999999997</v>
      </c>
      <c r="F124" s="24">
        <v>181.91758999999999</v>
      </c>
      <c r="G124" s="24">
        <v>372.04494999999997</v>
      </c>
      <c r="H124" s="24">
        <v>314.88754</v>
      </c>
      <c r="I124" s="45">
        <v>190.97282999999999</v>
      </c>
      <c r="J124" s="45">
        <v>64.419150000000002</v>
      </c>
      <c r="K124" s="45">
        <v>92.615080000000006</v>
      </c>
      <c r="L124" s="45">
        <v>33.868290000000002</v>
      </c>
      <c r="M124" s="17">
        <v>810.19</v>
      </c>
      <c r="N124" s="17">
        <v>6.27</v>
      </c>
      <c r="O124" s="17">
        <v>38.049999999999997</v>
      </c>
      <c r="P124" s="17">
        <v>31.25</v>
      </c>
      <c r="Q124" s="17">
        <v>194.84197</v>
      </c>
      <c r="R124" s="17">
        <v>175.75</v>
      </c>
      <c r="S124" s="17">
        <v>135.85</v>
      </c>
      <c r="T124" s="17">
        <v>29.5</v>
      </c>
      <c r="U124" s="17">
        <v>39.409999999999997</v>
      </c>
      <c r="V124" s="17">
        <v>83.37</v>
      </c>
      <c r="W124" s="17">
        <v>93.61</v>
      </c>
      <c r="X124" s="101">
        <v>810.19</v>
      </c>
      <c r="Y124" s="17">
        <v>85.1</v>
      </c>
      <c r="Z124" s="17">
        <v>323.3</v>
      </c>
      <c r="AA124" s="17">
        <v>405183</v>
      </c>
      <c r="AB124" s="17">
        <v>1469.646</v>
      </c>
      <c r="AC124" s="17">
        <v>1539725</v>
      </c>
      <c r="AD124" s="17">
        <v>150303</v>
      </c>
      <c r="AE124" s="17">
        <v>76156</v>
      </c>
      <c r="AF124" s="17">
        <v>140497</v>
      </c>
      <c r="AG124" s="17">
        <v>247353</v>
      </c>
      <c r="AH124" s="17">
        <v>51589</v>
      </c>
      <c r="AI124" s="17">
        <v>2809526</v>
      </c>
      <c r="AJ124" s="17">
        <v>1427776</v>
      </c>
    </row>
    <row r="125" spans="1:36" x14ac:dyDescent="0.25">
      <c r="A125" t="s">
        <v>437</v>
      </c>
      <c r="D125" s="93">
        <v>904.00199999999995</v>
      </c>
      <c r="E125" s="24">
        <v>471.11836</v>
      </c>
      <c r="F125" s="24">
        <v>184.76306</v>
      </c>
      <c r="G125" s="24">
        <v>375.55480999999997</v>
      </c>
      <c r="H125" s="24">
        <v>319.61302000000001</v>
      </c>
      <c r="I125" s="45">
        <v>190.88078999999999</v>
      </c>
      <c r="J125" s="45">
        <v>63.292700000000004</v>
      </c>
      <c r="K125" s="45">
        <v>93.260310000000004</v>
      </c>
      <c r="L125" s="45">
        <v>34.27214</v>
      </c>
      <c r="M125" s="17">
        <v>813.21</v>
      </c>
      <c r="N125" s="17">
        <v>6.34</v>
      </c>
      <c r="O125" s="17">
        <v>38.36</v>
      </c>
      <c r="P125" s="17">
        <v>31.47</v>
      </c>
      <c r="Q125" s="17">
        <v>193.40982</v>
      </c>
      <c r="R125" s="17">
        <v>174.6</v>
      </c>
      <c r="S125" s="17">
        <v>137.06</v>
      </c>
      <c r="T125" s="17">
        <v>29.58</v>
      </c>
      <c r="U125" s="17">
        <v>39.619999999999997</v>
      </c>
      <c r="V125" s="17">
        <v>83.41</v>
      </c>
      <c r="W125" s="17">
        <v>94.83</v>
      </c>
      <c r="X125" s="101">
        <v>813.21</v>
      </c>
      <c r="Y125" s="17">
        <v>84</v>
      </c>
      <c r="Z125" s="17">
        <v>352.1</v>
      </c>
      <c r="AA125" s="17">
        <v>411586</v>
      </c>
      <c r="AB125" s="17">
        <v>1487.2370000000001</v>
      </c>
      <c r="AC125" s="17">
        <v>1551724</v>
      </c>
      <c r="AD125" s="17">
        <v>150131</v>
      </c>
      <c r="AE125" s="17">
        <v>77386</v>
      </c>
      <c r="AF125" s="17">
        <v>139861</v>
      </c>
      <c r="AG125" s="17">
        <v>252931</v>
      </c>
      <c r="AH125" s="17">
        <v>50900</v>
      </c>
      <c r="AI125" s="17">
        <v>2839566</v>
      </c>
      <c r="AJ125" s="17">
        <v>1450388</v>
      </c>
    </row>
    <row r="126" spans="1:36" x14ac:dyDescent="0.25">
      <c r="A126" t="s">
        <v>438</v>
      </c>
      <c r="D126" s="93">
        <v>900.98299999999995</v>
      </c>
      <c r="E126" s="24">
        <v>470.98719999999997</v>
      </c>
      <c r="F126" s="24">
        <v>184.85919999999999</v>
      </c>
      <c r="G126" s="24">
        <v>373.42863999999997</v>
      </c>
      <c r="H126" s="24">
        <v>321.80076000000003</v>
      </c>
      <c r="I126" s="45">
        <v>189.97856999999999</v>
      </c>
      <c r="J126" s="45">
        <v>61.709000000000003</v>
      </c>
      <c r="K126" s="45">
        <v>93.597369999999998</v>
      </c>
      <c r="L126" s="45">
        <v>34.643920000000001</v>
      </c>
      <c r="M126" s="17">
        <v>811.97</v>
      </c>
      <c r="N126" s="17">
        <v>6.35</v>
      </c>
      <c r="O126" s="17">
        <v>38.17</v>
      </c>
      <c r="P126" s="17">
        <v>31.81</v>
      </c>
      <c r="Q126" s="17">
        <v>191.95979</v>
      </c>
      <c r="R126" s="17">
        <v>172.92</v>
      </c>
      <c r="S126" s="17">
        <v>137.31</v>
      </c>
      <c r="T126" s="17">
        <v>29.81</v>
      </c>
      <c r="U126" s="17">
        <v>39.69</v>
      </c>
      <c r="V126" s="17">
        <v>83.23</v>
      </c>
      <c r="W126" s="17">
        <v>94.38</v>
      </c>
      <c r="X126" s="101">
        <v>811.97</v>
      </c>
      <c r="Y126" s="17">
        <v>83.2</v>
      </c>
      <c r="Z126" s="17">
        <v>343.1</v>
      </c>
      <c r="AA126" s="17">
        <v>416097</v>
      </c>
      <c r="AB126" s="17">
        <v>1512.0930000000001</v>
      </c>
      <c r="AC126" s="17">
        <v>1560544</v>
      </c>
      <c r="AD126" s="17">
        <v>146600</v>
      </c>
      <c r="AE126" s="17">
        <v>77098</v>
      </c>
      <c r="AF126" s="17">
        <v>141605</v>
      </c>
      <c r="AG126" s="17">
        <v>264490</v>
      </c>
      <c r="AH126" s="17">
        <v>51148</v>
      </c>
      <c r="AI126" s="17">
        <v>2864845</v>
      </c>
      <c r="AJ126" s="17">
        <v>1470358</v>
      </c>
    </row>
    <row r="127" spans="1:36" x14ac:dyDescent="0.25">
      <c r="A127" t="s">
        <v>439</v>
      </c>
      <c r="D127" s="93">
        <v>882.69399999999996</v>
      </c>
      <c r="E127" s="24">
        <v>451.45603</v>
      </c>
      <c r="F127" s="24">
        <v>188.35364000000001</v>
      </c>
      <c r="G127" s="24">
        <v>363.49837000000002</v>
      </c>
      <c r="H127" s="24">
        <v>315.61606999999998</v>
      </c>
      <c r="I127" s="45">
        <v>186.05225999999999</v>
      </c>
      <c r="J127" s="45">
        <v>57.450029999999998</v>
      </c>
      <c r="K127" s="45">
        <v>97.114890000000003</v>
      </c>
      <c r="L127" s="45">
        <v>31.496510000000001</v>
      </c>
      <c r="M127" s="17">
        <v>797.89</v>
      </c>
      <c r="N127" s="17">
        <v>6.21</v>
      </c>
      <c r="O127" s="17">
        <v>39.11</v>
      </c>
      <c r="P127" s="17">
        <v>31.46</v>
      </c>
      <c r="Q127" s="17">
        <v>186.71889999999999</v>
      </c>
      <c r="R127" s="17">
        <v>167.46</v>
      </c>
      <c r="S127" s="17">
        <v>129.56</v>
      </c>
      <c r="T127" s="17">
        <v>26.75</v>
      </c>
      <c r="U127" s="17">
        <v>39.130000000000003</v>
      </c>
      <c r="V127" s="17">
        <v>83.62</v>
      </c>
      <c r="W127" s="17">
        <v>93.76</v>
      </c>
      <c r="X127" s="101">
        <v>797.89</v>
      </c>
      <c r="Y127" s="17">
        <v>83.1</v>
      </c>
      <c r="Z127" s="17">
        <v>345.3</v>
      </c>
      <c r="AA127" s="17">
        <v>421905</v>
      </c>
      <c r="AB127" s="17">
        <v>1533.155</v>
      </c>
      <c r="AC127" s="17">
        <v>1598862</v>
      </c>
      <c r="AD127" s="17">
        <v>155794</v>
      </c>
      <c r="AE127" s="17">
        <v>79385</v>
      </c>
      <c r="AF127" s="17">
        <v>143509</v>
      </c>
      <c r="AG127" s="17">
        <v>273222</v>
      </c>
      <c r="AH127" s="17">
        <v>54229</v>
      </c>
      <c r="AI127" s="17">
        <v>2915875</v>
      </c>
      <c r="AJ127" s="17">
        <v>1488574</v>
      </c>
    </row>
    <row r="128" spans="1:36" x14ac:dyDescent="0.25">
      <c r="A128" t="s">
        <v>440</v>
      </c>
      <c r="D128" s="93">
        <v>804.36300000000006</v>
      </c>
      <c r="E128" s="24">
        <v>403.53856000000002</v>
      </c>
      <c r="F128" s="24">
        <v>188.23827</v>
      </c>
      <c r="G128" s="24">
        <v>288.27436999999998</v>
      </c>
      <c r="H128" s="24">
        <v>260.01864999999998</v>
      </c>
      <c r="I128" s="45">
        <v>176.16506999999999</v>
      </c>
      <c r="J128" s="45">
        <v>49.39743</v>
      </c>
      <c r="K128" s="45">
        <v>94.938370000000006</v>
      </c>
      <c r="L128" s="45">
        <v>31.839459999999999</v>
      </c>
      <c r="M128" s="17">
        <v>721.24</v>
      </c>
      <c r="N128" s="17">
        <v>6.25</v>
      </c>
      <c r="O128" s="17">
        <v>37.58</v>
      </c>
      <c r="P128" s="17">
        <v>31.38</v>
      </c>
      <c r="Q128" s="17">
        <v>156.82239999999999</v>
      </c>
      <c r="R128" s="17">
        <v>138.75</v>
      </c>
      <c r="S128" s="17">
        <v>114.15</v>
      </c>
      <c r="T128" s="17">
        <v>22.34</v>
      </c>
      <c r="U128" s="17">
        <v>37.479999999999997</v>
      </c>
      <c r="V128" s="17">
        <v>81.44</v>
      </c>
      <c r="W128" s="17">
        <v>85.4</v>
      </c>
      <c r="X128" s="101">
        <v>721.24</v>
      </c>
      <c r="Y128" s="17">
        <v>69.7</v>
      </c>
      <c r="Z128" s="17">
        <v>300.39999999999998</v>
      </c>
      <c r="AA128" s="17">
        <v>423161</v>
      </c>
      <c r="AB128" s="17">
        <v>1558.54</v>
      </c>
      <c r="AC128" s="17">
        <v>1613460</v>
      </c>
      <c r="AD128" s="17">
        <v>164522</v>
      </c>
      <c r="AE128" s="17">
        <v>80806</v>
      </c>
      <c r="AF128" s="17">
        <v>138133</v>
      </c>
      <c r="AG128" s="17">
        <v>277756</v>
      </c>
      <c r="AH128" s="17">
        <v>55905</v>
      </c>
      <c r="AI128" s="17">
        <v>2949028</v>
      </c>
      <c r="AJ128" s="17">
        <v>1510569</v>
      </c>
    </row>
    <row r="129" spans="1:36" x14ac:dyDescent="0.25">
      <c r="A129" t="s">
        <v>441</v>
      </c>
      <c r="D129" s="93">
        <v>874.154</v>
      </c>
      <c r="E129" s="24">
        <v>450.10072000000002</v>
      </c>
      <c r="F129" s="24">
        <v>196.60145</v>
      </c>
      <c r="G129" s="24">
        <v>338.42369000000002</v>
      </c>
      <c r="H129" s="24">
        <v>288.02154000000002</v>
      </c>
      <c r="I129" s="45">
        <v>183.03270000000001</v>
      </c>
      <c r="J129" s="45">
        <v>56.697200000000002</v>
      </c>
      <c r="K129" s="45">
        <v>94.10051</v>
      </c>
      <c r="L129" s="45">
        <v>32.217660000000002</v>
      </c>
      <c r="M129" s="17">
        <v>783.63</v>
      </c>
      <c r="N129" s="17">
        <v>6.36</v>
      </c>
      <c r="O129" s="17">
        <v>37.049999999999997</v>
      </c>
      <c r="P129" s="17">
        <v>32.6</v>
      </c>
      <c r="Q129" s="17">
        <v>180.00560999999999</v>
      </c>
      <c r="R129" s="17">
        <v>160.43</v>
      </c>
      <c r="S129" s="17">
        <v>128.36000000000001</v>
      </c>
      <c r="T129" s="17">
        <v>25.66</v>
      </c>
      <c r="U129" s="17">
        <v>38.94</v>
      </c>
      <c r="V129" s="17">
        <v>83.8</v>
      </c>
      <c r="W129" s="17">
        <v>88.78</v>
      </c>
      <c r="X129" s="101">
        <v>783.63</v>
      </c>
      <c r="Y129" s="17">
        <v>74.8</v>
      </c>
      <c r="Z129" s="17">
        <v>331.3</v>
      </c>
      <c r="AA129" s="17">
        <v>434586</v>
      </c>
      <c r="AB129" s="17">
        <v>1580.1389999999999</v>
      </c>
      <c r="AC129" s="17">
        <v>1616750</v>
      </c>
      <c r="AD129" s="17">
        <v>157202</v>
      </c>
      <c r="AE129" s="17">
        <v>82185</v>
      </c>
      <c r="AF129" s="17">
        <v>135870</v>
      </c>
      <c r="AG129" s="17">
        <v>281676</v>
      </c>
      <c r="AH129" s="17">
        <v>55075</v>
      </c>
      <c r="AI129" s="17">
        <v>2968645</v>
      </c>
      <c r="AJ129" s="17">
        <v>1537334</v>
      </c>
    </row>
    <row r="130" spans="1:36" x14ac:dyDescent="0.25">
      <c r="A130" t="s">
        <v>442</v>
      </c>
      <c r="D130" s="93">
        <v>882.60799999999995</v>
      </c>
      <c r="E130" s="24">
        <v>441.09429999999998</v>
      </c>
      <c r="F130" s="24">
        <v>195.85164</v>
      </c>
      <c r="G130" s="24">
        <v>353.74524000000002</v>
      </c>
      <c r="H130" s="24">
        <v>298.87268</v>
      </c>
      <c r="I130" s="45">
        <v>188.31693000000001</v>
      </c>
      <c r="J130" s="45">
        <v>58.197290000000002</v>
      </c>
      <c r="K130" s="45">
        <v>97.461590000000001</v>
      </c>
      <c r="L130" s="45">
        <v>32.650359999999999</v>
      </c>
      <c r="M130" s="17">
        <v>790.52</v>
      </c>
      <c r="N130" s="17">
        <v>6.33</v>
      </c>
      <c r="O130" s="17">
        <v>40.229999999999997</v>
      </c>
      <c r="P130" s="17">
        <v>32.79</v>
      </c>
      <c r="Q130" s="17">
        <v>188.90296000000001</v>
      </c>
      <c r="R130" s="17">
        <v>169.27</v>
      </c>
      <c r="S130" s="17">
        <v>126.56</v>
      </c>
      <c r="T130" s="17">
        <v>23.45</v>
      </c>
      <c r="U130" s="17">
        <v>39.770000000000003</v>
      </c>
      <c r="V130" s="17">
        <v>84.32</v>
      </c>
      <c r="W130" s="17">
        <v>90.86</v>
      </c>
      <c r="X130" s="101">
        <v>790.52</v>
      </c>
      <c r="Y130" s="17">
        <v>81.599999999999994</v>
      </c>
      <c r="Z130" s="17">
        <v>336.4</v>
      </c>
      <c r="AA130" s="17">
        <v>443308</v>
      </c>
      <c r="AB130" s="17">
        <v>1601.8309999999999</v>
      </c>
      <c r="AC130" s="17">
        <v>1623407</v>
      </c>
      <c r="AD130" s="17">
        <v>146660</v>
      </c>
      <c r="AE130" s="17">
        <v>82661</v>
      </c>
      <c r="AF130" s="17">
        <v>135799</v>
      </c>
      <c r="AG130" s="17">
        <v>286627</v>
      </c>
      <c r="AH130" s="17">
        <v>53779</v>
      </c>
      <c r="AI130" s="17">
        <v>2993027</v>
      </c>
      <c r="AJ130" s="17">
        <v>1565603</v>
      </c>
    </row>
    <row r="131" spans="1:36" x14ac:dyDescent="0.25">
      <c r="A131" t="s">
        <v>443</v>
      </c>
      <c r="D131" s="93">
        <v>877.173</v>
      </c>
      <c r="E131" s="24">
        <v>425.43178</v>
      </c>
      <c r="F131" s="24">
        <v>194.54915</v>
      </c>
      <c r="G131" s="24">
        <v>364.38412</v>
      </c>
      <c r="H131" s="24">
        <v>309.73158000000001</v>
      </c>
      <c r="I131" s="45">
        <v>183.92106999999999</v>
      </c>
      <c r="J131" s="45">
        <v>57.443010000000001</v>
      </c>
      <c r="K131" s="45">
        <v>92.752309999999994</v>
      </c>
      <c r="L131" s="45">
        <v>33.72007</v>
      </c>
      <c r="M131" s="17">
        <v>786.96</v>
      </c>
      <c r="N131" s="17">
        <v>7.36</v>
      </c>
      <c r="O131" s="17">
        <v>36.29</v>
      </c>
      <c r="P131" s="17">
        <v>33.19</v>
      </c>
      <c r="Q131" s="17">
        <v>188.25404</v>
      </c>
      <c r="R131" s="17">
        <v>172.86</v>
      </c>
      <c r="S131" s="17">
        <v>123.44</v>
      </c>
      <c r="T131" s="17">
        <v>24.47</v>
      </c>
      <c r="U131" s="17">
        <v>40.78</v>
      </c>
      <c r="V131" s="17">
        <v>82.65</v>
      </c>
      <c r="W131" s="17">
        <v>92.77</v>
      </c>
      <c r="X131" s="101">
        <v>786.96</v>
      </c>
      <c r="Y131" s="17">
        <v>82.1</v>
      </c>
      <c r="Z131" s="17">
        <v>341</v>
      </c>
      <c r="AA131" s="17">
        <v>451187</v>
      </c>
      <c r="AB131" s="17">
        <v>1618.942</v>
      </c>
      <c r="AC131" s="17">
        <v>1657238</v>
      </c>
      <c r="AD131" s="17">
        <v>149197</v>
      </c>
      <c r="AE131" s="17">
        <v>84565</v>
      </c>
      <c r="AF131" s="17">
        <v>139133</v>
      </c>
      <c r="AG131" s="17">
        <v>293699</v>
      </c>
      <c r="AH131" s="17">
        <v>59228</v>
      </c>
      <c r="AI131" s="17">
        <v>3038422</v>
      </c>
      <c r="AJ131" s="17">
        <v>1587902</v>
      </c>
    </row>
    <row r="132" spans="1:36" x14ac:dyDescent="0.25">
      <c r="A132" t="s">
        <v>444</v>
      </c>
      <c r="D132" s="93">
        <v>897.79100000000005</v>
      </c>
      <c r="E132" s="24">
        <v>436.36158</v>
      </c>
      <c r="F132" s="24">
        <v>200.10551000000001</v>
      </c>
      <c r="G132" s="24">
        <v>368.09647000000001</v>
      </c>
      <c r="H132" s="24">
        <v>311.68599</v>
      </c>
      <c r="I132" s="45">
        <v>188.17430999999999</v>
      </c>
      <c r="J132" s="45">
        <v>58.786929999999998</v>
      </c>
      <c r="K132" s="45">
        <v>95.217749999999995</v>
      </c>
      <c r="L132" s="45">
        <v>34.168779999999998</v>
      </c>
      <c r="M132" s="17">
        <v>802.07</v>
      </c>
      <c r="N132" s="17">
        <v>7.42</v>
      </c>
      <c r="O132" s="17">
        <v>37.99</v>
      </c>
      <c r="P132" s="17">
        <v>35.39</v>
      </c>
      <c r="Q132" s="17">
        <v>189.79357999999999</v>
      </c>
      <c r="R132" s="17">
        <v>173.65</v>
      </c>
      <c r="S132" s="17">
        <v>127.93</v>
      </c>
      <c r="T132" s="17">
        <v>24.01</v>
      </c>
      <c r="U132" s="17">
        <v>41.46</v>
      </c>
      <c r="V132" s="17">
        <v>84.1</v>
      </c>
      <c r="W132" s="17">
        <v>96.97</v>
      </c>
      <c r="X132" s="101">
        <v>802.07</v>
      </c>
      <c r="Y132" s="17">
        <v>85</v>
      </c>
      <c r="Z132" s="17">
        <v>321.10000000000002</v>
      </c>
      <c r="AA132" s="17">
        <v>461432</v>
      </c>
      <c r="AB132" s="17">
        <v>1634.5540000000001</v>
      </c>
      <c r="AC132" s="17">
        <v>1654295</v>
      </c>
      <c r="AD132" s="17">
        <v>142457</v>
      </c>
      <c r="AE132" s="17">
        <v>85685</v>
      </c>
      <c r="AF132" s="17">
        <v>135470</v>
      </c>
      <c r="AG132" s="17">
        <v>296909</v>
      </c>
      <c r="AH132" s="17">
        <v>58240</v>
      </c>
      <c r="AI132" s="17">
        <v>3056782</v>
      </c>
      <c r="AJ132" s="17">
        <v>1619529</v>
      </c>
    </row>
    <row r="133" spans="1:36" x14ac:dyDescent="0.25">
      <c r="A133" t="s">
        <v>445</v>
      </c>
      <c r="D133" s="93">
        <v>898.56799999999998</v>
      </c>
      <c r="E133" s="24">
        <v>457.56544000000002</v>
      </c>
      <c r="F133" s="24">
        <v>199.52871999999999</v>
      </c>
      <c r="G133" s="24">
        <v>364.85660000000001</v>
      </c>
      <c r="H133" s="24">
        <v>314.19463000000002</v>
      </c>
      <c r="I133" s="45">
        <v>182.19029</v>
      </c>
      <c r="J133" s="45">
        <v>56.216189999999997</v>
      </c>
      <c r="K133" s="45">
        <v>91.404020000000003</v>
      </c>
      <c r="L133" s="45">
        <v>34.569400000000002</v>
      </c>
      <c r="M133" s="17">
        <v>812.15</v>
      </c>
      <c r="N133" s="17">
        <v>7.49</v>
      </c>
      <c r="O133" s="17">
        <v>37.19</v>
      </c>
      <c r="P133" s="17">
        <v>35.619999999999997</v>
      </c>
      <c r="Q133" s="17">
        <v>186.94721000000001</v>
      </c>
      <c r="R133" s="17">
        <v>170.65</v>
      </c>
      <c r="S133" s="17">
        <v>132.71</v>
      </c>
      <c r="T133" s="17">
        <v>25.92</v>
      </c>
      <c r="U133" s="17">
        <v>41.73</v>
      </c>
      <c r="V133" s="17">
        <v>85</v>
      </c>
      <c r="W133" s="17">
        <v>97.91</v>
      </c>
      <c r="X133" s="101">
        <v>812.15</v>
      </c>
      <c r="Y133" s="17">
        <v>86.1</v>
      </c>
      <c r="Z133" s="17">
        <v>337.8</v>
      </c>
      <c r="AA133" s="17">
        <v>467940</v>
      </c>
      <c r="AB133" s="17">
        <v>1653.0809999999999</v>
      </c>
      <c r="AC133" s="17">
        <v>1666920</v>
      </c>
      <c r="AD133" s="17">
        <v>143865</v>
      </c>
      <c r="AE133" s="17">
        <v>87672</v>
      </c>
      <c r="AF133" s="17">
        <v>136697</v>
      </c>
      <c r="AG133" s="17">
        <v>304022</v>
      </c>
      <c r="AH133" s="17">
        <v>57484</v>
      </c>
      <c r="AI133" s="17">
        <v>3093749</v>
      </c>
      <c r="AJ133" s="17">
        <v>1648877</v>
      </c>
    </row>
    <row r="134" spans="1:36" x14ac:dyDescent="0.25">
      <c r="A134" t="s">
        <v>446</v>
      </c>
      <c r="D134" s="93">
        <v>903.399</v>
      </c>
      <c r="E134" s="24">
        <v>460.66948000000002</v>
      </c>
      <c r="F134" s="24">
        <v>198.89426</v>
      </c>
      <c r="G134" s="24">
        <v>380.92097000000001</v>
      </c>
      <c r="H134" s="24">
        <v>333.97219000000001</v>
      </c>
      <c r="I134" s="45">
        <v>183.66327999999999</v>
      </c>
      <c r="J134" s="45">
        <v>57.21996</v>
      </c>
      <c r="K134" s="45">
        <v>91.384770000000003</v>
      </c>
      <c r="L134" s="45">
        <v>35.050150000000002</v>
      </c>
      <c r="M134" s="17">
        <v>816.1</v>
      </c>
      <c r="N134" s="17">
        <v>7.42</v>
      </c>
      <c r="O134" s="17">
        <v>37.14</v>
      </c>
      <c r="P134" s="17">
        <v>33.71</v>
      </c>
      <c r="Q134" s="17">
        <v>192.40723</v>
      </c>
      <c r="R134" s="17">
        <v>175.96</v>
      </c>
      <c r="S134" s="17">
        <v>134.46</v>
      </c>
      <c r="T134" s="17">
        <v>24.31</v>
      </c>
      <c r="U134" s="17">
        <v>42.83</v>
      </c>
      <c r="V134" s="17">
        <v>86.39</v>
      </c>
      <c r="W134" s="17">
        <v>98.2</v>
      </c>
      <c r="X134" s="101">
        <v>816.1</v>
      </c>
      <c r="Y134" s="17">
        <v>85.8</v>
      </c>
      <c r="Z134" s="17">
        <v>341.3</v>
      </c>
      <c r="AA134" s="17">
        <v>477185</v>
      </c>
      <c r="AB134" s="17">
        <v>1591.3879999999999</v>
      </c>
      <c r="AC134" s="17">
        <v>1701525</v>
      </c>
      <c r="AD134" s="17">
        <v>146104</v>
      </c>
      <c r="AE134" s="17">
        <v>98036</v>
      </c>
      <c r="AF134" s="17">
        <v>140408</v>
      </c>
      <c r="AG134" s="17">
        <v>308639</v>
      </c>
      <c r="AH134" s="17">
        <v>63782</v>
      </c>
      <c r="AI134" s="17">
        <v>3147522</v>
      </c>
      <c r="AJ134" s="17">
        <v>1678184</v>
      </c>
    </row>
    <row r="135" spans="1:36" x14ac:dyDescent="0.25">
      <c r="A135" t="s">
        <v>447</v>
      </c>
      <c r="D135" s="93">
        <v>909.524</v>
      </c>
      <c r="E135" s="24">
        <v>473.31524999999999</v>
      </c>
      <c r="F135" s="24">
        <v>201.75897000000001</v>
      </c>
      <c r="G135" s="24">
        <v>383.24085000000002</v>
      </c>
      <c r="H135" s="24">
        <v>335.78077000000002</v>
      </c>
      <c r="I135" s="45">
        <v>185.44465</v>
      </c>
      <c r="J135" s="45">
        <v>58.145650000000003</v>
      </c>
      <c r="K135" s="45">
        <v>92.306910000000002</v>
      </c>
      <c r="L135" s="45">
        <v>35.054169999999999</v>
      </c>
      <c r="M135" s="17">
        <v>820.85</v>
      </c>
      <c r="N135" s="17">
        <v>7.6</v>
      </c>
      <c r="O135" s="17">
        <v>34.47</v>
      </c>
      <c r="P135" s="17">
        <v>32.840000000000003</v>
      </c>
      <c r="Q135" s="17">
        <v>188.04366999999999</v>
      </c>
      <c r="R135" s="17">
        <v>175.77</v>
      </c>
      <c r="S135" s="17">
        <v>139.21</v>
      </c>
      <c r="T135" s="17">
        <v>28.44</v>
      </c>
      <c r="U135" s="17">
        <v>41.96</v>
      </c>
      <c r="V135" s="17">
        <v>84.78</v>
      </c>
      <c r="W135" s="17">
        <v>99.26</v>
      </c>
      <c r="X135" s="101">
        <v>820.85</v>
      </c>
      <c r="Y135" s="17">
        <v>86</v>
      </c>
      <c r="Z135" s="17">
        <v>347.1</v>
      </c>
      <c r="AA135" s="17">
        <v>485071</v>
      </c>
      <c r="AB135" s="17">
        <v>1613.7380000000001</v>
      </c>
      <c r="AC135" s="17">
        <v>1742357</v>
      </c>
      <c r="AD135" s="17">
        <v>150886</v>
      </c>
      <c r="AE135" s="17">
        <v>101297</v>
      </c>
      <c r="AF135" s="17">
        <v>145254</v>
      </c>
      <c r="AG135" s="17">
        <v>315555</v>
      </c>
      <c r="AH135" s="17">
        <v>66200</v>
      </c>
      <c r="AI135" s="17">
        <v>3204036</v>
      </c>
      <c r="AJ135" s="17">
        <v>1700953</v>
      </c>
    </row>
    <row r="136" spans="1:36" x14ac:dyDescent="0.25">
      <c r="A136" t="s">
        <v>448</v>
      </c>
      <c r="D136" s="93">
        <v>910.904</v>
      </c>
      <c r="E136" s="24">
        <v>474.32080000000002</v>
      </c>
      <c r="F136" s="24">
        <v>201.54747</v>
      </c>
      <c r="G136" s="24">
        <v>381.04727000000003</v>
      </c>
      <c r="H136" s="24">
        <v>338.28942000000001</v>
      </c>
      <c r="I136" s="45">
        <v>184.37675999999999</v>
      </c>
      <c r="J136" s="45">
        <v>59.852040000000002</v>
      </c>
      <c r="K136" s="45">
        <v>89.167410000000004</v>
      </c>
      <c r="L136" s="45">
        <v>35.573399999999999</v>
      </c>
      <c r="M136" s="17">
        <v>819.68</v>
      </c>
      <c r="N136" s="17">
        <v>7.67</v>
      </c>
      <c r="O136" s="17">
        <v>33.4</v>
      </c>
      <c r="P136" s="17">
        <v>31.8</v>
      </c>
      <c r="Q136" s="17">
        <v>188.45542</v>
      </c>
      <c r="R136" s="17">
        <v>175.95</v>
      </c>
      <c r="S136" s="17">
        <v>138.54</v>
      </c>
      <c r="T136" s="17">
        <v>28.69</v>
      </c>
      <c r="U136" s="17">
        <v>41.8</v>
      </c>
      <c r="V136" s="17">
        <v>85.04</v>
      </c>
      <c r="W136" s="17">
        <v>98.86</v>
      </c>
      <c r="X136" s="101">
        <v>819.68</v>
      </c>
      <c r="Y136" s="17">
        <v>85</v>
      </c>
      <c r="Z136" s="17">
        <v>318</v>
      </c>
      <c r="AA136" s="17">
        <v>494516</v>
      </c>
      <c r="AB136" s="17">
        <v>1636.37</v>
      </c>
      <c r="AC136" s="17">
        <v>1784762</v>
      </c>
      <c r="AD136" s="17">
        <v>160236</v>
      </c>
      <c r="AE136" s="17">
        <v>104449</v>
      </c>
      <c r="AF136" s="17">
        <v>153414</v>
      </c>
      <c r="AG136" s="17">
        <v>322751</v>
      </c>
      <c r="AH136" s="17">
        <v>68040</v>
      </c>
      <c r="AI136" s="17">
        <v>3268668</v>
      </c>
      <c r="AJ136" s="17">
        <v>1731366</v>
      </c>
    </row>
    <row r="137" spans="1:36" x14ac:dyDescent="0.25">
      <c r="A137" t="s">
        <v>449</v>
      </c>
      <c r="D137" s="93">
        <v>913.57799999999997</v>
      </c>
      <c r="E137" s="24">
        <v>477.8184</v>
      </c>
      <c r="F137" s="24">
        <v>197.04854</v>
      </c>
      <c r="G137" s="24">
        <v>387.79682000000003</v>
      </c>
      <c r="H137" s="24">
        <v>347.36142999999998</v>
      </c>
      <c r="I137" s="45">
        <v>185.22370000000001</v>
      </c>
      <c r="J137" s="45">
        <v>61.937629999999999</v>
      </c>
      <c r="K137" s="45">
        <v>87.732489999999999</v>
      </c>
      <c r="L137" s="45">
        <v>35.890700000000002</v>
      </c>
      <c r="M137" s="17">
        <v>824.34</v>
      </c>
      <c r="N137" s="17">
        <v>7.73</v>
      </c>
      <c r="O137" s="17">
        <v>32.4</v>
      </c>
      <c r="P137" s="17">
        <v>31.34</v>
      </c>
      <c r="Q137" s="17">
        <v>190.20981</v>
      </c>
      <c r="R137" s="17">
        <v>177.72</v>
      </c>
      <c r="S137" s="17">
        <v>139.78</v>
      </c>
      <c r="T137" s="17">
        <v>28.79</v>
      </c>
      <c r="U137" s="17">
        <v>43.14</v>
      </c>
      <c r="V137" s="17">
        <v>85.7</v>
      </c>
      <c r="W137" s="17">
        <v>98.96</v>
      </c>
      <c r="X137" s="101">
        <v>824.34</v>
      </c>
      <c r="Y137" s="17">
        <v>85.1</v>
      </c>
      <c r="Z137" s="17">
        <v>343.5</v>
      </c>
      <c r="AA137" s="17">
        <v>503066</v>
      </c>
      <c r="AB137" s="17">
        <v>1659.421</v>
      </c>
      <c r="AC137" s="17">
        <v>1845304</v>
      </c>
      <c r="AD137" s="17">
        <v>163573</v>
      </c>
      <c r="AE137" s="17">
        <v>107304</v>
      </c>
      <c r="AF137" s="17">
        <v>163259</v>
      </c>
      <c r="AG137" s="17">
        <v>329097</v>
      </c>
      <c r="AH137" s="17">
        <v>71172</v>
      </c>
      <c r="AI137" s="17">
        <v>3351017</v>
      </c>
      <c r="AJ137" s="17">
        <v>1758267</v>
      </c>
    </row>
    <row r="138" spans="1:36" x14ac:dyDescent="0.25">
      <c r="A138" t="s">
        <v>450</v>
      </c>
      <c r="D138" s="93">
        <v>910.38599999999997</v>
      </c>
      <c r="E138" s="24">
        <v>471.12923000000001</v>
      </c>
      <c r="F138" s="24">
        <v>197.49074999999999</v>
      </c>
      <c r="G138" s="24">
        <v>385.90696000000003</v>
      </c>
      <c r="H138" s="24">
        <v>345.99041999999997</v>
      </c>
      <c r="I138" s="45">
        <v>183.16157000000001</v>
      </c>
      <c r="J138" s="45">
        <v>61.10116</v>
      </c>
      <c r="K138" s="45">
        <v>86.210890000000006</v>
      </c>
      <c r="L138" s="45">
        <v>36.21763</v>
      </c>
      <c r="M138" s="17">
        <v>824.96</v>
      </c>
      <c r="N138" s="17">
        <v>7.72</v>
      </c>
      <c r="O138" s="17">
        <v>32</v>
      </c>
      <c r="P138" s="17">
        <v>31.88</v>
      </c>
      <c r="Q138" s="17">
        <v>190.67527000000001</v>
      </c>
      <c r="R138" s="17">
        <v>178.75</v>
      </c>
      <c r="S138" s="17">
        <v>138.49</v>
      </c>
      <c r="T138" s="17">
        <v>28.93</v>
      </c>
      <c r="U138" s="17">
        <v>42.96</v>
      </c>
      <c r="V138" s="17">
        <v>86.22</v>
      </c>
      <c r="W138" s="17">
        <v>100.06</v>
      </c>
      <c r="X138" s="101">
        <v>824.96</v>
      </c>
      <c r="Y138" s="17">
        <v>85</v>
      </c>
      <c r="Z138" s="17">
        <v>334.8</v>
      </c>
      <c r="AA138" s="17">
        <v>509137</v>
      </c>
      <c r="AB138" s="17">
        <v>1676.5429999999999</v>
      </c>
      <c r="AC138" s="17">
        <v>1852238</v>
      </c>
      <c r="AD138" s="17">
        <v>159979</v>
      </c>
      <c r="AE138" s="17">
        <v>108770</v>
      </c>
      <c r="AF138" s="17">
        <v>155089</v>
      </c>
      <c r="AG138" s="17">
        <v>333998</v>
      </c>
      <c r="AH138" s="17">
        <v>79851</v>
      </c>
      <c r="AI138" s="17">
        <v>3365303</v>
      </c>
      <c r="AJ138" s="17">
        <v>1773856</v>
      </c>
    </row>
    <row r="139" spans="1:36" x14ac:dyDescent="0.25">
      <c r="A139" t="s">
        <v>451</v>
      </c>
      <c r="D139" s="93">
        <v>906.09400000000005</v>
      </c>
      <c r="E139" s="24">
        <v>470.32053999999999</v>
      </c>
      <c r="F139" s="24">
        <v>198.73566</v>
      </c>
      <c r="G139" s="24">
        <v>384.57407000000001</v>
      </c>
      <c r="H139" s="24">
        <v>342.32231000000002</v>
      </c>
      <c r="I139" s="45">
        <v>182.4067</v>
      </c>
      <c r="J139" s="45">
        <v>60.47242</v>
      </c>
      <c r="K139" s="45">
        <v>85.15155</v>
      </c>
      <c r="L139" s="45">
        <v>37.487639999999999</v>
      </c>
      <c r="M139" s="17">
        <v>821.7</v>
      </c>
      <c r="N139" s="17">
        <v>6.73</v>
      </c>
      <c r="O139" s="17">
        <v>32.35</v>
      </c>
      <c r="P139" s="17">
        <v>31.73</v>
      </c>
      <c r="Q139" s="17">
        <v>188.16898</v>
      </c>
      <c r="R139" s="17">
        <v>177.43</v>
      </c>
      <c r="S139" s="17">
        <v>135.65</v>
      </c>
      <c r="T139" s="17">
        <v>28.99</v>
      </c>
      <c r="U139" s="17">
        <v>45.18</v>
      </c>
      <c r="V139" s="17">
        <v>87.58</v>
      </c>
      <c r="W139" s="17">
        <v>100.26</v>
      </c>
      <c r="X139" s="101">
        <v>821.7</v>
      </c>
      <c r="Y139" s="17">
        <v>84.3</v>
      </c>
      <c r="Z139" s="17">
        <v>347.8</v>
      </c>
      <c r="AA139" s="17">
        <v>512871</v>
      </c>
      <c r="AB139" s="17">
        <v>1687.288</v>
      </c>
      <c r="AC139" s="17">
        <v>1872406</v>
      </c>
      <c r="AD139" s="17">
        <v>162773</v>
      </c>
      <c r="AE139" s="17">
        <v>110889</v>
      </c>
      <c r="AF139" s="17">
        <v>157471</v>
      </c>
      <c r="AG139" s="17">
        <v>336293</v>
      </c>
      <c r="AH139" s="17">
        <v>78626</v>
      </c>
      <c r="AI139" s="17">
        <v>3385937</v>
      </c>
      <c r="AJ139" s="17">
        <v>1778989</v>
      </c>
    </row>
    <row r="140" spans="1:36" x14ac:dyDescent="0.25">
      <c r="A140" t="s">
        <v>452</v>
      </c>
      <c r="D140" s="93">
        <v>905.404</v>
      </c>
      <c r="E140" s="24">
        <v>474.56119000000001</v>
      </c>
      <c r="F140" s="24">
        <v>198.06274999999999</v>
      </c>
      <c r="G140" s="24">
        <v>378.93792999999999</v>
      </c>
      <c r="H140" s="24">
        <v>340.30953</v>
      </c>
      <c r="I140" s="45">
        <v>182.62764000000001</v>
      </c>
      <c r="J140" s="45">
        <v>60.438949999999998</v>
      </c>
      <c r="K140" s="45">
        <v>85.103399999999993</v>
      </c>
      <c r="L140" s="45">
        <v>37.811360000000001</v>
      </c>
      <c r="M140" s="17">
        <v>815.89</v>
      </c>
      <c r="N140" s="17">
        <v>6.76</v>
      </c>
      <c r="O140" s="17">
        <v>31.95</v>
      </c>
      <c r="P140" s="17">
        <v>31.19</v>
      </c>
      <c r="Q140" s="17">
        <v>185.26884000000001</v>
      </c>
      <c r="R140" s="17">
        <v>175.53</v>
      </c>
      <c r="S140" s="17">
        <v>134.49</v>
      </c>
      <c r="T140" s="17">
        <v>28.98</v>
      </c>
      <c r="U140" s="17">
        <v>45.22</v>
      </c>
      <c r="V140" s="17">
        <v>86.7</v>
      </c>
      <c r="W140" s="17">
        <v>99.94</v>
      </c>
      <c r="X140" s="101">
        <v>815.89</v>
      </c>
      <c r="Y140" s="17">
        <v>84.1</v>
      </c>
      <c r="Z140" s="17">
        <v>316.89999999999998</v>
      </c>
      <c r="AA140" s="17">
        <v>517741</v>
      </c>
      <c r="AB140" s="17">
        <v>1701.383</v>
      </c>
      <c r="AC140" s="17">
        <v>1879403</v>
      </c>
      <c r="AD140" s="17">
        <v>162632</v>
      </c>
      <c r="AE140" s="17">
        <v>112530</v>
      </c>
      <c r="AF140" s="17">
        <v>159172</v>
      </c>
      <c r="AG140" s="17">
        <v>340380</v>
      </c>
      <c r="AH140" s="17">
        <v>78077</v>
      </c>
      <c r="AI140" s="17">
        <v>3397019</v>
      </c>
      <c r="AJ140" s="17">
        <v>1787637</v>
      </c>
    </row>
    <row r="141" spans="1:36" x14ac:dyDescent="0.25">
      <c r="A141" t="s">
        <v>453</v>
      </c>
      <c r="D141" s="93">
        <v>905.404</v>
      </c>
      <c r="E141" s="24">
        <v>471.63207</v>
      </c>
      <c r="F141" s="24">
        <v>199.15862999999999</v>
      </c>
      <c r="G141" s="24">
        <v>379.34291000000002</v>
      </c>
      <c r="H141" s="24">
        <v>336.83814999999998</v>
      </c>
      <c r="I141" s="45">
        <v>182.18575999999999</v>
      </c>
      <c r="J141" s="45">
        <v>60.89067</v>
      </c>
      <c r="K141" s="45">
        <v>84.024799999999999</v>
      </c>
      <c r="L141" s="45">
        <v>38.141489999999997</v>
      </c>
      <c r="M141" s="17">
        <v>817.28</v>
      </c>
      <c r="N141" s="17">
        <v>6.74</v>
      </c>
      <c r="O141" s="17">
        <v>31.66</v>
      </c>
      <c r="P141" s="17">
        <v>31.29</v>
      </c>
      <c r="Q141" s="17">
        <v>183.37120999999999</v>
      </c>
      <c r="R141" s="17">
        <v>174.08</v>
      </c>
      <c r="S141" s="17">
        <v>135.94999999999999</v>
      </c>
      <c r="T141" s="17">
        <v>29.2</v>
      </c>
      <c r="U141" s="17">
        <v>46.09</v>
      </c>
      <c r="V141" s="17">
        <v>87.8</v>
      </c>
      <c r="W141" s="17">
        <v>100.64</v>
      </c>
      <c r="X141" s="101">
        <v>817.28</v>
      </c>
      <c r="Y141" s="17">
        <v>83.2</v>
      </c>
      <c r="Z141" s="17">
        <v>341.5</v>
      </c>
      <c r="AA141" s="17">
        <v>522291</v>
      </c>
      <c r="AB141" s="17">
        <v>1735.684</v>
      </c>
      <c r="AC141" s="17">
        <v>1878221</v>
      </c>
      <c r="AD141" s="17">
        <v>160044</v>
      </c>
      <c r="AE141" s="17">
        <v>113314</v>
      </c>
      <c r="AF141" s="17">
        <v>159489</v>
      </c>
      <c r="AG141" s="17">
        <v>343991</v>
      </c>
      <c r="AH141" s="17">
        <v>76297</v>
      </c>
      <c r="AI141" s="17">
        <v>3401637</v>
      </c>
      <c r="AJ141" s="17">
        <v>1797123</v>
      </c>
    </row>
    <row r="142" spans="1:36" x14ac:dyDescent="0.25">
      <c r="A142" t="s">
        <v>454</v>
      </c>
      <c r="D142" s="93">
        <v>902.90200000000004</v>
      </c>
      <c r="E142" s="24">
        <v>471.23862000000003</v>
      </c>
      <c r="F142" s="24">
        <v>200.33139</v>
      </c>
      <c r="G142" s="24">
        <v>380.89542</v>
      </c>
      <c r="H142" s="24">
        <v>333.80437999999998</v>
      </c>
      <c r="I142" s="45">
        <v>179.36873</v>
      </c>
      <c r="J142" s="45">
        <v>59.552280000000003</v>
      </c>
      <c r="K142" s="45">
        <v>82.117999999999995</v>
      </c>
      <c r="L142" s="45">
        <v>38.689579999999999</v>
      </c>
      <c r="M142" s="17">
        <v>824.65</v>
      </c>
      <c r="N142" s="17">
        <v>6.8</v>
      </c>
      <c r="O142" s="17">
        <v>31.19</v>
      </c>
      <c r="P142" s="17">
        <v>31.56</v>
      </c>
      <c r="Q142" s="17">
        <v>188.18686</v>
      </c>
      <c r="R142" s="17">
        <v>173.17</v>
      </c>
      <c r="S142" s="17">
        <v>137.31</v>
      </c>
      <c r="T142" s="17">
        <v>29.28</v>
      </c>
      <c r="U142" s="17">
        <v>46.28</v>
      </c>
      <c r="V142" s="17">
        <v>88.4</v>
      </c>
      <c r="W142" s="17">
        <v>101.43</v>
      </c>
      <c r="X142" s="101">
        <v>824.65</v>
      </c>
      <c r="Y142" s="17">
        <v>82.1</v>
      </c>
      <c r="Z142" s="17">
        <v>332.7</v>
      </c>
      <c r="AA142" s="17">
        <v>525695</v>
      </c>
      <c r="AB142" s="17">
        <v>1740.49</v>
      </c>
      <c r="AC142" s="17">
        <v>1872766</v>
      </c>
      <c r="AD142" s="17">
        <v>154565</v>
      </c>
      <c r="AE142" s="17">
        <v>113250</v>
      </c>
      <c r="AF142" s="17">
        <v>160172</v>
      </c>
      <c r="AG142" s="17">
        <v>346803</v>
      </c>
      <c r="AH142" s="17">
        <v>75769</v>
      </c>
      <c r="AI142" s="17">
        <v>3395656</v>
      </c>
      <c r="AJ142" s="17">
        <v>1801674</v>
      </c>
    </row>
    <row r="143" spans="1:36" x14ac:dyDescent="0.25">
      <c r="A143" t="s">
        <v>455</v>
      </c>
      <c r="D143" s="93">
        <v>901.93200000000002</v>
      </c>
      <c r="E143" s="24">
        <v>472.94369</v>
      </c>
      <c r="F143" s="24">
        <v>200.25932</v>
      </c>
      <c r="G143" s="24">
        <v>377.23376000000002</v>
      </c>
      <c r="H143" s="24">
        <v>332.52086000000003</v>
      </c>
      <c r="I143" s="45">
        <v>178.23185000000001</v>
      </c>
      <c r="J143" s="45">
        <v>59.009990000000002</v>
      </c>
      <c r="K143" s="45">
        <v>82.551360000000003</v>
      </c>
      <c r="L143" s="45">
        <v>37.477229999999999</v>
      </c>
      <c r="M143" s="17">
        <v>818.37</v>
      </c>
      <c r="N143" s="17">
        <v>6.74</v>
      </c>
      <c r="O143" s="17">
        <v>31.5</v>
      </c>
      <c r="P143" s="17">
        <v>31.77</v>
      </c>
      <c r="Q143" s="17">
        <v>181.76455999999999</v>
      </c>
      <c r="R143" s="17">
        <v>170.49</v>
      </c>
      <c r="S143" s="17">
        <v>136.35</v>
      </c>
      <c r="T143" s="17">
        <v>29.19</v>
      </c>
      <c r="U143" s="17">
        <v>46.24</v>
      </c>
      <c r="V143" s="17">
        <v>88.72</v>
      </c>
      <c r="W143" s="17">
        <v>101.49</v>
      </c>
      <c r="X143" s="101">
        <v>818.37</v>
      </c>
      <c r="Y143" s="17">
        <v>80.900000000000006</v>
      </c>
      <c r="Z143" s="17">
        <v>342.4</v>
      </c>
      <c r="AA143" s="17">
        <v>527167</v>
      </c>
      <c r="AB143" s="17">
        <v>1753.49</v>
      </c>
      <c r="AC143" s="17">
        <v>1879157</v>
      </c>
      <c r="AD143" s="17">
        <v>155297</v>
      </c>
      <c r="AE143" s="17">
        <v>113547</v>
      </c>
      <c r="AF143" s="17">
        <v>159357</v>
      </c>
      <c r="AG143" s="17">
        <v>348394</v>
      </c>
      <c r="AH143" s="17">
        <v>78159</v>
      </c>
      <c r="AI143" s="17">
        <v>3401229</v>
      </c>
      <c r="AJ143" s="17">
        <v>1802834</v>
      </c>
    </row>
    <row r="144" spans="1:36" x14ac:dyDescent="0.25">
      <c r="A144" t="s">
        <v>456</v>
      </c>
      <c r="D144" s="93">
        <v>899.60299999999995</v>
      </c>
      <c r="E144" s="24">
        <v>473.51202000000001</v>
      </c>
      <c r="F144" s="24">
        <v>203.77769000000001</v>
      </c>
      <c r="G144" s="24">
        <v>379.35987</v>
      </c>
      <c r="H144" s="24">
        <v>336.77981999999997</v>
      </c>
      <c r="I144" s="45">
        <v>175.3227</v>
      </c>
      <c r="J144" s="45">
        <v>57.153030000000001</v>
      </c>
      <c r="K144" s="45">
        <v>81.116439999999997</v>
      </c>
      <c r="L144" s="45">
        <v>37.935569999999998</v>
      </c>
      <c r="M144" s="17">
        <v>817.21</v>
      </c>
      <c r="N144" s="17">
        <v>6.75</v>
      </c>
      <c r="O144" s="17">
        <v>30.87</v>
      </c>
      <c r="P144" s="17">
        <v>31.38</v>
      </c>
      <c r="Q144" s="17">
        <v>179.83108999999999</v>
      </c>
      <c r="R144" s="17">
        <v>169.06</v>
      </c>
      <c r="S144" s="17">
        <v>135.82</v>
      </c>
      <c r="T144" s="17">
        <v>29.38</v>
      </c>
      <c r="U144" s="17">
        <v>46.73</v>
      </c>
      <c r="V144" s="17">
        <v>89.06</v>
      </c>
      <c r="W144" s="17">
        <v>101.99</v>
      </c>
      <c r="X144" s="101">
        <v>817.21</v>
      </c>
      <c r="Y144" s="17">
        <v>79.7</v>
      </c>
      <c r="Z144" s="17">
        <v>317</v>
      </c>
      <c r="AA144" s="17">
        <v>529574</v>
      </c>
      <c r="AB144" s="17">
        <v>1762.5350000000001</v>
      </c>
      <c r="AC144" s="17">
        <v>1883978</v>
      </c>
      <c r="AD144" s="17">
        <v>155692</v>
      </c>
      <c r="AE144" s="17">
        <v>114089</v>
      </c>
      <c r="AF144" s="17">
        <v>159008</v>
      </c>
      <c r="AG144" s="17">
        <v>351727</v>
      </c>
      <c r="AH144" s="17">
        <v>77111</v>
      </c>
      <c r="AI144" s="17">
        <v>3408368</v>
      </c>
      <c r="AJ144" s="17">
        <v>1808419</v>
      </c>
    </row>
    <row r="145" spans="1:36" x14ac:dyDescent="0.25">
      <c r="A145" t="s">
        <v>457</v>
      </c>
      <c r="D145" s="93">
        <v>899.77499999999998</v>
      </c>
      <c r="E145" s="24">
        <v>474.47381999999999</v>
      </c>
      <c r="F145" s="24">
        <v>205.79644999999999</v>
      </c>
      <c r="G145" s="24">
        <v>372.98151999999999</v>
      </c>
      <c r="H145" s="24">
        <v>339.08436</v>
      </c>
      <c r="I145" s="45">
        <v>174.45731000000001</v>
      </c>
      <c r="J145" s="45">
        <v>56.567500000000003</v>
      </c>
      <c r="K145" s="45">
        <v>80.538619999999995</v>
      </c>
      <c r="L145" s="45">
        <v>38.294530000000002</v>
      </c>
      <c r="M145" s="17">
        <v>814.1</v>
      </c>
      <c r="N145" s="17">
        <v>6.76</v>
      </c>
      <c r="O145" s="17">
        <v>30.23</v>
      </c>
      <c r="P145" s="17">
        <v>31.05</v>
      </c>
      <c r="Q145" s="17">
        <v>177.68277</v>
      </c>
      <c r="R145" s="17">
        <v>166.69</v>
      </c>
      <c r="S145" s="17">
        <v>135.97</v>
      </c>
      <c r="T145" s="17">
        <v>29.51</v>
      </c>
      <c r="U145" s="17">
        <v>47.03</v>
      </c>
      <c r="V145" s="17">
        <v>88.95</v>
      </c>
      <c r="W145" s="17">
        <v>101.34</v>
      </c>
      <c r="X145" s="101">
        <v>814.1</v>
      </c>
      <c r="Y145" s="17">
        <v>77.900000000000006</v>
      </c>
      <c r="Z145" s="17">
        <v>340.8</v>
      </c>
      <c r="AA145" s="17">
        <v>531723</v>
      </c>
      <c r="AB145" s="17">
        <v>1768.0820000000001</v>
      </c>
      <c r="AC145" s="17">
        <v>1888494</v>
      </c>
      <c r="AD145" s="17">
        <v>153845</v>
      </c>
      <c r="AE145" s="17">
        <v>114334</v>
      </c>
      <c r="AF145" s="17">
        <v>154923</v>
      </c>
      <c r="AG145" s="17">
        <v>353636</v>
      </c>
      <c r="AH145" s="17">
        <v>78511</v>
      </c>
      <c r="AI145" s="17">
        <v>3420591</v>
      </c>
      <c r="AJ145" s="17">
        <v>1816396</v>
      </c>
    </row>
    <row r="146" spans="1:36" x14ac:dyDescent="0.25">
      <c r="A146" t="s">
        <v>458</v>
      </c>
      <c r="D146" s="93">
        <v>901.41399999999999</v>
      </c>
      <c r="E146" s="24">
        <v>476.44114000000002</v>
      </c>
      <c r="F146" s="24">
        <v>206.87309999999999</v>
      </c>
      <c r="G146" s="24">
        <v>365.28699</v>
      </c>
      <c r="H146" s="24">
        <v>339.28856999999999</v>
      </c>
      <c r="I146" s="45">
        <v>175.47</v>
      </c>
      <c r="J146" s="45">
        <v>56.556339999999999</v>
      </c>
      <c r="K146" s="45">
        <v>81.126069999999999</v>
      </c>
      <c r="L146" s="45">
        <v>38.730429999999998</v>
      </c>
      <c r="M146" s="17">
        <v>811.86</v>
      </c>
      <c r="N146" s="17">
        <v>6.73</v>
      </c>
      <c r="O146" s="17">
        <v>29.82</v>
      </c>
      <c r="P146" s="17">
        <v>30.76</v>
      </c>
      <c r="Q146" s="17">
        <v>176.68024</v>
      </c>
      <c r="R146" s="17">
        <v>165.19</v>
      </c>
      <c r="S146" s="17">
        <v>136.4</v>
      </c>
      <c r="T146" s="17">
        <v>29.46</v>
      </c>
      <c r="U146" s="17">
        <v>46.59</v>
      </c>
      <c r="V146" s="17">
        <v>88.43</v>
      </c>
      <c r="W146" s="17">
        <v>100.74</v>
      </c>
      <c r="X146" s="101">
        <v>811.86</v>
      </c>
      <c r="Y146" s="17">
        <v>76.8</v>
      </c>
      <c r="Z146" s="17">
        <v>334.2</v>
      </c>
      <c r="AA146" s="17">
        <v>534713</v>
      </c>
      <c r="AB146" s="17">
        <v>1773.527</v>
      </c>
      <c r="AC146" s="17">
        <v>1892098</v>
      </c>
      <c r="AD146" s="17">
        <v>147894</v>
      </c>
      <c r="AE146" s="17">
        <v>113651</v>
      </c>
      <c r="AF146" s="17">
        <v>154420</v>
      </c>
      <c r="AG146" s="17">
        <v>358760</v>
      </c>
      <c r="AH146" s="17">
        <v>76812</v>
      </c>
      <c r="AI146" s="17">
        <v>3428847</v>
      </c>
      <c r="AJ146" s="17">
        <v>1823014</v>
      </c>
    </row>
    <row r="147" spans="1:36" x14ac:dyDescent="0.25">
      <c r="A147" t="s">
        <v>459</v>
      </c>
      <c r="D147" s="93">
        <v>904.62800000000004</v>
      </c>
      <c r="E147" s="24">
        <v>479.10795000000002</v>
      </c>
      <c r="F147" s="24">
        <v>207.23840999999999</v>
      </c>
      <c r="G147" s="24">
        <v>374.09521000000001</v>
      </c>
      <c r="H147" s="24">
        <v>344.51015999999998</v>
      </c>
      <c r="I147" s="45">
        <v>176.0592</v>
      </c>
      <c r="J147" s="45">
        <v>56.751519999999999</v>
      </c>
      <c r="K147" s="45">
        <v>81.309049999999999</v>
      </c>
      <c r="L147" s="45">
        <v>38.95158</v>
      </c>
      <c r="M147" s="17">
        <v>816.04</v>
      </c>
      <c r="N147" s="17">
        <v>6.71</v>
      </c>
      <c r="O147" s="17">
        <v>30.19</v>
      </c>
      <c r="P147" s="17">
        <v>30.56</v>
      </c>
      <c r="Q147" s="17">
        <v>179.02547000000001</v>
      </c>
      <c r="R147" s="17">
        <v>167.92</v>
      </c>
      <c r="S147" s="17">
        <v>137.03</v>
      </c>
      <c r="T147" s="17">
        <v>29.26</v>
      </c>
      <c r="U147" s="17">
        <v>46.94</v>
      </c>
      <c r="V147" s="17">
        <v>88.97</v>
      </c>
      <c r="W147" s="17">
        <v>100.47</v>
      </c>
      <c r="X147" s="101">
        <v>816.04</v>
      </c>
      <c r="Y147" s="17">
        <v>76.599999999999994</v>
      </c>
      <c r="Z147" s="17">
        <v>342.3</v>
      </c>
      <c r="AA147" s="17">
        <v>537363</v>
      </c>
      <c r="AB147" s="17">
        <v>1773.258</v>
      </c>
      <c r="AC147" s="17">
        <v>1899656</v>
      </c>
      <c r="AD147" s="17">
        <v>150247</v>
      </c>
      <c r="AE147" s="17">
        <v>113145</v>
      </c>
      <c r="AF147" s="17">
        <v>154935</v>
      </c>
      <c r="AG147" s="17">
        <v>361951</v>
      </c>
      <c r="AH147" s="17">
        <v>77377</v>
      </c>
      <c r="AI147" s="17">
        <v>3438310</v>
      </c>
      <c r="AJ147" s="17">
        <v>1829114</v>
      </c>
    </row>
    <row r="148" spans="1:36" x14ac:dyDescent="0.25">
      <c r="A148" t="s">
        <v>460</v>
      </c>
      <c r="D148" s="93">
        <v>902.81600000000003</v>
      </c>
      <c r="E148" s="24">
        <v>479.76371999999998</v>
      </c>
      <c r="F148" s="24">
        <v>207.73828</v>
      </c>
      <c r="G148" s="24">
        <v>375.17516000000001</v>
      </c>
      <c r="H148" s="24">
        <v>350.31522000000001</v>
      </c>
      <c r="I148" s="45">
        <v>174.05224999999999</v>
      </c>
      <c r="J148" s="45">
        <v>55.262619999999998</v>
      </c>
      <c r="K148" s="45">
        <v>80.384529999999998</v>
      </c>
      <c r="L148" s="45">
        <v>39.409910000000004</v>
      </c>
      <c r="M148" s="17">
        <v>815.27</v>
      </c>
      <c r="N148" s="17">
        <v>6.7</v>
      </c>
      <c r="O148" s="17">
        <v>29.5</v>
      </c>
      <c r="P148" s="17">
        <v>30.11</v>
      </c>
      <c r="Q148" s="17">
        <v>178.68530999999999</v>
      </c>
      <c r="R148" s="17">
        <v>167.46</v>
      </c>
      <c r="S148" s="17">
        <v>136.22</v>
      </c>
      <c r="T148" s="17">
        <v>29.29</v>
      </c>
      <c r="U148" s="17">
        <v>47.1</v>
      </c>
      <c r="V148" s="17">
        <v>89.12</v>
      </c>
      <c r="W148" s="17">
        <v>100.84</v>
      </c>
      <c r="X148" s="101">
        <v>815.27</v>
      </c>
      <c r="Y148" s="17">
        <v>77</v>
      </c>
      <c r="Z148" s="17">
        <v>314.10000000000002</v>
      </c>
      <c r="AA148" s="17">
        <v>540586</v>
      </c>
      <c r="AB148" s="17">
        <v>1781.404</v>
      </c>
      <c r="AC148" s="17">
        <v>1902955</v>
      </c>
      <c r="AD148" s="17">
        <v>149948</v>
      </c>
      <c r="AE148" s="17">
        <v>113531</v>
      </c>
      <c r="AF148" s="17">
        <v>155548</v>
      </c>
      <c r="AG148" s="17">
        <v>365646</v>
      </c>
      <c r="AH148" s="17">
        <v>75730</v>
      </c>
      <c r="AI148" s="17">
        <v>3450866</v>
      </c>
      <c r="AJ148" s="17">
        <v>1839875</v>
      </c>
    </row>
    <row r="149" spans="1:36" x14ac:dyDescent="0.25">
      <c r="A149" t="s">
        <v>461</v>
      </c>
      <c r="D149" s="93">
        <v>902.55700000000002</v>
      </c>
      <c r="E149" s="24">
        <v>478.53962000000001</v>
      </c>
      <c r="F149" s="24">
        <v>209.33405999999999</v>
      </c>
      <c r="G149" s="24">
        <v>372.47532999999999</v>
      </c>
      <c r="H149" s="24">
        <v>350.43191000000002</v>
      </c>
      <c r="I149" s="45">
        <v>174.51254</v>
      </c>
      <c r="J149" s="45">
        <v>55.892749999999999</v>
      </c>
      <c r="K149" s="45">
        <v>79.999319999999997</v>
      </c>
      <c r="L149" s="45">
        <v>39.756059999999998</v>
      </c>
      <c r="M149" s="17">
        <v>815.81</v>
      </c>
      <c r="N149" s="17">
        <v>6.74</v>
      </c>
      <c r="O149" s="17">
        <v>29.33</v>
      </c>
      <c r="P149" s="17">
        <v>30.13</v>
      </c>
      <c r="Q149" s="17">
        <v>177.43215000000001</v>
      </c>
      <c r="R149" s="17">
        <v>165.94</v>
      </c>
      <c r="S149" s="17">
        <v>137.12</v>
      </c>
      <c r="T149" s="17">
        <v>29.28</v>
      </c>
      <c r="U149" s="17">
        <v>47.48</v>
      </c>
      <c r="V149" s="17">
        <v>89.33</v>
      </c>
      <c r="W149" s="17">
        <v>100.73</v>
      </c>
      <c r="X149" s="101">
        <v>815.81</v>
      </c>
      <c r="Y149" s="17">
        <v>77.3</v>
      </c>
      <c r="Z149" s="17">
        <v>340.9</v>
      </c>
      <c r="AA149" s="17">
        <v>541927</v>
      </c>
      <c r="AB149" s="17">
        <v>1792.4390000000001</v>
      </c>
      <c r="AC149" s="17">
        <v>1906162</v>
      </c>
      <c r="AD149" s="17">
        <v>148180</v>
      </c>
      <c r="AE149" s="17">
        <v>113556</v>
      </c>
      <c r="AF149" s="17">
        <v>153291</v>
      </c>
      <c r="AG149" s="17">
        <v>370200</v>
      </c>
      <c r="AH149" s="17">
        <v>77219</v>
      </c>
      <c r="AI149" s="17">
        <v>3466732</v>
      </c>
      <c r="AJ149" s="17">
        <v>1852026</v>
      </c>
    </row>
    <row r="150" spans="1:36" x14ac:dyDescent="0.25">
      <c r="A150" t="s">
        <v>462</v>
      </c>
      <c r="D150" s="93">
        <v>905.404</v>
      </c>
      <c r="E150" s="24" t="s">
        <v>312</v>
      </c>
      <c r="F150" s="24" t="s">
        <v>312</v>
      </c>
      <c r="G150" s="24" t="s">
        <v>312</v>
      </c>
      <c r="H150" s="24" t="s">
        <v>312</v>
      </c>
      <c r="I150" s="45" t="s">
        <v>312</v>
      </c>
      <c r="J150" s="45" t="s">
        <v>312</v>
      </c>
      <c r="K150" s="45" t="s">
        <v>312</v>
      </c>
      <c r="L150" s="45" t="s">
        <v>312</v>
      </c>
      <c r="M150" s="17" t="s">
        <v>312</v>
      </c>
      <c r="N150" s="17" t="s">
        <v>312</v>
      </c>
      <c r="O150" s="17" t="s">
        <v>312</v>
      </c>
      <c r="P150" s="17" t="s">
        <v>312</v>
      </c>
      <c r="Q150" s="17" t="s">
        <v>312</v>
      </c>
      <c r="R150" s="17" t="s">
        <v>312</v>
      </c>
      <c r="S150" s="17" t="s">
        <v>312</v>
      </c>
      <c r="T150" s="17" t="s">
        <v>312</v>
      </c>
      <c r="U150" s="17" t="s">
        <v>312</v>
      </c>
      <c r="V150" s="17" t="s">
        <v>312</v>
      </c>
      <c r="W150" s="17" t="s">
        <v>312</v>
      </c>
      <c r="X150" s="101" t="s">
        <v>312</v>
      </c>
      <c r="Y150" s="17">
        <v>78</v>
      </c>
      <c r="Z150" s="17" t="s">
        <v>312</v>
      </c>
      <c r="AA150" s="17" t="s">
        <v>312</v>
      </c>
      <c r="AB150" s="17" t="s">
        <v>312</v>
      </c>
      <c r="AC150" s="17" t="s">
        <v>312</v>
      </c>
      <c r="AD150" s="17" t="s">
        <v>312</v>
      </c>
      <c r="AE150" s="17" t="s">
        <v>312</v>
      </c>
      <c r="AF150" s="17" t="s">
        <v>312</v>
      </c>
      <c r="AG150" s="17" t="s">
        <v>312</v>
      </c>
      <c r="AH150" s="17" t="s">
        <v>312</v>
      </c>
      <c r="AI150" s="17" t="s">
        <v>312</v>
      </c>
      <c r="AJ150" s="17" t="s">
        <v>312</v>
      </c>
    </row>
    <row r="154" spans="1:36" x14ac:dyDescent="0.25">
      <c r="D154" s="25"/>
    </row>
    <row r="155" spans="1:36" x14ac:dyDescent="0.25">
      <c r="D155" s="25"/>
    </row>
    <row r="156" spans="1:36" x14ac:dyDescent="0.25">
      <c r="D156" s="25"/>
    </row>
    <row r="157" spans="1:36" x14ac:dyDescent="0.25">
      <c r="D157" s="25"/>
    </row>
    <row r="158" spans="1:36" x14ac:dyDescent="0.25">
      <c r="D158" s="25"/>
    </row>
    <row r="159" spans="1:36" x14ac:dyDescent="0.25">
      <c r="D159" s="25"/>
    </row>
  </sheetData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Monat</vt:lpstr>
      <vt:lpstr>Quartal</vt:lpstr>
    </vt:vector>
  </TitlesOfParts>
  <Company>IWH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kdl</dc:creator>
  <cp:lastModifiedBy>Heinisch, Katja</cp:lastModifiedBy>
  <dcterms:created xsi:type="dcterms:W3CDTF">2009-10-08T15:02:30Z</dcterms:created>
  <dcterms:modified xsi:type="dcterms:W3CDTF">2026-02-03T08:31:01Z</dcterms:modified>
</cp:coreProperties>
</file>